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16806b295342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b9c7f10b99641e8"/>
  </x:sheets>
</x:workbook>
</file>

<file path=xl/sharedStrings.xml><?xml version="1.0" encoding="utf-8"?>
<x:sst xmlns:x="http://schemas.openxmlformats.org/spreadsheetml/2006/main">
  <x:si>
    <x:t xml:space="preserve">주문일자</x:t>
  </x:si>
  <x:si>
    <x:t xml:space="preserve">생산법인</x:t>
  </x:si>
  <x:si>
    <x:t xml:space="preserve">수출대상국</x:t>
  </x:si>
  <x:si>
    <x:t xml:space="preserve">카테고리</x:t>
  </x:si>
  <x:si>
    <x:t xml:space="preserve">제품명</x:t>
  </x:si>
  <x:si>
    <x:t xml:space="preserve">판매채널</x:t>
  </x:si>
  <x:si>
    <x:t xml:space="preserve">수량</x:t>
  </x:si>
  <x:si>
    <x:t xml:space="preserve">단가(USD)</x:t>
  </x:si>
  <x:si>
    <x:t xml:space="preserve">매출(USD)</x:t>
  </x:si>
  <x:si>
    <x:t xml:space="preserve">이익(USD)</x:t>
  </x:si>
  <x:si>
    <x:t xml:space="preserve">마케팅비(USD)</x:t>
  </x:si>
  <x:si>
    <x:t xml:space="preserve">불량률(%)</x:t>
  </x:si>
  <x:si>
    <x:t xml:space="preserve">납기준수율(%)</x:t>
  </x:si>
</x:sst>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#,##0.00"/>
    <x:numFmt numFmtId="203" formatCode="0.0%"/>
  </x:numFmts>
  <x:fonts count="2">
    <x:font>
      <x:sz val="11"/>
      <x:color theme="1"/>
      <x:name val="맑은 고딕"/>
    </x:font>
    <x:font>
      <x:sz val="8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5">
    <x:xf numFmtId="0" fontId="0" fillId="0" borderId="0" xfId="0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19daa4b2a40fb" /><Relationship Type="http://schemas.openxmlformats.org/officeDocument/2006/relationships/theme" Target="/xl/theme/theme1.xml" Id="R8d141be6fe4e4865" /><Relationship Type="http://schemas.openxmlformats.org/officeDocument/2006/relationships/sharedStrings" Target="/xl/sharedStrings.xml" Id="R993ecc9289924ac9" /><Relationship Type="http://schemas.openxmlformats.org/officeDocument/2006/relationships/worksheet" Target="/xl/worksheets/sheet1.xml" Id="R5b9c7f10b99641e8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.399999618530273"/>
  <x:cols>
    <x:col min="1" max="1" width="9" hidden="0" customWidth="1"/>
    <x:col min="2" max="2" width="12.4399995803833" hidden="0" customWidth="1"/>
    <x:col min="3" max="3" width="8.670000076293945" hidden="0" customWidth="1"/>
    <x:col min="4" max="4" width="7" hidden="0" customWidth="1"/>
    <x:col min="5" max="5" width="12.5600004196167" hidden="0" customWidth="1"/>
    <x:col min="6" max="6" width="10.890000343322754" hidden="0" customWidth="1"/>
    <x:col min="7" max="7" width="3.7799999713897705" hidden="0" customWidth="1"/>
    <x:col min="8" max="8" width="8" hidden="0" customWidth="1"/>
    <x:col min="9" max="9" width="8.4399995803833" hidden="0" customWidth="1"/>
    <x:col min="10" max="10" width="8" hidden="0" customWidth="1"/>
    <x:col min="11" max="11" width="11.220000267028809" hidden="0" customWidth="1"/>
    <x:col min="12" max="12" width="7.78000020980835" hidden="0" customWidth="1"/>
    <x:col min="13" max="13" width="11" hidden="0" customWidth="1"/>
  </x:cols>
  <x:sheetData>
    <x:row r="1" ht="20" customHeight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</x:row>
    <x:row r="2" ht="20" customHeight="1">
      <x:c r="A2" s="1" t="n">
        <x:v>46023</x:v>
      </x:c>
      <x:c r="B2" t="str">
        <x:v>베트남 생산법인</x:v>
      </x:c>
      <x:c r="C2" t="str">
        <x:v>호주</x:v>
      </x:c>
      <x:c r="D2" t="str">
        <x:v>생활가전</x:v>
      </x:c>
      <x:c r="E2" t="str">
        <x:v>공기청정기</x:v>
      </x:c>
      <x:c r="F2" t="str">
        <x:v>온라인몰</x:v>
      </x:c>
      <x:c r="G2" s="2" t="n">
        <x:v>61</x:v>
      </x:c>
      <x:c r="H2" s="3" t="n">
        <x:v>190.5</x:v>
      </x:c>
      <x:c r="I2" s="3" t="n">
        <x:f>ROUND(G2*H2,2)</x:f>
        <x:v>11620.5</x:v>
      </x:c>
      <x:c r="J2" s="3" t="n">
        <x:v>3050.27</x:v>
      </x:c>
      <x:c r="K2" s="3" t="n">
        <x:v>597.21</x:v>
      </x:c>
      <x:c r="L2" s="4" t="n">
        <x:v>0.0276</x:v>
      </x:c>
      <x:c r="M2" s="4" t="n">
        <x:v>0.926</x:v>
      </x:c>
    </x:row>
    <x:row r="3" ht="20" customHeight="1">
      <x:c r="A3" s="1" t="n">
        <x:v>46023</x:v>
      </x:c>
      <x:c r="B3" t="str">
        <x:v>태국 생산법인</x:v>
      </x:c>
      <x:c r="C3" t="str">
        <x:v>프랑스</x:v>
      </x:c>
      <x:c r="D3" t="str">
        <x:v>생활용품</x:v>
      </x:c>
      <x:c r="E3" t="str">
        <x:v>LED 데스크 조명</x:v>
      </x:c>
      <x:c r="F3" t="str">
        <x:v>오프라인 매장</x:v>
      </x:c>
      <x:c r="G3" s="2" t="n">
        <x:v>41</x:v>
      </x:c>
      <x:c r="H3" s="3" t="n">
        <x:v>30.69</x:v>
      </x:c>
      <x:c r="I3" s="3" t="n">
        <x:f>ROUND(G3*H3,2)</x:f>
        <x:v>1258.29</x:v>
      </x:c>
      <x:c r="J3" s="3" t="n">
        <x:v>267.05</x:v>
      </x:c>
      <x:c r="K3" s="3" t="n">
        <x:v>39.49</x:v>
      </x:c>
      <x:c r="L3" s="4" t="n">
        <x:v>0.0149</x:v>
      </x:c>
      <x:c r="M3" s="4" t="n">
        <x:v>0.997</x:v>
      </x:c>
    </x:row>
    <x:row r="4" ht="20" customHeight="1">
      <x:c r="A4" s="1" t="n">
        <x:v>46024</x:v>
      </x:c>
      <x:c r="B4" t="str">
        <x:v>태국 생산법인</x:v>
      </x:c>
      <x:c r="C4" t="str">
        <x:v>독일</x:v>
      </x:c>
      <x:c r="D4" t="str">
        <x:v>주방용품</x:v>
      </x:c>
      <x:c r="E4" t="str">
        <x:v>스테인리스 냄비</x:v>
      </x:c>
      <x:c r="F4" t="str">
        <x:v>도매</x:v>
      </x:c>
      <x:c r="G4" s="2" t="n">
        <x:v>183</x:v>
      </x:c>
      <x:c r="H4" s="3" t="n">
        <x:v>50.77</x:v>
      </x:c>
      <x:c r="I4" s="3" t="n">
        <x:f>ROUND(G4*H4,2)</x:f>
        <x:v>9290.91</x:v>
      </x:c>
      <x:c r="J4" s="3" t="n">
        <x:v>2378.91</x:v>
      </x:c>
      <x:c r="K4" s="3" t="n">
        <x:v>332.66</x:v>
      </x:c>
      <x:c r="L4" s="4" t="n">
        <x:v>0.021</x:v>
      </x:c>
      <x:c r="M4" s="4" t="n">
        <x:v>0.9492</x:v>
      </x:c>
    </x:row>
    <x:row r="5" ht="20" customHeight="1">
      <x:c r="A5" s="1" t="n">
        <x:v>46025</x:v>
      </x:c>
      <x:c r="B5" t="str">
        <x:v>태국 생산법인</x:v>
      </x:c>
      <x:c r="C5" t="str">
        <x:v>캐나다</x:v>
      </x:c>
      <x:c r="D5" t="str">
        <x:v>주방용품</x:v>
      </x:c>
      <x:c r="E5" t="str">
        <x:v>밀폐용기 세트</x:v>
      </x:c>
      <x:c r="F5" t="str">
        <x:v>온라인몰</x:v>
      </x:c>
      <x:c r="G5" s="2" t="n">
        <x:v>159</x:v>
      </x:c>
      <x:c r="H5" s="3" t="n">
        <x:v>27.66</x:v>
      </x:c>
      <x:c r="I5" s="3" t="n">
        <x:f>ROUND(G5*H5,2)</x:f>
        <x:v>4397.94</x:v>
      </x:c>
      <x:c r="J5" s="3" t="n">
        <x:v>560.93</x:v>
      </x:c>
      <x:c r="K5" s="3" t="n">
        <x:v>234.69</x:v>
      </x:c>
      <x:c r="L5" s="4" t="n">
        <x:v>0.0166</x:v>
      </x:c>
      <x:c r="M5" s="4" t="n">
        <x:v>0.9428</x:v>
      </x:c>
    </x:row>
    <x:row r="6" ht="20" customHeight="1">
      <x:c r="A6" s="1" t="n">
        <x:v>46025</x:v>
      </x:c>
      <x:c r="B6" t="str">
        <x:v>베트남 생산법인</x:v>
      </x:c>
      <x:c r="C6" t="str">
        <x:v>싱가포르</x:v>
      </x:c>
      <x:c r="D6" t="str">
        <x:v>주방용품</x:v>
      </x:c>
      <x:c r="E6" t="str">
        <x:v>텀블러</x:v>
      </x:c>
      <x:c r="F6" t="str">
        <x:v>온라인몰</x:v>
      </x:c>
      <x:c r="G6" s="2" t="n">
        <x:v>100</x:v>
      </x:c>
      <x:c r="H6" s="3" t="n">
        <x:v>21.26</x:v>
      </x:c>
      <x:c r="I6" s="3" t="n">
        <x:f>ROUND(G6*H6,2)</x:f>
        <x:v>2126</x:v>
      </x:c>
      <x:c r="J6" s="3" t="n">
        <x:v>597.98</x:v>
      </x:c>
      <x:c r="K6" s="3" t="n">
        <x:v>170.54</x:v>
      </x:c>
      <x:c r="L6" s="4" t="n">
        <x:v>0.0282</x:v>
      </x:c>
      <x:c r="M6" s="4" t="n">
        <x:v>0.9463</x:v>
      </x:c>
    </x:row>
    <x:row r="7" ht="20" customHeight="1">
      <x:c r="A7" s="1" t="n">
        <x:v>46027</x:v>
      </x:c>
      <x:c r="B7" t="str">
        <x:v>태국 생산법인</x:v>
      </x:c>
      <x:c r="C7" t="str">
        <x:v>호주</x:v>
      </x:c>
      <x:c r="D7" t="str">
        <x:v>생활용품</x:v>
      </x:c>
      <x:c r="E7" t="str">
        <x:v>수납함</x:v>
      </x:c>
      <x:c r="F7" t="str">
        <x:v>해외 대리점</x:v>
      </x:c>
      <x:c r="G7" s="2" t="n">
        <x:v>193</x:v>
      </x:c>
      <x:c r="H7" s="3" t="n">
        <x:v>14.45</x:v>
      </x:c>
      <x:c r="I7" s="3" t="n">
        <x:f>ROUND(G7*H7,2)</x:f>
        <x:v>2788.85</x:v>
      </x:c>
      <x:c r="J7" s="3" t="n">
        <x:v>438.63</x:v>
      </x:c>
      <x:c r="K7" s="3" t="n">
        <x:v>136.57</x:v>
      </x:c>
      <x:c r="L7" s="4" t="n">
        <x:v>0.0315</x:v>
      </x:c>
      <x:c r="M7" s="4" t="n">
        <x:v>0.9694</x:v>
      </x:c>
    </x:row>
    <x:row r="8" ht="20" customHeight="1">
      <x:c r="A8" s="1" t="n">
        <x:v>46028</x:v>
      </x:c>
      <x:c r="B8" t="str">
        <x:v>한국 생산법인</x:v>
      </x:c>
      <x:c r="C8" t="str">
        <x:v>일본</x:v>
      </x:c>
      <x:c r="D8" t="str">
        <x:v>패션잡화</x:v>
      </x:c>
      <x:c r="E8" t="str">
        <x:v>지갑</x:v>
      </x:c>
      <x:c r="F8" t="str">
        <x:v>도매</x:v>
      </x:c>
      <x:c r="G8" s="2" t="n">
        <x:v>781</x:v>
      </x:c>
      <x:c r="H8" s="3" t="n">
        <x:v>33.01</x:v>
      </x:c>
      <x:c r="I8" s="3" t="n">
        <x:f>ROUND(G8*H8,2)</x:f>
        <x:v>25780.81</x:v>
      </x:c>
      <x:c r="J8" s="3" t="n">
        <x:v>6276.22</x:v>
      </x:c>
      <x:c r="K8" s="3" t="n">
        <x:v>727.43</x:v>
      </x:c>
      <x:c r="L8" s="4" t="n">
        <x:v>0.0247</x:v>
      </x:c>
      <x:c r="M8" s="4" t="n">
        <x:v>0.9997</x:v>
      </x:c>
    </x:row>
    <x:row r="9" ht="20" customHeight="1">
      <x:c r="A9" s="1" t="n">
        <x:v>46031</x:v>
      </x:c>
      <x:c r="B9" t="str">
        <x:v>태국 생산법인</x:v>
      </x:c>
      <x:c r="C9" t="str">
        <x:v>독일</x:v>
      </x:c>
      <x:c r="D9" t="str">
        <x:v>패션잡화</x:v>
      </x:c>
      <x:c r="E9" t="str">
        <x:v>여행용 캐리어</x:v>
      </x:c>
      <x:c r="F9" t="str">
        <x:v>오프라인 매장</x:v>
      </x:c>
      <x:c r="G9" s="2" t="n">
        <x:v>276</x:v>
      </x:c>
      <x:c r="H9" s="3" t="n">
        <x:v>113.96</x:v>
      </x:c>
      <x:c r="I9" s="3" t="n">
        <x:f>ROUND(G9*H9,2)</x:f>
        <x:v>31452.96</x:v>
      </x:c>
      <x:c r="J9" s="3" t="n">
        <x:v>5837.73</x:v>
      </x:c>
      <x:c r="K9" s="3" t="n">
        <x:v>893.07</x:v>
      </x:c>
      <x:c r="L9" s="4" t="n">
        <x:v>0.0128</x:v>
      </x:c>
      <x:c r="M9" s="4" t="n">
        <x:v>0.9691</x:v>
      </x:c>
    </x:row>
    <x:row r="10" ht="20" customHeight="1">
      <x:c r="A10" s="1" t="n">
        <x:v>46034</x:v>
      </x:c>
      <x:c r="B10" t="str">
        <x:v>한국 생산법인</x:v>
      </x:c>
      <x:c r="C10" t="str">
        <x:v>프랑스</x:v>
      </x:c>
      <x:c r="D10" t="str">
        <x:v>생활용품</x:v>
      </x:c>
      <x:c r="E10" t="str">
        <x:v>욕실 매트</x:v>
      </x:c>
      <x:c r="F10" t="str">
        <x:v>해외 대리점</x:v>
      </x:c>
      <x:c r="G10" s="2" t="n">
        <x:v>71</x:v>
      </x:c>
      <x:c r="H10" s="3" t="n">
        <x:v>14.16</x:v>
      </x:c>
      <x:c r="I10" s="3" t="n">
        <x:f>ROUND(G10*H10,2)</x:f>
        <x:v>1005.36</x:v>
      </x:c>
      <x:c r="J10" s="3" t="n">
        <x:v>313.71</x:v>
      </x:c>
      <x:c r="K10" s="3" t="n">
        <x:v>21.98</x:v>
      </x:c>
      <x:c r="L10" s="4" t="n">
        <x:v>0.0305</x:v>
      </x:c>
      <x:c r="M10" s="4" t="n">
        <x:v>0.9783</x:v>
      </x:c>
    </x:row>
    <x:row r="11" ht="20" customHeight="1">
      <x:c r="A11" s="1" t="n">
        <x:v>46036</x:v>
      </x:c>
      <x:c r="B11" t="str">
        <x:v>베트남 생산법인</x:v>
      </x:c>
      <x:c r="C11" t="str">
        <x:v>인도</x:v>
      </x:c>
      <x:c r="D11" t="str">
        <x:v>주방용품</x:v>
      </x:c>
      <x:c r="E11" t="str">
        <x:v>텀블러</x:v>
      </x:c>
      <x:c r="F11" t="str">
        <x:v>도매</x:v>
      </x:c>
      <x:c r="G11" s="2" t="n">
        <x:v>109</x:v>
      </x:c>
      <x:c r="H11" s="3" t="n">
        <x:v>19.09</x:v>
      </x:c>
      <x:c r="I11" s="3" t="n">
        <x:f>ROUND(G11*H11,2)</x:f>
        <x:v>2080.81</x:v>
      </x:c>
      <x:c r="J11" s="3" t="n">
        <x:v>667.25</x:v>
      </x:c>
      <x:c r="K11" s="3" t="n">
        <x:v>64.78</x:v>
      </x:c>
      <x:c r="L11" s="4" t="n">
        <x:v>0.0307</x:v>
      </x:c>
      <x:c r="M11" s="4" t="n">
        <x:v>0.9103</x:v>
      </x:c>
    </x:row>
    <x:row r="12" ht="20" customHeight="1">
      <x:c r="A12" s="1" t="n">
        <x:v>46037</x:v>
      </x:c>
      <x:c r="B12" t="str">
        <x:v>베트남 생산법인</x:v>
      </x:c>
      <x:c r="C12" t="str">
        <x:v>호주</x:v>
      </x:c>
      <x:c r="D12" t="str">
        <x:v>생활용품</x:v>
      </x:c>
      <x:c r="E12" t="str">
        <x:v>욕실 매트</x:v>
      </x:c>
      <x:c r="F12" t="str">
        <x:v>도매</x:v>
      </x:c>
      <x:c r="G12" s="2" t="n">
        <x:v>942</x:v>
      </x:c>
      <x:c r="H12" s="3" t="n">
        <x:v>14.56</x:v>
      </x:c>
      <x:c r="I12" s="3" t="n">
        <x:f>ROUND(G12*H12,2)</x:f>
        <x:v>13715.52</x:v>
      </x:c>
      <x:c r="J12" s="3" t="n">
        <x:v>4205.28</x:v>
      </x:c>
      <x:c r="K12" s="3" t="n">
        <x:v>190.78</x:v>
      </x:c>
      <x:c r="L12" s="4" t="n">
        <x:v>0.0333</x:v>
      </x:c>
      <x:c r="M12" s="4" t="n">
        <x:v>0.9208</x:v>
      </x:c>
    </x:row>
    <x:row r="13" ht="20" customHeight="1">
      <x:c r="A13" s="1" t="n">
        <x:v>46039</x:v>
      </x:c>
      <x:c r="B13" t="str">
        <x:v>베트남 생산법인</x:v>
      </x:c>
      <x:c r="C13" t="str">
        <x:v>인도</x:v>
      </x:c>
      <x:c r="D13" t="str">
        <x:v>전자제품</x:v>
      </x:c>
      <x:c r="E13" t="str">
        <x:v>블루투스 스피커</x:v>
      </x:c>
      <x:c r="F13" t="str">
        <x:v>도매</x:v>
      </x:c>
      <x:c r="G13" s="2" t="n">
        <x:v>510</x:v>
      </x:c>
      <x:c r="H13" s="3" t="n">
        <x:v>68.48</x:v>
      </x:c>
      <x:c r="I13" s="3" t="n">
        <x:f>ROUND(G13*H13,2)</x:f>
        <x:v>34924.8</x:v>
      </x:c>
      <x:c r="J13" s="3" t="n">
        <x:v>7621.52</x:v>
      </x:c>
      <x:c r="K13" s="3" t="n">
        <x:v>1697.9</x:v>
      </x:c>
      <x:c r="L13" s="4" t="n">
        <x:v>0.0336</x:v>
      </x:c>
      <x:c r="M13" s="4" t="n">
        <x:v>0.9368</x:v>
      </x:c>
    </x:row>
    <x:row r="14" ht="20" customHeight="1">
      <x:c r="A14" s="1" t="n">
        <x:v>46040</x:v>
      </x:c>
      <x:c r="B14" t="str">
        <x:v>베트남 생산법인</x:v>
      </x:c>
      <x:c r="C14" t="str">
        <x:v>독일</x:v>
      </x:c>
      <x:c r="D14" t="str">
        <x:v>생활가전</x:v>
      </x:c>
      <x:c r="E14" t="str">
        <x:v>전기주전자</x:v>
      </x:c>
      <x:c r="F14" t="str">
        <x:v>B2B</x:v>
      </x:c>
      <x:c r="G14" s="2" t="n">
        <x:v>851</x:v>
      </x:c>
      <x:c r="H14" s="3" t="n">
        <x:v>38.73</x:v>
      </x:c>
      <x:c r="I14" s="3" t="n">
        <x:f>ROUND(G14*H14,2)</x:f>
        <x:v>32959.23</x:v>
      </x:c>
      <x:c r="J14" s="3" t="n">
        <x:v>11132.69</x:v>
      </x:c>
      <x:c r="K14" s="3" t="n">
        <x:v>818.43</x:v>
      </x:c>
      <x:c r="L14" s="4" t="n">
        <x:v>0.014</x:v>
      </x:c>
      <x:c r="M14" s="4" t="n">
        <x:v>0.9996</x:v>
      </x:c>
    </x:row>
    <x:row r="15" ht="20" customHeight="1">
      <x:c r="A15" s="1" t="n">
        <x:v>46040</x:v>
      </x:c>
      <x:c r="B15" t="str">
        <x:v>베트남 생산법인</x:v>
      </x:c>
      <x:c r="C15" t="str">
        <x:v>베트남</x:v>
      </x:c>
      <x:c r="D15" t="str">
        <x:v>생활가전</x:v>
      </x:c>
      <x:c r="E15" t="str">
        <x:v>로봇청소기</x:v>
      </x:c>
      <x:c r="F15" t="str">
        <x:v>온라인몰</x:v>
      </x:c>
      <x:c r="G15" s="2" t="n">
        <x:v>77</x:v>
      </x:c>
      <x:c r="H15" s="3" t="n">
        <x:v>262.58</x:v>
      </x:c>
      <x:c r="I15" s="3" t="n">
        <x:f>ROUND(G15*H15,2)</x:f>
        <x:v>20218.66</x:v>
      </x:c>
      <x:c r="J15" s="3" t="n">
        <x:v>4663.15</x:v>
      </x:c>
      <x:c r="K15" s="3" t="n">
        <x:v>2111.06</x:v>
      </x:c>
      <x:c r="L15" s="4" t="n">
        <x:v>0.0192</x:v>
      </x:c>
      <x:c r="M15" s="4" t="n">
        <x:v>0.9207</x:v>
      </x:c>
    </x:row>
    <x:row r="16" ht="20" customHeight="1">
      <x:c r="A16" s="1" t="n">
        <x:v>46040</x:v>
      </x:c>
      <x:c r="B16" t="str">
        <x:v>태국 생산법인</x:v>
      </x:c>
      <x:c r="C16" t="str">
        <x:v>호주</x:v>
      </x:c>
      <x:c r="D16" t="str">
        <x:v>주방용품</x:v>
      </x:c>
      <x:c r="E16" t="str">
        <x:v>스테인리스 냄비</x:v>
      </x:c>
      <x:c r="F16" t="str">
        <x:v>온라인몰</x:v>
      </x:c>
      <x:c r="G16" s="2" t="n">
        <x:v>42</x:v>
      </x:c>
      <x:c r="H16" s="3" t="n">
        <x:v>62.52</x:v>
      </x:c>
      <x:c r="I16" s="3" t="n">
        <x:f>ROUND(G16*H16,2)</x:f>
        <x:v>2625.84</x:v>
      </x:c>
      <x:c r="J16" s="3" t="n">
        <x:v>693.76</x:v>
      </x:c>
      <x:c r="K16" s="3" t="n">
        <x:v>233.26</x:v>
      </x:c>
      <x:c r="L16" s="4" t="n">
        <x:v>0.0214</x:v>
      </x:c>
      <x:c r="M16" s="4" t="n">
        <x:v>0.941</x:v>
      </x:c>
    </x:row>
    <x:row r="17" ht="20" customHeight="1">
      <x:c r="A17" s="1" t="n">
        <x:v>46044</x:v>
      </x:c>
      <x:c r="B17" t="str">
        <x:v>한국 생산법인</x:v>
      </x:c>
      <x:c r="C17" t="str">
        <x:v>프랑스</x:v>
      </x:c>
      <x:c r="D17" t="str">
        <x:v>생활가전</x:v>
      </x:c>
      <x:c r="E17" t="str">
        <x:v>전기주전자</x:v>
      </x:c>
      <x:c r="F17" t="str">
        <x:v>해외 대리점</x:v>
      </x:c>
      <x:c r="G17" s="2" t="n">
        <x:v>115</x:v>
      </x:c>
      <x:c r="H17" s="3" t="n">
        <x:v>36.27</x:v>
      </x:c>
      <x:c r="I17" s="3" t="n">
        <x:f>ROUND(G17*H17,2)</x:f>
        <x:v>4171.05</x:v>
      </x:c>
      <x:c r="J17" s="3" t="n">
        <x:v>838.4</x:v>
      </x:c>
      <x:c r="K17" s="3" t="n">
        <x:v>72.28</x:v>
      </x:c>
      <x:c r="L17" s="4" t="n">
        <x:v>0.0337</x:v>
      </x:c>
      <x:c r="M17" s="4" t="n">
        <x:v>0.9445</x:v>
      </x:c>
    </x:row>
    <x:row r="18" ht="20" customHeight="1">
      <x:c r="A18" s="1" t="n">
        <x:v>46048</x:v>
      </x:c>
      <x:c r="B18" t="str">
        <x:v>중국 생산법인</x:v>
      </x:c>
      <x:c r="C18" t="str">
        <x:v>일본</x:v>
      </x:c>
      <x:c r="D18" t="str">
        <x:v>전자제품</x:v>
      </x:c>
      <x:c r="E18" t="str">
        <x:v>무선 이어폰</x:v>
      </x:c>
      <x:c r="F18" t="str">
        <x:v>해외 대리점</x:v>
      </x:c>
      <x:c r="G18" s="2" t="n">
        <x:v>62</x:v>
      </x:c>
      <x:c r="H18" s="3" t="n">
        <x:v>56.06</x:v>
      </x:c>
      <x:c r="I18" s="3" t="n">
        <x:f>ROUND(G18*H18,2)</x:f>
        <x:v>3475.72</x:v>
      </x:c>
      <x:c r="J18" s="3" t="n">
        <x:v>964.2</x:v>
      </x:c>
      <x:c r="K18" s="3" t="n">
        <x:v>48.56</x:v>
      </x:c>
      <x:c r="L18" s="4" t="n">
        <x:v>0.0364</x:v>
      </x:c>
      <x:c r="M18" s="4" t="n">
        <x:v>0.9718</x:v>
      </x:c>
    </x:row>
    <x:row r="19" ht="20" customHeight="1">
      <x:c r="A19" s="1" t="n">
        <x:v>46049</x:v>
      </x:c>
      <x:c r="B19" t="str">
        <x:v>베트남 생산법인</x:v>
      </x:c>
      <x:c r="C19" t="str">
        <x:v>미국</x:v>
      </x:c>
      <x:c r="D19" t="str">
        <x:v>생활용품</x:v>
      </x:c>
      <x:c r="E19" t="str">
        <x:v>수납함</x:v>
      </x:c>
      <x:c r="F19" t="str">
        <x:v>해외 대리점</x:v>
      </x:c>
      <x:c r="G19" s="2" t="n">
        <x:v>177</x:v>
      </x:c>
      <x:c r="H19" s="3" t="n">
        <x:v>13.82</x:v>
      </x:c>
      <x:c r="I19" s="3" t="n">
        <x:f>ROUND(G19*H19,2)</x:f>
        <x:v>2446.14</x:v>
      </x:c>
      <x:c r="J19" s="3" t="n">
        <x:v>545.6</x:v>
      </x:c>
      <x:c r="K19" s="3" t="n">
        <x:v>45.67</x:v>
      </x:c>
      <x:c r="L19" s="4" t="n">
        <x:v>0.0318</x:v>
      </x:c>
      <x:c r="M19" s="4" t="n">
        <x:v>0.9046</x:v>
      </x:c>
    </x:row>
    <x:row r="20" ht="20" customHeight="1">
      <x:c r="A20" s="1" t="n">
        <x:v>46049</x:v>
      </x:c>
      <x:c r="B20" t="str">
        <x:v>베트남 생산법인</x:v>
      </x:c>
      <x:c r="C20" t="str">
        <x:v>독일</x:v>
      </x:c>
      <x:c r="D20" t="str">
        <x:v>전자제품</x:v>
      </x:c>
      <x:c r="E20" t="str">
        <x:v>무선 이어폰</x:v>
      </x:c>
      <x:c r="F20" t="str">
        <x:v>오프라인 매장</x:v>
      </x:c>
      <x:c r="G20" s="2" t="n">
        <x:v>42</x:v>
      </x:c>
      <x:c r="H20" s="3" t="n">
        <x:v>54.39</x:v>
      </x:c>
      <x:c r="I20" s="3" t="n">
        <x:f>ROUND(G20*H20,2)</x:f>
        <x:v>2284.38</x:v>
      </x:c>
      <x:c r="J20" s="3" t="n">
        <x:v>418.29</x:v>
      </x:c>
      <x:c r="K20" s="3" t="n">
        <x:v>93.07</x:v>
      </x:c>
      <x:c r="L20" s="4" t="n">
        <x:v>0.0081</x:v>
      </x:c>
      <x:c r="M20" s="4" t="n">
        <x:v>0.9689</x:v>
      </x:c>
    </x:row>
    <x:row r="21" ht="20" customHeight="1">
      <x:c r="A21" s="1" t="n">
        <x:v>46050</x:v>
      </x:c>
      <x:c r="B21" t="str">
        <x:v>중국 생산법인</x:v>
      </x:c>
      <x:c r="C21" t="str">
        <x:v>영국</x:v>
      </x:c>
      <x:c r="D21" t="str">
        <x:v>전자제품</x:v>
      </x:c>
      <x:c r="E21" t="str">
        <x:v>스마트워치</x:v>
      </x:c>
      <x:c r="F21" t="str">
        <x:v>온라인몰</x:v>
      </x:c>
      <x:c r="G21" s="2" t="n">
        <x:v>90</x:v>
      </x:c>
      <x:c r="H21" s="3" t="n">
        <x:v>144.9</x:v>
      </x:c>
      <x:c r="I21" s="3" t="n">
        <x:f>ROUND(G21*H21,2)</x:f>
        <x:v>13041</x:v>
      </x:c>
      <x:c r="J21" s="3" t="n">
        <x:v>2365.95</x:v>
      </x:c>
      <x:c r="K21" s="3" t="n">
        <x:v>892.1</x:v>
      </x:c>
      <x:c r="L21" s="4" t="n">
        <x:v>0.0366</x:v>
      </x:c>
      <x:c r="M21" s="4" t="n">
        <x:v>0.9236</x:v>
      </x:c>
    </x:row>
    <x:row r="22" ht="20" customHeight="1">
      <x:c r="A22" s="1" t="n">
        <x:v>46051</x:v>
      </x:c>
      <x:c r="B22" t="str">
        <x:v>한국 생산법인</x:v>
      </x:c>
      <x:c r="C22" t="str">
        <x:v>프랑스</x:v>
      </x:c>
      <x:c r="D22" t="str">
        <x:v>전자제품</x:v>
      </x:c>
      <x:c r="E22" t="str">
        <x:v>스마트워치</x:v>
      </x:c>
      <x:c r="F22" t="str">
        <x:v>온라인몰</x:v>
      </x:c>
      <x:c r="G22" s="2" t="n">
        <x:v>187</x:v>
      </x:c>
      <x:c r="H22" s="3" t="n">
        <x:v>130.33</x:v>
      </x:c>
      <x:c r="I22" s="3" t="n">
        <x:f>ROUND(G22*H22,2)</x:f>
        <x:v>24371.71</x:v>
      </x:c>
      <x:c r="J22" s="3" t="n">
        <x:v>3419.72</x:v>
      </x:c>
      <x:c r="K22" s="3" t="n">
        <x:v>2166.77</x:v>
      </x:c>
      <x:c r="L22" s="4" t="n">
        <x:v>0.0141</x:v>
      </x:c>
      <x:c r="M22" s="4" t="n">
        <x:v>0.8884</x:v>
      </x:c>
    </x:row>
    <x:row r="23" ht="20" customHeight="1">
      <x:c r="A23" s="1" t="n">
        <x:v>46059</x:v>
      </x:c>
      <x:c r="B23" t="str">
        <x:v>한국 생산법인</x:v>
      </x:c>
      <x:c r="C23" t="str">
        <x:v>미국</x:v>
      </x:c>
      <x:c r="D23" t="str">
        <x:v>생활용품</x:v>
      </x:c>
      <x:c r="E23" t="str">
        <x:v>LED 데스크 조명</x:v>
      </x:c>
      <x:c r="F23" t="str">
        <x:v>B2B</x:v>
      </x:c>
      <x:c r="G23" s="2" t="n">
        <x:v>731</x:v>
      </x:c>
      <x:c r="H23" s="3" t="n">
        <x:v>30.86</x:v>
      </x:c>
      <x:c r="I23" s="3" t="n">
        <x:f>ROUND(G23*H23,2)</x:f>
        <x:v>22558.66</x:v>
      </x:c>
      <x:c r="J23" s="3" t="n">
        <x:v>3650.1</x:v>
      </x:c>
      <x:c r="K23" s="3" t="n">
        <x:v>767.46</x:v>
      </x:c>
      <x:c r="L23" s="4" t="n">
        <x:v>0.0117</x:v>
      </x:c>
      <x:c r="M23" s="4" t="n">
        <x:v>0.9656</x:v>
      </x:c>
    </x:row>
    <x:row r="24" ht="20" customHeight="1">
      <x:c r="A24" s="1" t="n">
        <x:v>46059</x:v>
      </x:c>
      <x:c r="B24" t="str">
        <x:v>태국 생산법인</x:v>
      </x:c>
      <x:c r="C24" t="str">
        <x:v>인도</x:v>
      </x:c>
      <x:c r="D24" t="str">
        <x:v>생활용품</x:v>
      </x:c>
      <x:c r="E24" t="str">
        <x:v>욕실 매트</x:v>
      </x:c>
      <x:c r="F24" t="str">
        <x:v>B2B</x:v>
      </x:c>
      <x:c r="G24" s="2" t="n">
        <x:v>954</x:v>
      </x:c>
      <x:c r="H24" s="3" t="n">
        <x:v>11.15</x:v>
      </x:c>
      <x:c r="I24" s="3" t="n">
        <x:f>ROUND(G24*H24,2)</x:f>
        <x:v>10637.1</x:v>
      </x:c>
      <x:c r="J24" s="3" t="n">
        <x:v>3716.7</x:v>
      </x:c>
      <x:c r="K24" s="3" t="n">
        <x:v>210.81</x:v>
      </x:c>
      <x:c r="L24" s="4" t="n">
        <x:v>0.0039</x:v>
      </x:c>
      <x:c r="M24" s="4" t="n">
        <x:v>0.97</x:v>
      </x:c>
    </x:row>
    <x:row r="25" ht="20" customHeight="1">
      <x:c r="A25" s="1" t="n">
        <x:v>46060</x:v>
      </x:c>
      <x:c r="B25" t="str">
        <x:v>태국 생산법인</x:v>
      </x:c>
      <x:c r="C25" t="str">
        <x:v>일본</x:v>
      </x:c>
      <x:c r="D25" t="str">
        <x:v>전자제품</x:v>
      </x:c>
      <x:c r="E25" t="str">
        <x:v>스마트워치</x:v>
      </x:c>
      <x:c r="F25" t="str">
        <x:v>B2B</x:v>
      </x:c>
      <x:c r="G25" s="2" t="n">
        <x:v>775</x:v>
      </x:c>
      <x:c r="H25" s="3" t="n">
        <x:v>111.05</x:v>
      </x:c>
      <x:c r="I25" s="3" t="n">
        <x:f>ROUND(G25*H25,2)</x:f>
        <x:v>86063.75</x:v>
      </x:c>
      <x:c r="J25" s="3" t="n">
        <x:v>14336.92</x:v>
      </x:c>
      <x:c r="K25" s="3" t="n">
        <x:v>2655.96</x:v>
      </x:c>
      <x:c r="L25" s="4" t="n">
        <x:v>0.0232</x:v>
      </x:c>
      <x:c r="M25" s="4" t="n">
        <x:v>0.8991</x:v>
      </x:c>
    </x:row>
    <x:row r="26" ht="20" customHeight="1">
      <x:c r="A26" s="1" t="n">
        <x:v>46063</x:v>
      </x:c>
      <x:c r="B26" t="str">
        <x:v>중국 생산법인</x:v>
      </x:c>
      <x:c r="C26" t="str">
        <x:v>캐나다</x:v>
      </x:c>
      <x:c r="D26" t="str">
        <x:v>생활가전</x:v>
      </x:c>
      <x:c r="E26" t="str">
        <x:v>공기청정기</x:v>
      </x:c>
      <x:c r="F26" t="str">
        <x:v>해외 대리점</x:v>
      </x:c>
      <x:c r="G26" s="2" t="n">
        <x:v>27</x:v>
      </x:c>
      <x:c r="H26" s="3" t="n">
        <x:v>185.84</x:v>
      </x:c>
      <x:c r="I26" s="3" t="n">
        <x:f>ROUND(G26*H26,2)</x:f>
        <x:v>5017.68</x:v>
      </x:c>
      <x:c r="J26" s="3" t="n">
        <x:v>1597.61</x:v>
      </x:c>
      <x:c r="K26" s="3" t="n">
        <x:v>161.74</x:v>
      </x:c>
      <x:c r="L26" s="4" t="n">
        <x:v>0.0361</x:v>
      </x:c>
      <x:c r="M26" s="4" t="n">
        <x:v>0.9507</x:v>
      </x:c>
    </x:row>
    <x:row r="27" ht="20" customHeight="1">
      <x:c r="A27" s="1" t="n">
        <x:v>46063</x:v>
      </x:c>
      <x:c r="B27" t="str">
        <x:v>태국 생산법인</x:v>
      </x:c>
      <x:c r="C27" t="str">
        <x:v>프랑스</x:v>
      </x:c>
      <x:c r="D27" t="str">
        <x:v>생활용품</x:v>
      </x:c>
      <x:c r="E27" t="str">
        <x:v>욕실 매트</x:v>
      </x:c>
      <x:c r="F27" t="str">
        <x:v>도매</x:v>
      </x:c>
      <x:c r="G27" s="2" t="n">
        <x:v>676</x:v>
      </x:c>
      <x:c r="H27" s="3" t="n">
        <x:v>12.76</x:v>
      </x:c>
      <x:c r="I27" s="3" t="n">
        <x:f>ROUND(G27*H27,2)</x:f>
        <x:v>8625.76</x:v>
      </x:c>
      <x:c r="J27" s="3" t="n">
        <x:v>2721.22</x:v>
      </x:c>
      <x:c r="K27" s="3" t="n">
        <x:v>427.63</x:v>
      </x:c>
      <x:c r="L27" s="4" t="n">
        <x:v>0.0233</x:v>
      </x:c>
      <x:c r="M27" s="4" t="n">
        <x:v>0.952</x:v>
      </x:c>
    </x:row>
    <x:row r="28" ht="20" customHeight="1">
      <x:c r="A28" s="1" t="n">
        <x:v>46063</x:v>
      </x:c>
      <x:c r="B28" t="str">
        <x:v>베트남 생산법인</x:v>
      </x:c>
      <x:c r="C28" t="str">
        <x:v>영국</x:v>
      </x:c>
      <x:c r="D28" t="str">
        <x:v>전자제품</x:v>
      </x:c>
      <x:c r="E28" t="str">
        <x:v>스마트워치</x:v>
      </x:c>
      <x:c r="F28" t="str">
        <x:v>해외 대리점</x:v>
      </x:c>
      <x:c r="G28" s="2" t="n">
        <x:v>275</x:v>
      </x:c>
      <x:c r="H28" s="3" t="n">
        <x:v>135.84</x:v>
      </x:c>
      <x:c r="I28" s="3" t="n">
        <x:f>ROUND(G28*H28,2)</x:f>
        <x:v>37356</x:v>
      </x:c>
      <x:c r="J28" s="3" t="n">
        <x:v>11549.7</x:v>
      </x:c>
      <x:c r="K28" s="3" t="n">
        <x:v>1779.89</x:v>
      </x:c>
      <x:c r="L28" s="4" t="n">
        <x:v>0.0211</x:v>
      </x:c>
      <x:c r="M28" s="4" t="n">
        <x:v>0.9992</x:v>
      </x:c>
    </x:row>
    <x:row r="29" ht="20" customHeight="1">
      <x:c r="A29" s="1" t="n">
        <x:v>46065</x:v>
      </x:c>
      <x:c r="B29" t="str">
        <x:v>한국 생산법인</x:v>
      </x:c>
      <x:c r="C29" t="str">
        <x:v>독일</x:v>
      </x:c>
      <x:c r="D29" t="str">
        <x:v>생활용품</x:v>
      </x:c>
      <x:c r="E29" t="str">
        <x:v>욕실 매트</x:v>
      </x:c>
      <x:c r="F29" t="str">
        <x:v>도매</x:v>
      </x:c>
      <x:c r="G29" s="2" t="n">
        <x:v>116</x:v>
      </x:c>
      <x:c r="H29" s="3" t="n">
        <x:v>13.48</x:v>
      </x:c>
      <x:c r="I29" s="3" t="n">
        <x:f>ROUND(G29*H29,2)</x:f>
        <x:v>1563.68</x:v>
      </x:c>
      <x:c r="J29" s="3" t="n">
        <x:v>503.49</x:v>
      </x:c>
      <x:c r="K29" s="3" t="n">
        <x:v>68.81</x:v>
      </x:c>
      <x:c r="L29" s="4" t="n">
        <x:v>0.0063</x:v>
      </x:c>
      <x:c r="M29" s="4" t="n">
        <x:v>0.9325</x:v>
      </x:c>
    </x:row>
    <x:row r="30" ht="20" customHeight="1">
      <x:c r="A30" s="1" t="n">
        <x:v>46067</x:v>
      </x:c>
      <x:c r="B30" t="str">
        <x:v>베트남 생산법인</x:v>
      </x:c>
      <x:c r="C30" t="str">
        <x:v>싱가포르</x:v>
      </x:c>
      <x:c r="D30" t="str">
        <x:v>주방용품</x:v>
      </x:c>
      <x:c r="E30" t="str">
        <x:v>텀블러</x:v>
      </x:c>
      <x:c r="F30" t="str">
        <x:v>B2B</x:v>
      </x:c>
      <x:c r="G30" s="2" t="n">
        <x:v>227</x:v>
      </x:c>
      <x:c r="H30" s="3" t="n">
        <x:v>19.54</x:v>
      </x:c>
      <x:c r="I30" s="3" t="n">
        <x:f>ROUND(G30*H30,2)</x:f>
        <x:v>4435.58</x:v>
      </x:c>
      <x:c r="J30" s="3" t="n">
        <x:v>1246.35</x:v>
      </x:c>
      <x:c r="K30" s="3" t="n">
        <x:v>176.36</x:v>
      </x:c>
      <x:c r="L30" s="4" t="n">
        <x:v>0.0073</x:v>
      </x:c>
      <x:c r="M30" s="4" t="n">
        <x:v>0.9632</x:v>
      </x:c>
    </x:row>
    <x:row r="31" ht="20" customHeight="1">
      <x:c r="A31" s="1" t="n">
        <x:v>46067</x:v>
      </x:c>
      <x:c r="B31" t="str">
        <x:v>태국 생산법인</x:v>
      </x:c>
      <x:c r="C31" t="str">
        <x:v>싱가포르</x:v>
      </x:c>
      <x:c r="D31" t="str">
        <x:v>주방용품</x:v>
      </x:c>
      <x:c r="E31" t="str">
        <x:v>텀블러</x:v>
      </x:c>
      <x:c r="F31" t="str">
        <x:v>온라인몰</x:v>
      </x:c>
      <x:c r="G31" s="2" t="n">
        <x:v>262</x:v>
      </x:c>
      <x:c r="H31" s="3" t="n">
        <x:v>19.71</x:v>
      </x:c>
      <x:c r="I31" s="3" t="n">
        <x:f>ROUND(G31*H31,2)</x:f>
        <x:v>5164.02</x:v>
      </x:c>
      <x:c r="J31" s="3" t="n">
        <x:v>1004.72</x:v>
      </x:c>
      <x:c r="K31" s="3" t="n">
        <x:v>444.91</x:v>
      </x:c>
      <x:c r="L31" s="4" t="n">
        <x:v>0.0169</x:v>
      </x:c>
      <x:c r="M31" s="4" t="n">
        <x:v>0.9677</x:v>
      </x:c>
    </x:row>
    <x:row r="32" ht="20" customHeight="1">
      <x:c r="A32" s="1" t="n">
        <x:v>46068</x:v>
      </x:c>
      <x:c r="B32" t="str">
        <x:v>한국 생산법인</x:v>
      </x:c>
      <x:c r="C32" t="str">
        <x:v>프랑스</x:v>
      </x:c>
      <x:c r="D32" t="str">
        <x:v>주방용품</x:v>
      </x:c>
      <x:c r="E32" t="str">
        <x:v>텀블러</x:v>
      </x:c>
      <x:c r="F32" t="str">
        <x:v>해외 대리점</x:v>
      </x:c>
      <x:c r="G32" s="2" t="n">
        <x:v>27</x:v>
      </x:c>
      <x:c r="H32" s="3" t="n">
        <x:v>18.59</x:v>
      </x:c>
      <x:c r="I32" s="3" t="n">
        <x:f>ROUND(G32*H32,2)</x:f>
        <x:v>501.93</x:v>
      </x:c>
      <x:c r="J32" s="3" t="n">
        <x:v>103.38</x:v>
      </x:c>
      <x:c r="K32" s="3" t="n">
        <x:v>23.89</x:v>
      </x:c>
      <x:c r="L32" s="4" t="n">
        <x:v>0.0341</x:v>
      </x:c>
      <x:c r="M32" s="4" t="n">
        <x:v>0.9077</x:v>
      </x:c>
    </x:row>
    <x:row r="33" ht="20" customHeight="1">
      <x:c r="A33" s="1" t="n">
        <x:v>46069</x:v>
      </x:c>
      <x:c r="B33" t="str">
        <x:v>태국 생산법인</x:v>
      </x:c>
      <x:c r="C33" t="str">
        <x:v>일본</x:v>
      </x:c>
      <x:c r="D33" t="str">
        <x:v>주방용품</x:v>
      </x:c>
      <x:c r="E33" t="str">
        <x:v>밀폐용기 세트</x:v>
      </x:c>
      <x:c r="F33" t="str">
        <x:v>도매</x:v>
      </x:c>
      <x:c r="G33" s="2" t="n">
        <x:v>311</x:v>
      </x:c>
      <x:c r="H33" s="3" t="n">
        <x:v>26.78</x:v>
      </x:c>
      <x:c r="I33" s="3" t="n">
        <x:f>ROUND(G33*H33,2)</x:f>
        <x:v>8328.58</x:v>
      </x:c>
      <x:c r="J33" s="3" t="n">
        <x:v>2222.75</x:v>
      </x:c>
      <x:c r="K33" s="3" t="n">
        <x:v>196.48</x:v>
      </x:c>
      <x:c r="L33" s="4" t="n">
        <x:v>0.0145</x:v>
      </x:c>
      <x:c r="M33" s="4" t="n">
        <x:v>0.9619</x:v>
      </x:c>
    </x:row>
    <x:row r="34" ht="20" customHeight="1">
      <x:c r="A34" s="1" t="n">
        <x:v>46069</x:v>
      </x:c>
      <x:c r="B34" t="str">
        <x:v>베트남 생산법인</x:v>
      </x:c>
      <x:c r="C34" t="str">
        <x:v>영국</x:v>
      </x:c>
      <x:c r="D34" t="str">
        <x:v>생활가전</x:v>
      </x:c>
      <x:c r="E34" t="str">
        <x:v>전기주전자</x:v>
      </x:c>
      <x:c r="F34" t="str">
        <x:v>해외 대리점</x:v>
      </x:c>
      <x:c r="G34" s="2" t="n">
        <x:v>193</x:v>
      </x:c>
      <x:c r="H34" s="3" t="n">
        <x:v>42.43</x:v>
      </x:c>
      <x:c r="I34" s="3" t="n">
        <x:f>ROUND(G34*H34,2)</x:f>
        <x:v>8188.99</x:v>
      </x:c>
      <x:c r="J34" s="3" t="n">
        <x:v>2648.59</x:v>
      </x:c>
      <x:c r="K34" s="3" t="n">
        <x:v>306.15</x:v>
      </x:c>
      <x:c r="L34" s="4" t="n">
        <x:v>0.0299</x:v>
      </x:c>
      <x:c r="M34" s="4" t="n">
        <x:v>0.9147</x:v>
      </x:c>
    </x:row>
    <x:row r="35" ht="20" customHeight="1">
      <x:c r="A35" s="1" t="n">
        <x:v>46070</x:v>
      </x:c>
      <x:c r="B35" t="str">
        <x:v>태국 생산법인</x:v>
      </x:c>
      <x:c r="C35" t="str">
        <x:v>독일</x:v>
      </x:c>
      <x:c r="D35" t="str">
        <x:v>주방용품</x:v>
      </x:c>
      <x:c r="E35" t="str">
        <x:v>텀블러</x:v>
      </x:c>
      <x:c r="F35" t="str">
        <x:v>온라인몰</x:v>
      </x:c>
      <x:c r="G35" s="2" t="n">
        <x:v>238</x:v>
      </x:c>
      <x:c r="H35" s="3" t="n">
        <x:v>21.64</x:v>
      </x:c>
      <x:c r="I35" s="3" t="n">
        <x:f>ROUND(G35*H35,2)</x:f>
        <x:v>5150.32</x:v>
      </x:c>
      <x:c r="J35" s="3" t="n">
        <x:v>1326.41</x:v>
      </x:c>
      <x:c r="K35" s="3" t="n">
        <x:v>289.89</x:v>
      </x:c>
      <x:c r="L35" s="4" t="n">
        <x:v>0.0028</x:v>
      </x:c>
      <x:c r="M35" s="4" t="n">
        <x:v>0.8952</x:v>
      </x:c>
    </x:row>
    <x:row r="36" ht="20" customHeight="1">
      <x:c r="A36" s="1" t="n">
        <x:v>46071</x:v>
      </x:c>
      <x:c r="B36" t="str">
        <x:v>베트남 생산법인</x:v>
      </x:c>
      <x:c r="C36" t="str">
        <x:v>일본</x:v>
      </x:c>
      <x:c r="D36" t="str">
        <x:v>주방용품</x:v>
      </x:c>
      <x:c r="E36" t="str">
        <x:v>텀블러</x:v>
      </x:c>
      <x:c r="F36" t="str">
        <x:v>B2B</x:v>
      </x:c>
      <x:c r="G36" s="2" t="n">
        <x:v>592</x:v>
      </x:c>
      <x:c r="H36" s="3" t="n">
        <x:v>18.55</x:v>
      </x:c>
      <x:c r="I36" s="3" t="n">
        <x:f>ROUND(G36*H36,2)</x:f>
        <x:v>10981.6</x:v>
      </x:c>
      <x:c r="J36" s="3" t="n">
        <x:v>1682.21</x:v>
      </x:c>
      <x:c r="K36" s="3" t="n">
        <x:v>457.11</x:v>
      </x:c>
      <x:c r="L36" s="4" t="n">
        <x:v>0.0218</x:v>
      </x:c>
      <x:c r="M36" s="4" t="n">
        <x:v>0.9708</x:v>
      </x:c>
    </x:row>
    <x:row r="37" ht="20" customHeight="1">
      <x:c r="A37" s="1" t="n">
        <x:v>46072</x:v>
      </x:c>
      <x:c r="B37" t="str">
        <x:v>중국 생산법인</x:v>
      </x:c>
      <x:c r="C37" t="str">
        <x:v>영국</x:v>
      </x:c>
      <x:c r="D37" t="str">
        <x:v>생활용품</x:v>
      </x:c>
      <x:c r="E37" t="str">
        <x:v>수납함</x:v>
      </x:c>
      <x:c r="F37" t="str">
        <x:v>오프라인 매장</x:v>
      </x:c>
      <x:c r="G37" s="2" t="n">
        <x:v>14</x:v>
      </x:c>
      <x:c r="H37" s="3" t="n">
        <x:v>14.73</x:v>
      </x:c>
      <x:c r="I37" s="3" t="n">
        <x:f>ROUND(G37*H37,2)</x:f>
        <x:v>206.22</x:v>
      </x:c>
      <x:c r="J37" s="3" t="n">
        <x:v>65.15</x:v>
      </x:c>
      <x:c r="K37" s="3" t="n">
        <x:v>4.75</x:v>
      </x:c>
      <x:c r="L37" s="4" t="n">
        <x:v>0.0109</x:v>
      </x:c>
      <x:c r="M37" s="4" t="n">
        <x:v>0.904</x:v>
      </x:c>
    </x:row>
    <x:row r="38" ht="20" customHeight="1">
      <x:c r="A38" s="1" t="n">
        <x:v>46072</x:v>
      </x:c>
      <x:c r="B38" t="str">
        <x:v>중국 생산법인</x:v>
      </x:c>
      <x:c r="C38" t="str">
        <x:v>캐나다</x:v>
      </x:c>
      <x:c r="D38" t="str">
        <x:v>패션잡화</x:v>
      </x:c>
      <x:c r="E38" t="str">
        <x:v>백팩</x:v>
      </x:c>
      <x:c r="F38" t="str">
        <x:v>도매</x:v>
      </x:c>
      <x:c r="G38" s="2" t="n">
        <x:v>811</x:v>
      </x:c>
      <x:c r="H38" s="3" t="n">
        <x:v>45.43</x:v>
      </x:c>
      <x:c r="I38" s="3" t="n">
        <x:f>ROUND(G38*H38,2)</x:f>
        <x:v>36843.73</x:v>
      </x:c>
      <x:c r="J38" s="3" t="n">
        <x:v>6726.09</x:v>
      </x:c>
      <x:c r="K38" s="3" t="n">
        <x:v>1380.21</x:v>
      </x:c>
      <x:c r="L38" s="4" t="n">
        <x:v>0.003</x:v>
      </x:c>
      <x:c r="M38" s="4" t="n">
        <x:v>0.9218</x:v>
      </x:c>
    </x:row>
    <x:row r="39" ht="20" customHeight="1">
      <x:c r="A39" s="1" t="n">
        <x:v>46072</x:v>
      </x:c>
      <x:c r="B39" t="str">
        <x:v>한국 생산법인</x:v>
      </x:c>
      <x:c r="C39" t="str">
        <x:v>일본</x:v>
      </x:c>
      <x:c r="D39" t="str">
        <x:v>생활가전</x:v>
      </x:c>
      <x:c r="E39" t="str">
        <x:v>로봇청소기</x:v>
      </x:c>
      <x:c r="F39" t="str">
        <x:v>해외 대리점</x:v>
      </x:c>
      <x:c r="G39" s="2" t="n">
        <x:v>274</x:v>
      </x:c>
      <x:c r="H39" s="3" t="n">
        <x:v>281.08</x:v>
      </x:c>
      <x:c r="I39" s="3" t="n">
        <x:f>ROUND(G39*H39,2)</x:f>
        <x:v>77015.92</x:v>
      </x:c>
      <x:c r="J39" s="3" t="n">
        <x:v>17468.41</x:v>
      </x:c>
      <x:c r="K39" s="3" t="n">
        <x:v>2437.43</x:v>
      </x:c>
      <x:c r="L39" s="4" t="n">
        <x:v>0.0333</x:v>
      </x:c>
      <x:c r="M39" s="4" t="n">
        <x:v>0.9343</x:v>
      </x:c>
    </x:row>
    <x:row r="40" ht="20" customHeight="1">
      <x:c r="A40" s="1" t="n">
        <x:v>46074</x:v>
      </x:c>
      <x:c r="B40" t="str">
        <x:v>태국 생산법인</x:v>
      </x:c>
      <x:c r="C40" t="str">
        <x:v>독일</x:v>
      </x:c>
      <x:c r="D40" t="str">
        <x:v>생활용품</x:v>
      </x:c>
      <x:c r="E40" t="str">
        <x:v>수납함</x:v>
      </x:c>
      <x:c r="F40" t="str">
        <x:v>도매</x:v>
      </x:c>
      <x:c r="G40" s="2" t="n">
        <x:v>279</x:v>
      </x:c>
      <x:c r="H40" s="3" t="n">
        <x:v>14.47</x:v>
      </x:c>
      <x:c r="I40" s="3" t="n">
        <x:f>ROUND(G40*H40,2)</x:f>
        <x:v>4037.13</x:v>
      </x:c>
      <x:c r="J40" s="3" t="n">
        <x:v>967.48</x:v>
      </x:c>
      <x:c r="K40" s="3" t="n">
        <x:v>90.17</x:v>
      </x:c>
      <x:c r="L40" s="4" t="n">
        <x:v>0.0177</x:v>
      </x:c>
      <x:c r="M40" s="4" t="n">
        <x:v>0.9045</x:v>
      </x:c>
    </x:row>
    <x:row r="41" ht="20" customHeight="1">
      <x:c r="A41" s="1" t="n">
        <x:v>46076</x:v>
      </x:c>
      <x:c r="B41" t="str">
        <x:v>한국 생산법인</x:v>
      </x:c>
      <x:c r="C41" t="str">
        <x:v>싱가포르</x:v>
      </x:c>
      <x:c r="D41" t="str">
        <x:v>생활가전</x:v>
      </x:c>
      <x:c r="E41" t="str">
        <x:v>전기주전자</x:v>
      </x:c>
      <x:c r="F41" t="str">
        <x:v>오프라인 매장</x:v>
      </x:c>
      <x:c r="G41" s="2" t="n">
        <x:v>36</x:v>
      </x:c>
      <x:c r="H41" s="3" t="n">
        <x:v>35.32</x:v>
      </x:c>
      <x:c r="I41" s="3" t="n">
        <x:f>ROUND(G41*H41,2)</x:f>
        <x:v>1271.52</x:v>
      </x:c>
      <x:c r="J41" s="3" t="n">
        <x:v>353.01</x:v>
      </x:c>
      <x:c r="K41" s="3" t="n">
        <x:v>53.61</x:v>
      </x:c>
      <x:c r="L41" s="4" t="n">
        <x:v>0.0166</x:v>
      </x:c>
      <x:c r="M41" s="4" t="n">
        <x:v>0.917</x:v>
      </x:c>
    </x:row>
    <x:row r="42" ht="20" customHeight="1">
      <x:c r="A42" s="1" t="n">
        <x:v>46078</x:v>
      </x:c>
      <x:c r="B42" t="str">
        <x:v>중국 생산법인</x:v>
      </x:c>
      <x:c r="C42" t="str">
        <x:v>일본</x:v>
      </x:c>
      <x:c r="D42" t="str">
        <x:v>패션잡화</x:v>
      </x:c>
      <x:c r="E42" t="str">
        <x:v>지갑</x:v>
      </x:c>
      <x:c r="F42" t="str">
        <x:v>오프라인 매장</x:v>
      </x:c>
      <x:c r="G42" s="2" t="n">
        <x:v>24</x:v>
      </x:c>
      <x:c r="H42" s="3" t="n">
        <x:v>32.06</x:v>
      </x:c>
      <x:c r="I42" s="3" t="n">
        <x:f>ROUND(G42*H42,2)</x:f>
        <x:v>769.44</x:v>
      </x:c>
      <x:c r="J42" s="3" t="n">
        <x:v>139.21</x:v>
      </x:c>
      <x:c r="K42" s="3" t="n">
        <x:v>32.27</x:v>
      </x:c>
      <x:c r="L42" s="4" t="n">
        <x:v>0.005</x:v>
      </x:c>
      <x:c r="M42" s="4" t="n">
        <x:v>0.9753</x:v>
      </x:c>
    </x:row>
    <x:row r="43" ht="20" customHeight="1">
      <x:c r="A43" s="1" t="n">
        <x:v>46079</x:v>
      </x:c>
      <x:c r="B43" t="str">
        <x:v>중국 생산법인</x:v>
      </x:c>
      <x:c r="C43" t="str">
        <x:v>미국</x:v>
      </x:c>
      <x:c r="D43" t="str">
        <x:v>생활용품</x:v>
      </x:c>
      <x:c r="E43" t="str">
        <x:v>수납함</x:v>
      </x:c>
      <x:c r="F43" t="str">
        <x:v>오프라인 매장</x:v>
      </x:c>
      <x:c r="G43" s="2" t="n">
        <x:v>164</x:v>
      </x:c>
      <x:c r="H43" s="3" t="n">
        <x:v>16</x:v>
      </x:c>
      <x:c r="I43" s="3" t="n">
        <x:f>ROUND(G43*H43,2)</x:f>
        <x:v>2624</x:v>
      </x:c>
      <x:c r="J43" s="3" t="n">
        <x:v>820.91</x:v>
      </x:c>
      <x:c r="K43" s="3" t="n">
        <x:v>78.47</x:v>
      </x:c>
      <x:c r="L43" s="4" t="n">
        <x:v>0.0326</x:v>
      </x:c>
      <x:c r="M43" s="4" t="n">
        <x:v>0.9854</x:v>
      </x:c>
    </x:row>
    <x:row r="44" ht="20" customHeight="1">
      <x:c r="A44" s="1" t="n">
        <x:v>46080</x:v>
      </x:c>
      <x:c r="B44" t="str">
        <x:v>중국 생산법인</x:v>
      </x:c>
      <x:c r="C44" t="str">
        <x:v>캐나다</x:v>
      </x:c>
      <x:c r="D44" t="str">
        <x:v>패션잡화</x:v>
      </x:c>
      <x:c r="E44" t="str">
        <x:v>여행용 캐리어</x:v>
      </x:c>
      <x:c r="F44" t="str">
        <x:v>오프라인 매장</x:v>
      </x:c>
      <x:c r="G44" s="2" t="n">
        <x:v>104</x:v>
      </x:c>
      <x:c r="H44" s="3" t="n">
        <x:v>114.45</x:v>
      </x:c>
      <x:c r="I44" s="3" t="n">
        <x:f>ROUND(G44*H44,2)</x:f>
        <x:v>11902.8</x:v>
      </x:c>
      <x:c r="J44" s="3" t="n">
        <x:v>3047.38</x:v>
      </x:c>
      <x:c r="K44" s="3" t="n">
        <x:v>254.13</x:v>
      </x:c>
      <x:c r="L44" s="4" t="n">
        <x:v>0.0238</x:v>
      </x:c>
      <x:c r="M44" s="4" t="n">
        <x:v>0.9386</x:v>
      </x:c>
    </x:row>
    <x:row r="45" ht="20" customHeight="1">
      <x:c r="A45" s="1" t="n">
        <x:v>46081</x:v>
      </x:c>
      <x:c r="B45" t="str">
        <x:v>중국 생산법인</x:v>
      </x:c>
      <x:c r="C45" t="str">
        <x:v>독일</x:v>
      </x:c>
      <x:c r="D45" t="str">
        <x:v>생활가전</x:v>
      </x:c>
      <x:c r="E45" t="str">
        <x:v>전기주전자</x:v>
      </x:c>
      <x:c r="F45" t="str">
        <x:v>B2B</x:v>
      </x:c>
      <x:c r="G45" s="2" t="n">
        <x:v>847</x:v>
      </x:c>
      <x:c r="H45" s="3" t="n">
        <x:v>45.65</x:v>
      </x:c>
      <x:c r="I45" s="3" t="n">
        <x:f>ROUND(G45*H45,2)</x:f>
        <x:v>38665.55</x:v>
      </x:c>
      <x:c r="J45" s="3" t="n">
        <x:v>8990.82</x:v>
      </x:c>
      <x:c r="K45" s="3" t="n">
        <x:v>1745.79</x:v>
      </x:c>
      <x:c r="L45" s="4" t="n">
        <x:v>0.0309</x:v>
      </x:c>
      <x:c r="M45" s="4" t="n">
        <x:v>0.916</x:v>
      </x:c>
    </x:row>
    <x:row r="46" ht="20" customHeight="1">
      <x:c r="A46" s="1" t="n">
        <x:v>46086</x:v>
      </x:c>
      <x:c r="B46" t="str">
        <x:v>태국 생산법인</x:v>
      </x:c>
      <x:c r="C46" t="str">
        <x:v>영국</x:v>
      </x:c>
      <x:c r="D46" t="str">
        <x:v>생활용품</x:v>
      </x:c>
      <x:c r="E46" t="str">
        <x:v>LED 데스크 조명</x:v>
      </x:c>
      <x:c r="F46" t="str">
        <x:v>B2B</x:v>
      </x:c>
      <x:c r="G46" s="2" t="n">
        <x:v>873</x:v>
      </x:c>
      <x:c r="H46" s="3" t="n">
        <x:v>37.07</x:v>
      </x:c>
      <x:c r="I46" s="3" t="n">
        <x:f>ROUND(G46*H46,2)</x:f>
        <x:v>32362.11</x:v>
      </x:c>
      <x:c r="J46" s="3" t="n">
        <x:v>7670.21</x:v>
      </x:c>
      <x:c r="K46" s="3" t="n">
        <x:v>509.96</x:v>
      </x:c>
      <x:c r="L46" s="4" t="n">
        <x:v>0.0109</x:v>
      </x:c>
      <x:c r="M46" s="4" t="n">
        <x:v>0.8986</x:v>
      </x:c>
    </x:row>
    <x:row r="47" ht="20" customHeight="1">
      <x:c r="A47" s="1" t="n">
        <x:v>46087</x:v>
      </x:c>
      <x:c r="B47" t="str">
        <x:v>중국 생산법인</x:v>
      </x:c>
      <x:c r="C47" t="str">
        <x:v>프랑스</x:v>
      </x:c>
      <x:c r="D47" t="str">
        <x:v>생활가전</x:v>
      </x:c>
      <x:c r="E47" t="str">
        <x:v>전기주전자</x:v>
      </x:c>
      <x:c r="F47" t="str">
        <x:v>도매</x:v>
      </x:c>
      <x:c r="G47" s="2" t="n">
        <x:v>170</x:v>
      </x:c>
      <x:c r="H47" s="3" t="n">
        <x:v>45.1</x:v>
      </x:c>
      <x:c r="I47" s="3" t="n">
        <x:f>ROUND(G47*H47,2)</x:f>
        <x:v>7667</x:v>
      </x:c>
      <x:c r="J47" s="3" t="n">
        <x:v>2391.84</x:v>
      </x:c>
      <x:c r="K47" s="3" t="n">
        <x:v>329.56</x:v>
      </x:c>
      <x:c r="L47" s="4" t="n">
        <x:v>0.0047</x:v>
      </x:c>
      <x:c r="M47" s="4" t="n">
        <x:v>0.9169</x:v>
      </x:c>
    </x:row>
    <x:row r="48" ht="20" customHeight="1">
      <x:c r="A48" s="1" t="n">
        <x:v>46088</x:v>
      </x:c>
      <x:c r="B48" t="str">
        <x:v>중국 생산법인</x:v>
      </x:c>
      <x:c r="C48" t="str">
        <x:v>싱가포르</x:v>
      </x:c>
      <x:c r="D48" t="str">
        <x:v>생활용품</x:v>
      </x:c>
      <x:c r="E48" t="str">
        <x:v>욕실 매트</x:v>
      </x:c>
      <x:c r="F48" t="str">
        <x:v>해외 대리점</x:v>
      </x:c>
      <x:c r="G48" s="2" t="n">
        <x:v>295</x:v>
      </x:c>
      <x:c r="H48" s="3" t="n">
        <x:v>12.74</x:v>
      </x:c>
      <x:c r="I48" s="3" t="n">
        <x:f>ROUND(G48*H48,2)</x:f>
        <x:v>3758.3</x:v>
      </x:c>
      <x:c r="J48" s="3" t="n">
        <x:v>682.08</x:v>
      </x:c>
      <x:c r="K48" s="3" t="n">
        <x:v>74.34</x:v>
      </x:c>
      <x:c r="L48" s="4" t="n">
        <x:v>0.006</x:v>
      </x:c>
      <x:c r="M48" s="4" t="n">
        <x:v>0.9729</x:v>
      </x:c>
    </x:row>
    <x:row r="49" ht="20" customHeight="1">
      <x:c r="A49" s="1" t="n">
        <x:v>46090</x:v>
      </x:c>
      <x:c r="B49" t="str">
        <x:v>한국 생산법인</x:v>
      </x:c>
      <x:c r="C49" t="str">
        <x:v>독일</x:v>
      </x:c>
      <x:c r="D49" t="str">
        <x:v>생활가전</x:v>
      </x:c>
      <x:c r="E49" t="str">
        <x:v>전기주전자</x:v>
      </x:c>
      <x:c r="F49" t="str">
        <x:v>B2B</x:v>
      </x:c>
      <x:c r="G49" s="2" t="n">
        <x:v>117</x:v>
      </x:c>
      <x:c r="H49" s="3" t="n">
        <x:v>36.41</x:v>
      </x:c>
      <x:c r="I49" s="3" t="n">
        <x:f>ROUND(G49*H49,2)</x:f>
        <x:v>4259.97</x:v>
      </x:c>
      <x:c r="J49" s="3" t="n">
        <x:v>1268.6</x:v>
      </x:c>
      <x:c r="K49" s="3" t="n">
        <x:v>107.95</x:v>
      </x:c>
      <x:c r="L49" s="4" t="n">
        <x:v>0.0154</x:v>
      </x:c>
      <x:c r="M49" s="4" t="n">
        <x:v>0.885</x:v>
      </x:c>
    </x:row>
    <x:row r="50" ht="20" customHeight="1">
      <x:c r="A50" s="1" t="n">
        <x:v>46093</x:v>
      </x:c>
      <x:c r="B50" t="str">
        <x:v>중국 생산법인</x:v>
      </x:c>
      <x:c r="C50" t="str">
        <x:v>미국</x:v>
      </x:c>
      <x:c r="D50" t="str">
        <x:v>전자제품</x:v>
      </x:c>
      <x:c r="E50" t="str">
        <x:v>무선 이어폰</x:v>
      </x:c>
      <x:c r="F50" t="str">
        <x:v>도매</x:v>
      </x:c>
      <x:c r="G50" s="2" t="n">
        <x:v>642</x:v>
      </x:c>
      <x:c r="H50" s="3" t="n">
        <x:v>47.12</x:v>
      </x:c>
      <x:c r="I50" s="3" t="n">
        <x:f>ROUND(G50*H50,2)</x:f>
        <x:v>30251.04</x:v>
      </x:c>
      <x:c r="J50" s="3" t="n">
        <x:v>8771.35</x:v>
      </x:c>
      <x:c r="K50" s="3" t="n">
        <x:v>617.35</x:v>
      </x:c>
      <x:c r="L50" s="4" t="n">
        <x:v>0.0063</x:v>
      </x:c>
      <x:c r="M50" s="4" t="n">
        <x:v>0.9666</x:v>
      </x:c>
    </x:row>
    <x:row r="51" ht="20" customHeight="1">
      <x:c r="A51" s="1" t="n">
        <x:v>46093</x:v>
      </x:c>
      <x:c r="B51" t="str">
        <x:v>한국 생산법인</x:v>
      </x:c>
      <x:c r="C51" t="str">
        <x:v>독일</x:v>
      </x:c>
      <x:c r="D51" t="str">
        <x:v>생활가전</x:v>
      </x:c>
      <x:c r="E51" t="str">
        <x:v>전기주전자</x:v>
      </x:c>
      <x:c r="F51" t="str">
        <x:v>B2B</x:v>
      </x:c>
      <x:c r="G51" s="2" t="n">
        <x:v>440</x:v>
      </x:c>
      <x:c r="H51" s="3" t="n">
        <x:v>45.28</x:v>
      </x:c>
      <x:c r="I51" s="3" t="n">
        <x:f>ROUND(G51*H51,2)</x:f>
        <x:v>19923.2</x:v>
      </x:c>
      <x:c r="J51" s="3" t="n">
        <x:v>3736.6</x:v>
      </x:c>
      <x:c r="K51" s="3" t="n">
        <x:v>329.12</x:v>
      </x:c>
      <x:c r="L51" s="4" t="n">
        <x:v>0.0201</x:v>
      </x:c>
      <x:c r="M51" s="4" t="n">
        <x:v>0.8885</x:v>
      </x:c>
    </x:row>
    <x:row r="52" ht="20" customHeight="1">
      <x:c r="A52" s="1" t="n">
        <x:v>46093</x:v>
      </x:c>
      <x:c r="B52" t="str">
        <x:v>베트남 생산법인</x:v>
      </x:c>
      <x:c r="C52" t="str">
        <x:v>호주</x:v>
      </x:c>
      <x:c r="D52" t="str">
        <x:v>주방용품</x:v>
      </x:c>
      <x:c r="E52" t="str">
        <x:v>스테인리스 냄비</x:v>
      </x:c>
      <x:c r="F52" t="str">
        <x:v>해외 대리점</x:v>
      </x:c>
      <x:c r="G52" s="2" t="n">
        <x:v>186</x:v>
      </x:c>
      <x:c r="H52" s="3" t="n">
        <x:v>55.25</x:v>
      </x:c>
      <x:c r="I52" s="3" t="n">
        <x:f>ROUND(G52*H52,2)</x:f>
        <x:v>10276.5</x:v>
      </x:c>
      <x:c r="J52" s="3" t="n">
        <x:v>1777.55</x:v>
      </x:c>
      <x:c r="K52" s="3" t="n">
        <x:v>460.29</x:v>
      </x:c>
      <x:c r="L52" s="4" t="n">
        <x:v>0.0181</x:v>
      </x:c>
      <x:c r="M52" s="4" t="n">
        <x:v>0.8946</x:v>
      </x:c>
    </x:row>
    <x:row r="53" ht="20" customHeight="1">
      <x:c r="A53" s="1" t="n">
        <x:v>46093</x:v>
      </x:c>
      <x:c r="B53" t="str">
        <x:v>한국 생산법인</x:v>
      </x:c>
      <x:c r="C53" t="str">
        <x:v>일본</x:v>
      </x:c>
      <x:c r="D53" t="str">
        <x:v>전자제품</x:v>
      </x:c>
      <x:c r="E53" t="str">
        <x:v>스마트워치</x:v>
      </x:c>
      <x:c r="F53" t="str">
        <x:v>해외 대리점</x:v>
      </x:c>
      <x:c r="G53" s="2" t="n">
        <x:v>25</x:v>
      </x:c>
      <x:c r="H53" s="3" t="n">
        <x:v>148.27</x:v>
      </x:c>
      <x:c r="I53" s="3" t="n">
        <x:f>ROUND(G53*H53,2)</x:f>
        <x:v>3706.75</x:v>
      </x:c>
      <x:c r="J53" s="3" t="n">
        <x:v>841.58</x:v>
      </x:c>
      <x:c r="K53" s="3" t="n">
        <x:v>137.62</x:v>
      </x:c>
      <x:c r="L53" s="4" t="n">
        <x:v>0.007</x:v>
      </x:c>
      <x:c r="M53" s="4" t="n">
        <x:v>0.9245</x:v>
      </x:c>
    </x:row>
    <x:row r="54" ht="20" customHeight="1">
      <x:c r="A54" s="1" t="n">
        <x:v>46096</x:v>
      </x:c>
      <x:c r="B54" t="str">
        <x:v>한국 생산법인</x:v>
      </x:c>
      <x:c r="C54" t="str">
        <x:v>영국</x:v>
      </x:c>
      <x:c r="D54" t="str">
        <x:v>주방용품</x:v>
      </x:c>
      <x:c r="E54" t="str">
        <x:v>스테인리스 냄비</x:v>
      </x:c>
      <x:c r="F54" t="str">
        <x:v>B2B</x:v>
      </x:c>
      <x:c r="G54" s="2" t="n">
        <x:v>457</x:v>
      </x:c>
      <x:c r="H54" s="3" t="n">
        <x:v>60.83</x:v>
      </x:c>
      <x:c r="I54" s="3" t="n">
        <x:f>ROUND(G54*H54,2)</x:f>
        <x:v>27799.31</x:v>
      </x:c>
      <x:c r="J54" s="3" t="n">
        <x:v>7039.21</x:v>
      </x:c>
      <x:c r="K54" s="3" t="n">
        <x:v>1223.55</x:v>
      </x:c>
      <x:c r="L54" s="4" t="n">
        <x:v>0.0165</x:v>
      </x:c>
      <x:c r="M54" s="4" t="n">
        <x:v>0.9508</x:v>
      </x:c>
    </x:row>
    <x:row r="55" ht="20" customHeight="1">
      <x:c r="A55" s="1" t="n">
        <x:v>46098</x:v>
      </x:c>
      <x:c r="B55" t="str">
        <x:v>한국 생산법인</x:v>
      </x:c>
      <x:c r="C55" t="str">
        <x:v>인도</x:v>
      </x:c>
      <x:c r="D55" t="str">
        <x:v>패션잡화</x:v>
      </x:c>
      <x:c r="E55" t="str">
        <x:v>여행용 캐리어</x:v>
      </x:c>
      <x:c r="F55" t="str">
        <x:v>온라인몰</x:v>
      </x:c>
      <x:c r="G55" s="2" t="n">
        <x:v>241</x:v>
      </x:c>
      <x:c r="H55" s="3" t="n">
        <x:v>87.22</x:v>
      </x:c>
      <x:c r="I55" s="3" t="n">
        <x:f>ROUND(G55*H55,2)</x:f>
        <x:v>21020.02</x:v>
      </x:c>
      <x:c r="J55" s="3" t="n">
        <x:v>5780.61</x:v>
      </x:c>
      <x:c r="K55" s="3" t="n">
        <x:v>1740.89</x:v>
      </x:c>
      <x:c r="L55" s="4" t="n">
        <x:v>0.0305</x:v>
      </x:c>
      <x:c r="M55" s="4" t="n">
        <x:v>0.925</x:v>
      </x:c>
    </x:row>
    <x:row r="56" ht="20" customHeight="1">
      <x:c r="A56" s="1" t="n">
        <x:v>46099</x:v>
      </x:c>
      <x:c r="B56" t="str">
        <x:v>베트남 생산법인</x:v>
      </x:c>
      <x:c r="C56" t="str">
        <x:v>싱가포르</x:v>
      </x:c>
      <x:c r="D56" t="str">
        <x:v>전자제품</x:v>
      </x:c>
      <x:c r="E56" t="str">
        <x:v>스마트워치</x:v>
      </x:c>
      <x:c r="F56" t="str">
        <x:v>도매</x:v>
      </x:c>
      <x:c r="G56" s="2" t="n">
        <x:v>978</x:v>
      </x:c>
      <x:c r="H56" s="3" t="n">
        <x:v>128.42</x:v>
      </x:c>
      <x:c r="I56" s="3" t="n">
        <x:f>ROUND(G56*H56,2)</x:f>
        <x:v>125594.76</x:v>
      </x:c>
      <x:c r="J56" s="3" t="n">
        <x:v>42697.82</x:v>
      </x:c>
      <x:c r="K56" s="3" t="n">
        <x:v>2830.37</x:v>
      </x:c>
      <x:c r="L56" s="4" t="n">
        <x:v>0.0255</x:v>
      </x:c>
      <x:c r="M56" s="4" t="n">
        <x:v>0.9108</x:v>
      </x:c>
    </x:row>
    <x:row r="57" ht="20" customHeight="1">
      <x:c r="A57" s="1" t="n">
        <x:v>46099</x:v>
      </x:c>
      <x:c r="B57" t="str">
        <x:v>한국 생산법인</x:v>
      </x:c>
      <x:c r="C57" t="str">
        <x:v>일본</x:v>
      </x:c>
      <x:c r="D57" t="str">
        <x:v>주방용품</x:v>
      </x:c>
      <x:c r="E57" t="str">
        <x:v>밀폐용기 세트</x:v>
      </x:c>
      <x:c r="F57" t="str">
        <x:v>온라인몰</x:v>
      </x:c>
      <x:c r="G57" s="2" t="n">
        <x:v>275</x:v>
      </x:c>
      <x:c r="H57" s="3" t="n">
        <x:v>25.35</x:v>
      </x:c>
      <x:c r="I57" s="3" t="n">
        <x:f>ROUND(G57*H57,2)</x:f>
        <x:v>6971.25</x:v>
      </x:c>
      <x:c r="J57" s="3" t="n">
        <x:v>1085.75</x:v>
      </x:c>
      <x:c r="K57" s="3" t="n">
        <x:v>509.32</x:v>
      </x:c>
      <x:c r="L57" s="4" t="n">
        <x:v>0.0207</x:v>
      </x:c>
      <x:c r="M57" s="4" t="n">
        <x:v>0.9865</x:v>
      </x:c>
    </x:row>
    <x:row r="58" ht="20" customHeight="1">
      <x:c r="A58" s="1" t="n">
        <x:v>46102</x:v>
      </x:c>
      <x:c r="B58" t="str">
        <x:v>태국 생산법인</x:v>
      </x:c>
      <x:c r="C58" t="str">
        <x:v>인도</x:v>
      </x:c>
      <x:c r="D58" t="str">
        <x:v>주방용품</x:v>
      </x:c>
      <x:c r="E58" t="str">
        <x:v>스테인리스 냄비</x:v>
      </x:c>
      <x:c r="F58" t="str">
        <x:v>오프라인 매장</x:v>
      </x:c>
      <x:c r="G58" s="2" t="n">
        <x:v>279</x:v>
      </x:c>
      <x:c r="H58" s="3" t="n">
        <x:v>60.95</x:v>
      </x:c>
      <x:c r="I58" s="3" t="n">
        <x:f>ROUND(G58*H58,2)</x:f>
        <x:v>17005.05</x:v>
      </x:c>
      <x:c r="J58" s="3" t="n">
        <x:v>3608.98</x:v>
      </x:c>
      <x:c r="K58" s="3" t="n">
        <x:v>603.33</x:v>
      </x:c>
      <x:c r="L58" s="4" t="n">
        <x:v>0.0246</x:v>
      </x:c>
      <x:c r="M58" s="4" t="n">
        <x:v>0.9225</x:v>
      </x:c>
    </x:row>
    <x:row r="59" ht="20" customHeight="1">
      <x:c r="A59" s="1" t="n">
        <x:v>46103</x:v>
      </x:c>
      <x:c r="B59" t="str">
        <x:v>한국 생산법인</x:v>
      </x:c>
      <x:c r="C59" t="str">
        <x:v>호주</x:v>
      </x:c>
      <x:c r="D59" t="str">
        <x:v>패션잡화</x:v>
      </x:c>
      <x:c r="E59" t="str">
        <x:v>여행용 캐리어</x:v>
      </x:c>
      <x:c r="F59" t="str">
        <x:v>B2B</x:v>
      </x:c>
      <x:c r="G59" s="2" t="n">
        <x:v>236</x:v>
      </x:c>
      <x:c r="H59" s="3" t="n">
        <x:v>110.09</x:v>
      </x:c>
      <x:c r="I59" s="3" t="n">
        <x:f>ROUND(G59*H59,2)</x:f>
        <x:v>25981.24</x:v>
      </x:c>
      <x:c r="J59" s="3" t="n">
        <x:v>7847.87</x:v>
      </x:c>
      <x:c r="K59" s="3" t="n">
        <x:v>1035.22</x:v>
      </x:c>
      <x:c r="L59" s="4" t="n">
        <x:v>0.0319</x:v>
      </x:c>
      <x:c r="M59" s="4" t="n">
        <x:v>0.9842</x:v>
      </x:c>
    </x:row>
    <x:row r="60" ht="20" customHeight="1">
      <x:c r="A60" s="1" t="n">
        <x:v>46104</x:v>
      </x:c>
      <x:c r="B60" t="str">
        <x:v>베트남 생산법인</x:v>
      </x:c>
      <x:c r="C60" t="str">
        <x:v>싱가포르</x:v>
      </x:c>
      <x:c r="D60" t="str">
        <x:v>생활가전</x:v>
      </x:c>
      <x:c r="E60" t="str">
        <x:v>전기주전자</x:v>
      </x:c>
      <x:c r="F60" t="str">
        <x:v>해외 대리점</x:v>
      </x:c>
      <x:c r="G60" s="2" t="n">
        <x:v>130</x:v>
      </x:c>
      <x:c r="H60" s="3" t="n">
        <x:v>40.78</x:v>
      </x:c>
      <x:c r="I60" s="3" t="n">
        <x:f>ROUND(G60*H60,2)</x:f>
        <x:v>5301.4</x:v>
      </x:c>
      <x:c r="J60" s="3" t="n">
        <x:v>1195.53</x:v>
      </x:c>
      <x:c r="K60" s="3" t="n">
        <x:v>126.54</x:v>
      </x:c>
      <x:c r="L60" s="4" t="n">
        <x:v>0.0288</x:v>
      </x:c>
      <x:c r="M60" s="4" t="n">
        <x:v>0.9937</x:v>
      </x:c>
    </x:row>
    <x:row r="61" ht="20" customHeight="1">
      <x:c r="A61" s="1" t="n">
        <x:v>46104</x:v>
      </x:c>
      <x:c r="B61" t="str">
        <x:v>한국 생산법인</x:v>
      </x:c>
      <x:c r="C61" t="str">
        <x:v>인도</x:v>
      </x:c>
      <x:c r="D61" t="str">
        <x:v>주방용품</x:v>
      </x:c>
      <x:c r="E61" t="str">
        <x:v>스테인리스 냄비</x:v>
      </x:c>
      <x:c r="F61" t="str">
        <x:v>해외 대리점</x:v>
      </x:c>
      <x:c r="G61" s="2" t="n">
        <x:v>140</x:v>
      </x:c>
      <x:c r="H61" s="3" t="n">
        <x:v>52.25</x:v>
      </x:c>
      <x:c r="I61" s="3" t="n">
        <x:f>ROUND(G61*H61,2)</x:f>
        <x:v>7315</x:v>
      </x:c>
      <x:c r="J61" s="3" t="n">
        <x:v>2212.54</x:v>
      </x:c>
      <x:c r="K61" s="3" t="n">
        <x:v>324.25</x:v>
      </x:c>
      <x:c r="L61" s="4" t="n">
        <x:v>0.033</x:v>
      </x:c>
      <x:c r="M61" s="4" t="n">
        <x:v>0.9433</x:v>
      </x:c>
    </x:row>
    <x:row r="62" ht="20" customHeight="1">
      <x:c r="A62" s="1" t="n">
        <x:v>46104</x:v>
      </x:c>
      <x:c r="B62" t="str">
        <x:v>베트남 생산법인</x:v>
      </x:c>
      <x:c r="C62" t="str">
        <x:v>일본</x:v>
      </x:c>
      <x:c r="D62" t="str">
        <x:v>생활가전</x:v>
      </x:c>
      <x:c r="E62" t="str">
        <x:v>로봇청소기</x:v>
      </x:c>
      <x:c r="F62" t="str">
        <x:v>B2B</x:v>
      </x:c>
      <x:c r="G62" s="2" t="n">
        <x:v>861</x:v>
      </x:c>
      <x:c r="H62" s="3" t="n">
        <x:v>325.97</x:v>
      </x:c>
      <x:c r="I62" s="3" t="n">
        <x:f>ROUND(G62*H62,2)</x:f>
        <x:v>280660.17</x:v>
      </x:c>
      <x:c r="J62" s="3" t="n">
        <x:v>69392.57</x:v>
      </x:c>
      <x:c r="K62" s="3" t="n">
        <x:v>10087.83</x:v>
      </x:c>
      <x:c r="L62" s="4" t="n">
        <x:v>0.0258</x:v>
      </x:c>
      <x:c r="M62" s="4" t="n">
        <x:v>0.8832</x:v>
      </x:c>
    </x:row>
    <x:row r="63" ht="20" customHeight="1">
      <x:c r="A63" s="1" t="n">
        <x:v>46104</x:v>
      </x:c>
      <x:c r="B63" t="str">
        <x:v>베트남 생산법인</x:v>
      </x:c>
      <x:c r="C63" t="str">
        <x:v>프랑스</x:v>
      </x:c>
      <x:c r="D63" t="str">
        <x:v>패션잡화</x:v>
      </x:c>
      <x:c r="E63" t="str">
        <x:v>여행용 캐리어</x:v>
      </x:c>
      <x:c r="F63" t="str">
        <x:v>도매</x:v>
      </x:c>
      <x:c r="G63" s="2" t="n">
        <x:v>236</x:v>
      </x:c>
      <x:c r="H63" s="3" t="n">
        <x:v>109.76</x:v>
      </x:c>
      <x:c r="I63" s="3" t="n">
        <x:f>ROUND(G63*H63,2)</x:f>
        <x:v>25903.36</x:v>
      </x:c>
      <x:c r="J63" s="3" t="n">
        <x:v>4062.42</x:v>
      </x:c>
      <x:c r="K63" s="3" t="n">
        <x:v>1212.62</x:v>
      </x:c>
      <x:c r="L63" s="4" t="n">
        <x:v>0.0061</x:v>
      </x:c>
      <x:c r="M63" s="4" t="n">
        <x:v>0.9987</x:v>
      </x:c>
    </x:row>
    <x:row r="64" ht="20" customHeight="1">
      <x:c r="A64" s="1" t="n">
        <x:v>46107</x:v>
      </x:c>
      <x:c r="B64" t="str">
        <x:v>베트남 생산법인</x:v>
      </x:c>
      <x:c r="C64" t="str">
        <x:v>싱가포르</x:v>
      </x:c>
      <x:c r="D64" t="str">
        <x:v>주방용품</x:v>
      </x:c>
      <x:c r="E64" t="str">
        <x:v>텀블러</x:v>
      </x:c>
      <x:c r="F64" t="str">
        <x:v>도매</x:v>
      </x:c>
      <x:c r="G64" s="2" t="n">
        <x:v>462</x:v>
      </x:c>
      <x:c r="H64" s="3" t="n">
        <x:v>21.15</x:v>
      </x:c>
      <x:c r="I64" s="3" t="n">
        <x:f>ROUND(G64*H64,2)</x:f>
        <x:v>9771.3</x:v>
      </x:c>
      <x:c r="J64" s="3" t="n">
        <x:v>2616.58</x:v>
      </x:c>
      <x:c r="K64" s="3" t="n">
        <x:v>294.09</x:v>
      </x:c>
      <x:c r="L64" s="4" t="n">
        <x:v>0.0063</x:v>
      </x:c>
      <x:c r="M64" s="4" t="n">
        <x:v>0.9264</x:v>
      </x:c>
    </x:row>
    <x:row r="65" ht="20" customHeight="1">
      <x:c r="A65" s="1" t="n">
        <x:v>46110</x:v>
      </x:c>
      <x:c r="B65" t="str">
        <x:v>중국 생산법인</x:v>
      </x:c>
      <x:c r="C65" t="str">
        <x:v>캐나다</x:v>
      </x:c>
      <x:c r="D65" t="str">
        <x:v>생활가전</x:v>
      </x:c>
      <x:c r="E65" t="str">
        <x:v>전기주전자</x:v>
      </x:c>
      <x:c r="F65" t="str">
        <x:v>도매</x:v>
      </x:c>
      <x:c r="G65" s="2" t="n">
        <x:v>826</x:v>
      </x:c>
      <x:c r="H65" s="3" t="n">
        <x:v>44.42</x:v>
      </x:c>
      <x:c r="I65" s="3" t="n">
        <x:f>ROUND(G65*H65,2)</x:f>
        <x:v>36690.92</x:v>
      </x:c>
      <x:c r="J65" s="3" t="n">
        <x:v>8201.09</x:v>
      </x:c>
      <x:c r="K65" s="3" t="n">
        <x:v>1581.59</x:v>
      </x:c>
      <x:c r="L65" s="4" t="n">
        <x:v>0.0227</x:v>
      </x:c>
      <x:c r="M65" s="4" t="n">
        <x:v>0.9497</x:v>
      </x:c>
    </x:row>
    <x:row r="66" ht="20" customHeight="1">
      <x:c r="A66" s="1" t="n">
        <x:v>46111</x:v>
      </x:c>
      <x:c r="B66" t="str">
        <x:v>한국 생산법인</x:v>
      </x:c>
      <x:c r="C66" t="str">
        <x:v>싱가포르</x:v>
      </x:c>
      <x:c r="D66" t="str">
        <x:v>생활가전</x:v>
      </x:c>
      <x:c r="E66" t="str">
        <x:v>로봇청소기</x:v>
      </x:c>
      <x:c r="F66" t="str">
        <x:v>오프라인 매장</x:v>
      </x:c>
      <x:c r="G66" s="2" t="n">
        <x:v>13</x:v>
      </x:c>
      <x:c r="H66" s="3" t="n">
        <x:v>309.17</x:v>
      </x:c>
      <x:c r="I66" s="3" t="n">
        <x:f>ROUND(G66*H66,2)</x:f>
        <x:v>4019.21</x:v>
      </x:c>
      <x:c r="J66" s="3" t="n">
        <x:v>867.96</x:v>
      </x:c>
      <x:c r="K66" s="3" t="n">
        <x:v>114.09</x:v>
      </x:c>
      <x:c r="L66" s="4" t="n">
        <x:v>0.0284</x:v>
      </x:c>
      <x:c r="M66" s="4" t="n">
        <x:v>0.9142</x:v>
      </x:c>
    </x:row>
    <x:row r="67" ht="20" customHeight="1">
      <x:c r="A67" s="1" t="n">
        <x:v>46112</x:v>
      </x:c>
      <x:c r="B67" t="str">
        <x:v>태국 생산법인</x:v>
      </x:c>
      <x:c r="C67" t="str">
        <x:v>호주</x:v>
      </x:c>
      <x:c r="D67" t="str">
        <x:v>주방용품</x:v>
      </x:c>
      <x:c r="E67" t="str">
        <x:v>스테인리스 냄비</x:v>
      </x:c>
      <x:c r="F67" t="str">
        <x:v>도매</x:v>
      </x:c>
      <x:c r="G67" s="2" t="n">
        <x:v>967</x:v>
      </x:c>
      <x:c r="H67" s="3" t="n">
        <x:v>47.41</x:v>
      </x:c>
      <x:c r="I67" s="3" t="n">
        <x:f>ROUND(G67*H67,2)</x:f>
        <x:v>45845.47</x:v>
      </x:c>
      <x:c r="J67" s="3" t="n">
        <x:v>7767.37</x:v>
      </x:c>
      <x:c r="K67" s="3" t="n">
        <x:v>538.22</x:v>
      </x:c>
      <x:c r="L67" s="4" t="n">
        <x:v>0.0351</x:v>
      </x:c>
      <x:c r="M67" s="4" t="n">
        <x:v>0.9826</x:v>
      </x:c>
    </x:row>
    <x:row r="68" ht="20" customHeight="1">
      <x:c r="A68" s="1" t="n">
        <x:v>46115</x:v>
      </x:c>
      <x:c r="B68" t="str">
        <x:v>베트남 생산법인</x:v>
      </x:c>
      <x:c r="C68" t="str">
        <x:v>독일</x:v>
      </x:c>
      <x:c r="D68" t="str">
        <x:v>생활가전</x:v>
      </x:c>
      <x:c r="E68" t="str">
        <x:v>로봇청소기</x:v>
      </x:c>
      <x:c r="F68" t="str">
        <x:v>도매</x:v>
      </x:c>
      <x:c r="G68" s="2" t="n">
        <x:v>831</x:v>
      </x:c>
      <x:c r="H68" s="3" t="n">
        <x:v>273.55</x:v>
      </x:c>
      <x:c r="I68" s="3" t="n">
        <x:f>ROUND(G68*H68,2)</x:f>
        <x:v>227320.05</x:v>
      </x:c>
      <x:c r="J68" s="3" t="n">
        <x:v>66158.89</x:v>
      </x:c>
      <x:c r="K68" s="3" t="n">
        <x:v>9698.1</x:v>
      </x:c>
      <x:c r="L68" s="4" t="n">
        <x:v>0.0087</x:v>
      </x:c>
      <x:c r="M68" s="4" t="n">
        <x:v>0.9035</x:v>
      </x:c>
    </x:row>
    <x:row r="69" ht="20" customHeight="1">
      <x:c r="A69" s="1" t="n">
        <x:v>46115</x:v>
      </x:c>
      <x:c r="B69" t="str">
        <x:v>베트남 생산법인</x:v>
      </x:c>
      <x:c r="C69" t="str">
        <x:v>영국</x:v>
      </x:c>
      <x:c r="D69" t="str">
        <x:v>생활가전</x:v>
      </x:c>
      <x:c r="E69" t="str">
        <x:v>공기청정기</x:v>
      </x:c>
      <x:c r="F69" t="str">
        <x:v>B2B</x:v>
      </x:c>
      <x:c r="G69" s="2" t="n">
        <x:v>522</x:v>
      </x:c>
      <x:c r="H69" s="3" t="n">
        <x:v>198.92</x:v>
      </x:c>
      <x:c r="I69" s="3" t="n">
        <x:f>ROUND(G69*H69,2)</x:f>
        <x:v>103836.24</x:v>
      </x:c>
      <x:c r="J69" s="3" t="n">
        <x:v>29509.72</x:v>
      </x:c>
      <x:c r="K69" s="3" t="n">
        <x:v>1677.43</x:v>
      </x:c>
      <x:c r="L69" s="4" t="n">
        <x:v>0.0085</x:v>
      </x:c>
      <x:c r="M69" s="4" t="n">
        <x:v>0.9263</x:v>
      </x:c>
    </x:row>
    <x:row r="70" ht="20" customHeight="1">
      <x:c r="A70" s="1" t="n">
        <x:v>46116</x:v>
      </x:c>
      <x:c r="B70" t="str">
        <x:v>베트남 생산법인</x:v>
      </x:c>
      <x:c r="C70" t="str">
        <x:v>독일</x:v>
      </x:c>
      <x:c r="D70" t="str">
        <x:v>전자제품</x:v>
      </x:c>
      <x:c r="E70" t="str">
        <x:v>스마트워치</x:v>
      </x:c>
      <x:c r="F70" t="str">
        <x:v>도매</x:v>
      </x:c>
      <x:c r="G70" s="2" t="n">
        <x:v>251</x:v>
      </x:c>
      <x:c r="H70" s="3" t="n">
        <x:v>133.62</x:v>
      </x:c>
      <x:c r="I70" s="3" t="n">
        <x:f>ROUND(G70*H70,2)</x:f>
        <x:v>33538.62</x:v>
      </x:c>
      <x:c r="J70" s="3" t="n">
        <x:v>10857.09</x:v>
      </x:c>
      <x:c r="K70" s="3" t="n">
        <x:v>751.73</x:v>
      </x:c>
      <x:c r="L70" s="4" t="n">
        <x:v>0.0126</x:v>
      </x:c>
      <x:c r="M70" s="4" t="n">
        <x:v>0.9132</x:v>
      </x:c>
    </x:row>
    <x:row r="71" ht="20" customHeight="1">
      <x:c r="A71" s="1" t="n">
        <x:v>46116</x:v>
      </x:c>
      <x:c r="B71" t="str">
        <x:v>태국 생산법인</x:v>
      </x:c>
      <x:c r="C71" t="str">
        <x:v>호주</x:v>
      </x:c>
      <x:c r="D71" t="str">
        <x:v>전자제품</x:v>
      </x:c>
      <x:c r="E71" t="str">
        <x:v>블루투스 스피커</x:v>
      </x:c>
      <x:c r="F71" t="str">
        <x:v>해외 대리점</x:v>
      </x:c>
      <x:c r="G71" s="2" t="n">
        <x:v>156</x:v>
      </x:c>
      <x:c r="H71" s="3" t="n">
        <x:v>90.84</x:v>
      </x:c>
      <x:c r="I71" s="3" t="n">
        <x:f>ROUND(G71*H71,2)</x:f>
        <x:v>14171.04</x:v>
      </x:c>
      <x:c r="J71" s="3" t="n">
        <x:v>2410.29</x:v>
      </x:c>
      <x:c r="K71" s="3" t="n">
        <x:v>524.85</x:v>
      </x:c>
      <x:c r="L71" s="4" t="n">
        <x:v>0.0214</x:v>
      </x:c>
      <x:c r="M71" s="4" t="n">
        <x:v>0.9767</x:v>
      </x:c>
    </x:row>
    <x:row r="72" ht="20" customHeight="1">
      <x:c r="A72" s="1" t="n">
        <x:v>46118</x:v>
      </x:c>
      <x:c r="B72" t="str">
        <x:v>한국 생산법인</x:v>
      </x:c>
      <x:c r="C72" t="str">
        <x:v>일본</x:v>
      </x:c>
      <x:c r="D72" t="str">
        <x:v>생활가전</x:v>
      </x:c>
      <x:c r="E72" t="str">
        <x:v>전기주전자</x:v>
      </x:c>
      <x:c r="F72" t="str">
        <x:v>온라인몰</x:v>
      </x:c>
      <x:c r="G72" s="2" t="n">
        <x:v>52</x:v>
      </x:c>
      <x:c r="H72" s="3" t="n">
        <x:v>37.21</x:v>
      </x:c>
      <x:c r="I72" s="3" t="n">
        <x:f>ROUND(G72*H72,2)</x:f>
        <x:v>1934.92</x:v>
      </x:c>
      <x:c r="J72" s="3" t="n">
        <x:v>319.54</x:v>
      </x:c>
      <x:c r="K72" s="3" t="n">
        <x:v>133.98</x:v>
      </x:c>
      <x:c r="L72" s="4" t="n">
        <x:v>0.0039</x:v>
      </x:c>
      <x:c r="M72" s="4" t="n">
        <x:v>0.9182</x:v>
      </x:c>
    </x:row>
    <x:row r="73" ht="20" customHeight="1">
      <x:c r="A73" s="1" t="n">
        <x:v>46118</x:v>
      </x:c>
      <x:c r="B73" t="str">
        <x:v>한국 생산법인</x:v>
      </x:c>
      <x:c r="C73" t="str">
        <x:v>베트남</x:v>
      </x:c>
      <x:c r="D73" t="str">
        <x:v>생활가전</x:v>
      </x:c>
      <x:c r="E73" t="str">
        <x:v>로봇청소기</x:v>
      </x:c>
      <x:c r="F73" t="str">
        <x:v>B2B</x:v>
      </x:c>
      <x:c r="G73" s="2" t="n">
        <x:v>403</x:v>
      </x:c>
      <x:c r="H73" s="3" t="n">
        <x:v>328.42</x:v>
      </x:c>
      <x:c r="I73" s="3" t="n">
        <x:f>ROUND(G73*H73,2)</x:f>
        <x:v>132353.26</x:v>
      </x:c>
      <x:c r="J73" s="3" t="n">
        <x:v>40368.34</x:v>
      </x:c>
      <x:c r="K73" s="3" t="n">
        <x:v>2512.07</x:v>
      </x:c>
      <x:c r="L73" s="4" t="n">
        <x:v>0.0163</x:v>
      </x:c>
      <x:c r="M73" s="4" t="n">
        <x:v>0.9854</x:v>
      </x:c>
    </x:row>
    <x:row r="74" ht="20" customHeight="1">
      <x:c r="A74" s="1" t="n">
        <x:v>46118</x:v>
      </x:c>
      <x:c r="B74" t="str">
        <x:v>중국 생산법인</x:v>
      </x:c>
      <x:c r="C74" t="str">
        <x:v>프랑스</x:v>
      </x:c>
      <x:c r="D74" t="str">
        <x:v>생활용품</x:v>
      </x:c>
      <x:c r="E74" t="str">
        <x:v>LED 데스크 조명</x:v>
      </x:c>
      <x:c r="F74" t="str">
        <x:v>B2B</x:v>
      </x:c>
      <x:c r="G74" s="2" t="n">
        <x:v>249</x:v>
      </x:c>
      <x:c r="H74" s="3" t="n">
        <x:v>29.9</x:v>
      </x:c>
      <x:c r="I74" s="3" t="n">
        <x:f>ROUND(G74*H74,2)</x:f>
        <x:v>7445.1</x:v>
      </x:c>
      <x:c r="J74" s="3" t="n">
        <x:v>1226</x:v>
      </x:c>
      <x:c r="K74" s="3" t="n">
        <x:v>281.24</x:v>
      </x:c>
      <x:c r="L74" s="4" t="n">
        <x:v>0.006</x:v>
      </x:c>
      <x:c r="M74" s="4" t="n">
        <x:v>0.8965</x:v>
      </x:c>
    </x:row>
    <x:row r="75" ht="20" customHeight="1">
      <x:c r="A75" s="1" t="n">
        <x:v>46120</x:v>
      </x:c>
      <x:c r="B75" t="str">
        <x:v>베트남 생산법인</x:v>
      </x:c>
      <x:c r="C75" t="str">
        <x:v>베트남</x:v>
      </x:c>
      <x:c r="D75" t="str">
        <x:v>전자제품</x:v>
      </x:c>
      <x:c r="E75" t="str">
        <x:v>스마트워치</x:v>
      </x:c>
      <x:c r="F75" t="str">
        <x:v>온라인몰</x:v>
      </x:c>
      <x:c r="G75" s="2" t="n">
        <x:v>297</x:v>
      </x:c>
      <x:c r="H75" s="3" t="n">
        <x:v>113.46</x:v>
      </x:c>
      <x:c r="I75" s="3" t="n">
        <x:f>ROUND(G75*H75,2)</x:f>
        <x:v>33697.62</x:v>
      </x:c>
      <x:c r="J75" s="3" t="n">
        <x:v>6443.14</x:v>
      </x:c>
      <x:c r="K75" s="3" t="n">
        <x:v>3902.29</x:v>
      </x:c>
      <x:c r="L75" s="4" t="n">
        <x:v>0.0119</x:v>
      </x:c>
      <x:c r="M75" s="4" t="n">
        <x:v>0.95</x:v>
      </x:c>
    </x:row>
    <x:row r="76" ht="20" customHeight="1">
      <x:c r="A76" s="1" t="n">
        <x:v>46122</x:v>
      </x:c>
      <x:c r="B76" t="str">
        <x:v>중국 생산법인</x:v>
      </x:c>
      <x:c r="C76" t="str">
        <x:v>인도</x:v>
      </x:c>
      <x:c r="D76" t="str">
        <x:v>생활가전</x:v>
      </x:c>
      <x:c r="E76" t="str">
        <x:v>전기주전자</x:v>
      </x:c>
      <x:c r="F76" t="str">
        <x:v>해외 대리점</x:v>
      </x:c>
      <x:c r="G76" s="2" t="n">
        <x:v>76</x:v>
      </x:c>
      <x:c r="H76" s="3" t="n">
        <x:v>44.44</x:v>
      </x:c>
      <x:c r="I76" s="3" t="n">
        <x:f>ROUND(G76*H76,2)</x:f>
        <x:v>3377.44</x:v>
      </x:c>
      <x:c r="J76" s="3" t="n">
        <x:v>618.75</x:v>
      </x:c>
      <x:c r="K76" s="3" t="n">
        <x:v>104.72</x:v>
      </x:c>
      <x:c r="L76" s="4" t="n">
        <x:v>0.0206</x:v>
      </x:c>
      <x:c r="M76" s="4" t="n">
        <x:v>0.9632</x:v>
      </x:c>
    </x:row>
    <x:row r="77" ht="20" customHeight="1">
      <x:c r="A77" s="1" t="n">
        <x:v>46124</x:v>
      </x:c>
      <x:c r="B77" t="str">
        <x:v>중국 생산법인</x:v>
      </x:c>
      <x:c r="C77" t="str">
        <x:v>미국</x:v>
      </x:c>
      <x:c r="D77" t="str">
        <x:v>생활용품</x:v>
      </x:c>
      <x:c r="E77" t="str">
        <x:v>수납함</x:v>
      </x:c>
      <x:c r="F77" t="str">
        <x:v>해외 대리점</x:v>
      </x:c>
      <x:c r="G77" s="2" t="n">
        <x:v>292</x:v>
      </x:c>
      <x:c r="H77" s="3" t="n">
        <x:v>14.74</x:v>
      </x:c>
      <x:c r="I77" s="3" t="n">
        <x:f>ROUND(G77*H77,2)</x:f>
        <x:v>4304.08</x:v>
      </x:c>
      <x:c r="J77" s="3" t="n">
        <x:v>1025.04</x:v>
      </x:c>
      <x:c r="K77" s="3" t="n">
        <x:v>178.39</x:v>
      </x:c>
      <x:c r="L77" s="4" t="n">
        <x:v>0.0039</x:v>
      </x:c>
      <x:c r="M77" s="4" t="n">
        <x:v>0.8876</x:v>
      </x:c>
    </x:row>
    <x:row r="78" ht="20" customHeight="1">
      <x:c r="A78" s="1" t="n">
        <x:v>46126</x:v>
      </x:c>
      <x:c r="B78" t="str">
        <x:v>한국 생산법인</x:v>
      </x:c>
      <x:c r="C78" t="str">
        <x:v>인도</x:v>
      </x:c>
      <x:c r="D78" t="str">
        <x:v>패션잡화</x:v>
      </x:c>
      <x:c r="E78" t="str">
        <x:v>백팩</x:v>
      </x:c>
      <x:c r="F78" t="str">
        <x:v>오프라인 매장</x:v>
      </x:c>
      <x:c r="G78" s="2" t="n">
        <x:v>230</x:v>
      </x:c>
      <x:c r="H78" s="3" t="n">
        <x:v>49.25</x:v>
      </x:c>
      <x:c r="I78" s="3" t="n">
        <x:f>ROUND(G78*H78,2)</x:f>
        <x:v>11327.5</x:v>
      </x:c>
      <x:c r="J78" s="3" t="n">
        <x:v>3153.07</x:v>
      </x:c>
      <x:c r="K78" s="3" t="n">
        <x:v>178.65</x:v>
      </x:c>
      <x:c r="L78" s="4" t="n">
        <x:v>0.013</x:v>
      </x:c>
      <x:c r="M78" s="4" t="n">
        <x:v>0.88</x:v>
      </x:c>
    </x:row>
    <x:row r="79" ht="20" customHeight="1">
      <x:c r="A79" s="1" t="n">
        <x:v>46126</x:v>
      </x:c>
      <x:c r="B79" t="str">
        <x:v>베트남 생산법인</x:v>
      </x:c>
      <x:c r="C79" t="str">
        <x:v>베트남</x:v>
      </x:c>
      <x:c r="D79" t="str">
        <x:v>패션잡화</x:v>
      </x:c>
      <x:c r="E79" t="str">
        <x:v>지갑</x:v>
      </x:c>
      <x:c r="F79" t="str">
        <x:v>B2B</x:v>
      </x:c>
      <x:c r="G79" s="2" t="n">
        <x:v>774</x:v>
      </x:c>
      <x:c r="H79" s="3" t="n">
        <x:v>32.72</x:v>
      </x:c>
      <x:c r="I79" s="3" t="n">
        <x:f>ROUND(G79*H79,2)</x:f>
        <x:v>25325.28</x:v>
      </x:c>
      <x:c r="J79" s="3" t="n">
        <x:v>4176</x:v>
      </x:c>
      <x:c r="K79" s="3" t="n">
        <x:v>439.88</x:v>
      </x:c>
      <x:c r="L79" s="4" t="n">
        <x:v>0.0254</x:v>
      </x:c>
      <x:c r="M79" s="4" t="n">
        <x:v>0.9663</x:v>
      </x:c>
    </x:row>
    <x:row r="80" ht="20" customHeight="1">
      <x:c r="A80" s="1" t="n">
        <x:v>46128</x:v>
      </x:c>
      <x:c r="B80" t="str">
        <x:v>태국 생산법인</x:v>
      </x:c>
      <x:c r="C80" t="str">
        <x:v>일본</x:v>
      </x:c>
      <x:c r="D80" t="str">
        <x:v>생활가전</x:v>
      </x:c>
      <x:c r="E80" t="str">
        <x:v>로봇청소기</x:v>
      </x:c>
      <x:c r="F80" t="str">
        <x:v>오프라인 매장</x:v>
      </x:c>
      <x:c r="G80" s="2" t="n">
        <x:v>55</x:v>
      </x:c>
      <x:c r="H80" s="3" t="n">
        <x:v>270.52</x:v>
      </x:c>
      <x:c r="I80" s="3" t="n">
        <x:f>ROUND(G80*H80,2)</x:f>
        <x:v>14878.6</x:v>
      </x:c>
      <x:c r="J80" s="3" t="n">
        <x:v>2663.14</x:v>
      </x:c>
      <x:c r="K80" s="3" t="n">
        <x:v>452.84</x:v>
      </x:c>
      <x:c r="L80" s="4" t="n">
        <x:v>0.0179</x:v>
      </x:c>
      <x:c r="M80" s="4" t="n">
        <x:v>0.8956</x:v>
      </x:c>
    </x:row>
    <x:row r="81" ht="20" customHeight="1">
      <x:c r="A81" s="1" t="n">
        <x:v>46130</x:v>
      </x:c>
      <x:c r="B81" t="str">
        <x:v>중국 생산법인</x:v>
      </x:c>
      <x:c r="C81" t="str">
        <x:v>베트남</x:v>
      </x:c>
      <x:c r="D81" t="str">
        <x:v>패션잡화</x:v>
      </x:c>
      <x:c r="E81" t="str">
        <x:v>백팩</x:v>
      </x:c>
      <x:c r="F81" t="str">
        <x:v>B2B</x:v>
      </x:c>
      <x:c r="G81" s="2" t="n">
        <x:v>386</x:v>
      </x:c>
      <x:c r="H81" s="3" t="n">
        <x:v>45.1</x:v>
      </x:c>
      <x:c r="I81" s="3" t="n">
        <x:f>ROUND(G81*H81,2)</x:f>
        <x:v>17408.6</x:v>
      </x:c>
      <x:c r="J81" s="3" t="n">
        <x:v>4301.2</x:v>
      </x:c>
      <x:c r="K81" s="3" t="n">
        <x:v>620.78</x:v>
      </x:c>
      <x:c r="L81" s="4" t="n">
        <x:v>0.0304</x:v>
      </x:c>
      <x:c r="M81" s="4" t="n">
        <x:v>0.9168</x:v>
      </x:c>
    </x:row>
    <x:row r="82" ht="20" customHeight="1">
      <x:c r="A82" s="1" t="n">
        <x:v>46130</x:v>
      </x:c>
      <x:c r="B82" t="str">
        <x:v>한국 생산법인</x:v>
      </x:c>
      <x:c r="C82" t="str">
        <x:v>캐나다</x:v>
      </x:c>
      <x:c r="D82" t="str">
        <x:v>전자제품</x:v>
      </x:c>
      <x:c r="E82" t="str">
        <x:v>무선 이어폰</x:v>
      </x:c>
      <x:c r="F82" t="str">
        <x:v>온라인몰</x:v>
      </x:c>
      <x:c r="G82" s="2" t="n">
        <x:v>238</x:v>
      </x:c>
      <x:c r="H82" s="3" t="n">
        <x:v>48.68</x:v>
      </x:c>
      <x:c r="I82" s="3" t="n">
        <x:f>ROUND(G82*H82,2)</x:f>
        <x:v>11585.84</x:v>
      </x:c>
      <x:c r="J82" s="3" t="n">
        <x:v>1812.93</x:v>
      </x:c>
      <x:c r="K82" s="3" t="n">
        <x:v>1088.29</x:v>
      </x:c>
      <x:c r="L82" s="4" t="n">
        <x:v>0.0145</x:v>
      </x:c>
      <x:c r="M82" s="4" t="n">
        <x:v>0.9089</x:v>
      </x:c>
    </x:row>
    <x:row r="83" ht="20" customHeight="1">
      <x:c r="A83" s="1" t="n">
        <x:v>46132</x:v>
      </x:c>
      <x:c r="B83" t="str">
        <x:v>태국 생산법인</x:v>
      </x:c>
      <x:c r="C83" t="str">
        <x:v>프랑스</x:v>
      </x:c>
      <x:c r="D83" t="str">
        <x:v>생활용품</x:v>
      </x:c>
      <x:c r="E83" t="str">
        <x:v>수납함</x:v>
      </x:c>
      <x:c r="F83" t="str">
        <x:v>해외 대리점</x:v>
      </x:c>
      <x:c r="G83" s="2" t="n">
        <x:v>28</x:v>
      </x:c>
      <x:c r="H83" s="3" t="n">
        <x:v>16.19</x:v>
      </x:c>
      <x:c r="I83" s="3" t="n">
        <x:f>ROUND(G83*H83,2)</x:f>
        <x:v>453.32</x:v>
      </x:c>
      <x:c r="J83" s="3" t="n">
        <x:v>82.42</x:v>
      </x:c>
      <x:c r="K83" s="3" t="n">
        <x:v>12.39</x:v>
      </x:c>
      <x:c r="L83" s="4" t="n">
        <x:v>0.0102</x:v>
      </x:c>
      <x:c r="M83" s="4" t="n">
        <x:v>0.8874</x:v>
      </x:c>
    </x:row>
    <x:row r="84" ht="20" customHeight="1">
      <x:c r="A84" s="1" t="n">
        <x:v>46132</x:v>
      </x:c>
      <x:c r="B84" t="str">
        <x:v>베트남 생산법인</x:v>
      </x:c>
      <x:c r="C84" t="str">
        <x:v>일본</x:v>
      </x:c>
      <x:c r="D84" t="str">
        <x:v>전자제품</x:v>
      </x:c>
      <x:c r="E84" t="str">
        <x:v>스마트워치</x:v>
      </x:c>
      <x:c r="F84" t="str">
        <x:v>B2B</x:v>
      </x:c>
      <x:c r="G84" s="2" t="n">
        <x:v>432</x:v>
      </x:c>
      <x:c r="H84" s="3" t="n">
        <x:v>143.43</x:v>
      </x:c>
      <x:c r="I84" s="3" t="n">
        <x:f>ROUND(G84*H84,2)</x:f>
        <x:v>61961.76</x:v>
      </x:c>
      <x:c r="J84" s="3" t="n">
        <x:v>12628.9</x:v>
      </x:c>
      <x:c r="K84" s="3" t="n">
        <x:v>1552</x:v>
      </x:c>
      <x:c r="L84" s="4" t="n">
        <x:v>0.0205</x:v>
      </x:c>
      <x:c r="M84" s="4" t="n">
        <x:v>0.9155</x:v>
      </x:c>
    </x:row>
    <x:row r="85" ht="20" customHeight="1">
      <x:c r="A85" s="1" t="n">
        <x:v>46133</x:v>
      </x:c>
      <x:c r="B85" t="str">
        <x:v>태국 생산법인</x:v>
      </x:c>
      <x:c r="C85" t="str">
        <x:v>일본</x:v>
      </x:c>
      <x:c r="D85" t="str">
        <x:v>생활용품</x:v>
      </x:c>
      <x:c r="E85" t="str">
        <x:v>수납함</x:v>
      </x:c>
      <x:c r="F85" t="str">
        <x:v>해외 대리점</x:v>
      </x:c>
      <x:c r="G85" s="2" t="n">
        <x:v>147</x:v>
      </x:c>
      <x:c r="H85" s="3" t="n">
        <x:v>13.71</x:v>
      </x:c>
      <x:c r="I85" s="3" t="n">
        <x:f>ROUND(G85*H85,2)</x:f>
        <x:v>2015.37</x:v>
      </x:c>
      <x:c r="J85" s="3" t="n">
        <x:v>555.9</x:v>
      </x:c>
      <x:c r="K85" s="3" t="n">
        <x:v>97.09</x:v>
      </x:c>
      <x:c r="L85" s="4" t="n">
        <x:v>0.0107</x:v>
      </x:c>
      <x:c r="M85" s="4" t="n">
        <x:v>0.9709</x:v>
      </x:c>
    </x:row>
    <x:row r="86" ht="20" customHeight="1">
      <x:c r="A86" s="1" t="n">
        <x:v>46135</x:v>
      </x:c>
      <x:c r="B86" t="str">
        <x:v>베트남 생산법인</x:v>
      </x:c>
      <x:c r="C86" t="str">
        <x:v>캐나다</x:v>
      </x:c>
      <x:c r="D86" t="str">
        <x:v>패션잡화</x:v>
      </x:c>
      <x:c r="E86" t="str">
        <x:v>백팩</x:v>
      </x:c>
      <x:c r="F86" t="str">
        <x:v>도매</x:v>
      </x:c>
      <x:c r="G86" s="2" t="n">
        <x:v>420</x:v>
      </x:c>
      <x:c r="H86" s="3" t="n">
        <x:v>47</x:v>
      </x:c>
      <x:c r="I86" s="3" t="n">
        <x:f>ROUND(G86*H86,2)</x:f>
        <x:v>19740</x:v>
      </x:c>
      <x:c r="J86" s="3" t="n">
        <x:v>6288.66</x:v>
      </x:c>
      <x:c r="K86" s="3" t="n">
        <x:v>660.52</x:v>
      </x:c>
      <x:c r="L86" s="4" t="n">
        <x:v>0.0023</x:v>
      </x:c>
      <x:c r="M86" s="4" t="n">
        <x:v>0.8893</x:v>
      </x:c>
    </x:row>
    <x:row r="87" ht="20" customHeight="1">
      <x:c r="A87" s="1" t="n">
        <x:v>46136</x:v>
      </x:c>
      <x:c r="B87" t="str">
        <x:v>한국 생산법인</x:v>
      </x:c>
      <x:c r="C87" t="str">
        <x:v>일본</x:v>
      </x:c>
      <x:c r="D87" t="str">
        <x:v>패션잡화</x:v>
      </x:c>
      <x:c r="E87" t="str">
        <x:v>지갑</x:v>
      </x:c>
      <x:c r="F87" t="str">
        <x:v>해외 대리점</x:v>
      </x:c>
      <x:c r="G87" s="2" t="n">
        <x:v>235</x:v>
      </x:c>
      <x:c r="H87" s="3" t="n">
        <x:v>25.95</x:v>
      </x:c>
      <x:c r="I87" s="3" t="n">
        <x:f>ROUND(G87*H87,2)</x:f>
        <x:v>6098.25</x:v>
      </x:c>
      <x:c r="J87" s="3" t="n">
        <x:v>1242.68</x:v>
      </x:c>
      <x:c r="K87" s="3" t="n">
        <x:v>152.33</x:v>
      </x:c>
      <x:c r="L87" s="4" t="n">
        <x:v>0.0119</x:v>
      </x:c>
      <x:c r="M87" s="4" t="n">
        <x:v>0.9702</x:v>
      </x:c>
    </x:row>
    <x:row r="88" ht="20" customHeight="1">
      <x:c r="A88" s="1" t="n">
        <x:v>46137</x:v>
      </x:c>
      <x:c r="B88" t="str">
        <x:v>한국 생산법인</x:v>
      </x:c>
      <x:c r="C88" t="str">
        <x:v>독일</x:v>
      </x:c>
      <x:c r="D88" t="str">
        <x:v>생활용품</x:v>
      </x:c>
      <x:c r="E88" t="str">
        <x:v>수납함</x:v>
      </x:c>
      <x:c r="F88" t="str">
        <x:v>해외 대리점</x:v>
      </x:c>
      <x:c r="G88" s="2" t="n">
        <x:v>201</x:v>
      </x:c>
      <x:c r="H88" s="3" t="n">
        <x:v>13.56</x:v>
      </x:c>
      <x:c r="I88" s="3" t="n">
        <x:f>ROUND(G88*H88,2)</x:f>
        <x:v>2725.56</x:v>
      </x:c>
      <x:c r="J88" s="3" t="n">
        <x:v>960.17</x:v>
      </x:c>
      <x:c r="K88" s="3" t="n">
        <x:v>36.63</x:v>
      </x:c>
      <x:c r="L88" s="4" t="n">
        <x:v>0.0347</x:v>
      </x:c>
      <x:c r="M88" s="4" t="n">
        <x:v>0.8941</x:v>
      </x:c>
    </x:row>
    <x:row r="89" ht="20" customHeight="1">
      <x:c r="A89" s="1" t="n">
        <x:v>46143</x:v>
      </x:c>
      <x:c r="B89" t="str">
        <x:v>중국 생산법인</x:v>
      </x:c>
      <x:c r="C89" t="str">
        <x:v>호주</x:v>
      </x:c>
      <x:c r="D89" t="str">
        <x:v>생활가전</x:v>
      </x:c>
      <x:c r="E89" t="str">
        <x:v>전기주전자</x:v>
      </x:c>
      <x:c r="F89" t="str">
        <x:v>B2B</x:v>
      </x:c>
      <x:c r="G89" s="2" t="n">
        <x:v>683</x:v>
      </x:c>
      <x:c r="H89" s="3" t="n">
        <x:v>38.28</x:v>
      </x:c>
      <x:c r="I89" s="3" t="n">
        <x:f>ROUND(G89*H89,2)</x:f>
        <x:v>26145.24</x:v>
      </x:c>
      <x:c r="J89" s="3" t="n">
        <x:v>5745.53</x:v>
      </x:c>
      <x:c r="K89" s="3" t="n">
        <x:v>704.64</x:v>
      </x:c>
      <x:c r="L89" s="4" t="n">
        <x:v>0.0247</x:v>
      </x:c>
      <x:c r="M89" s="4" t="n">
        <x:v>0.8979</x:v>
      </x:c>
    </x:row>
    <x:row r="90" ht="20" customHeight="1">
      <x:c r="A90" s="1" t="n">
        <x:v>46144</x:v>
      </x:c>
      <x:c r="B90" t="str">
        <x:v>베트남 생산법인</x:v>
      </x:c>
      <x:c r="C90" t="str">
        <x:v>베트남</x:v>
      </x:c>
      <x:c r="D90" t="str">
        <x:v>주방용품</x:v>
      </x:c>
      <x:c r="E90" t="str">
        <x:v>밀폐용기 세트</x:v>
      </x:c>
      <x:c r="F90" t="str">
        <x:v>해외 대리점</x:v>
      </x:c>
      <x:c r="G90" s="2" t="n">
        <x:v>185</x:v>
      </x:c>
      <x:c r="H90" s="3" t="n">
        <x:v>24.85</x:v>
      </x:c>
      <x:c r="I90" s="3" t="n">
        <x:f>ROUND(G90*H90,2)</x:f>
        <x:v>4597.25</x:v>
      </x:c>
      <x:c r="J90" s="3" t="n">
        <x:v>936.85</x:v>
      </x:c>
      <x:c r="K90" s="3" t="n">
        <x:v>89.09</x:v>
      </x:c>
      <x:c r="L90" s="4" t="n">
        <x:v>0.0273</x:v>
      </x:c>
      <x:c r="M90" s="4" t="n">
        <x:v>0.9138</x:v>
      </x:c>
    </x:row>
    <x:row r="91" ht="20" customHeight="1">
      <x:c r="A91" s="1" t="n">
        <x:v>46146</x:v>
      </x:c>
      <x:c r="B91" t="str">
        <x:v>베트남 생산법인</x:v>
      </x:c>
      <x:c r="C91" t="str">
        <x:v>인도</x:v>
      </x:c>
      <x:c r="D91" t="str">
        <x:v>생활용품</x:v>
      </x:c>
      <x:c r="E91" t="str">
        <x:v>수납함</x:v>
      </x:c>
      <x:c r="F91" t="str">
        <x:v>오프라인 매장</x:v>
      </x:c>
      <x:c r="G91" s="2" t="n">
        <x:v>143</x:v>
      </x:c>
      <x:c r="H91" s="3" t="n">
        <x:v>16.54</x:v>
      </x:c>
      <x:c r="I91" s="3" t="n">
        <x:f>ROUND(G91*H91,2)</x:f>
        <x:v>2365.22</x:v>
      </x:c>
      <x:c r="J91" s="3" t="n">
        <x:v>500.35</x:v>
      </x:c>
      <x:c r="K91" s="3" t="n">
        <x:v>95.9</x:v>
      </x:c>
      <x:c r="L91" s="4" t="n">
        <x:v>0.0188</x:v>
      </x:c>
      <x:c r="M91" s="4" t="n">
        <x:v>0.8802</x:v>
      </x:c>
    </x:row>
    <x:row r="92" ht="20" customHeight="1">
      <x:c r="A92" s="1" t="n">
        <x:v>46148</x:v>
      </x:c>
      <x:c r="B92" t="str">
        <x:v>중국 생산법인</x:v>
      </x:c>
      <x:c r="C92" t="str">
        <x:v>호주</x:v>
      </x:c>
      <x:c r="D92" t="str">
        <x:v>주방용품</x:v>
      </x:c>
      <x:c r="E92" t="str">
        <x:v>스테인리스 냄비</x:v>
      </x:c>
      <x:c r="F92" t="str">
        <x:v>온라인몰</x:v>
      </x:c>
      <x:c r="G92" s="2" t="n">
        <x:v>249</x:v>
      </x:c>
      <x:c r="H92" s="3" t="n">
        <x:v>48.66</x:v>
      </x:c>
      <x:c r="I92" s="3" t="n">
        <x:f>ROUND(G92*H92,2)</x:f>
        <x:v>12116.34</x:v>
      </x:c>
      <x:c r="J92" s="3" t="n">
        <x:v>3142.41</x:v>
      </x:c>
      <x:c r="K92" s="3" t="n">
        <x:v>844.01</x:v>
      </x:c>
      <x:c r="L92" s="4" t="n">
        <x:v>0.0062</x:v>
      </x:c>
      <x:c r="M92" s="4" t="n">
        <x:v>0.9732</x:v>
      </x:c>
    </x:row>
    <x:row r="93" ht="20" customHeight="1">
      <x:c r="A93" s="1" t="n">
        <x:v>46152</x:v>
      </x:c>
      <x:c r="B93" t="str">
        <x:v>태국 생산법인</x:v>
      </x:c>
      <x:c r="C93" t="str">
        <x:v>인도</x:v>
      </x:c>
      <x:c r="D93" t="str">
        <x:v>패션잡화</x:v>
      </x:c>
      <x:c r="E93" t="str">
        <x:v>여행용 캐리어</x:v>
      </x:c>
      <x:c r="F93" t="str">
        <x:v>해외 대리점</x:v>
      </x:c>
      <x:c r="G93" s="2" t="n">
        <x:v>168</x:v>
      </x:c>
      <x:c r="H93" s="3" t="n">
        <x:v>102.65</x:v>
      </x:c>
      <x:c r="I93" s="3" t="n">
        <x:f>ROUND(G93*H93,2)</x:f>
        <x:v>17245.2</x:v>
      </x:c>
      <x:c r="J93" s="3" t="n">
        <x:v>3018.65</x:v>
      </x:c>
      <x:c r="K93" s="3" t="n">
        <x:v>335.27</x:v>
      </x:c>
      <x:c r="L93" s="4" t="n">
        <x:v>0.0264</x:v>
      </x:c>
      <x:c r="M93" s="4" t="n">
        <x:v>0.8981</x:v>
      </x:c>
    </x:row>
    <x:row r="94" ht="20" customHeight="1">
      <x:c r="A94" s="1" t="n">
        <x:v>46154</x:v>
      </x:c>
      <x:c r="B94" t="str">
        <x:v>중국 생산법인</x:v>
      </x:c>
      <x:c r="C94" t="str">
        <x:v>일본</x:v>
      </x:c>
      <x:c r="D94" t="str">
        <x:v>주방용품</x:v>
      </x:c>
      <x:c r="E94" t="str">
        <x:v>밀폐용기 세트</x:v>
      </x:c>
      <x:c r="F94" t="str">
        <x:v>도매</x:v>
      </x:c>
      <x:c r="G94" s="2" t="n">
        <x:v>776</x:v>
      </x:c>
      <x:c r="H94" s="3" t="n">
        <x:v>24.23</x:v>
      </x:c>
      <x:c r="I94" s="3" t="n">
        <x:f>ROUND(G94*H94,2)</x:f>
        <x:v>18802.48</x:v>
      </x:c>
      <x:c r="J94" s="3" t="n">
        <x:v>2939.46</x:v>
      </x:c>
      <x:c r="K94" s="3" t="n">
        <x:v>825.08</x:v>
      </x:c>
      <x:c r="L94" s="4" t="n">
        <x:v>0.0093</x:v>
      </x:c>
      <x:c r="M94" s="4" t="n">
        <x:v>0.9407</x:v>
      </x:c>
    </x:row>
    <x:row r="95" ht="20" customHeight="1">
      <x:c r="A95" s="1" t="n">
        <x:v>46154</x:v>
      </x:c>
      <x:c r="B95" t="str">
        <x:v>태국 생산법인</x:v>
      </x:c>
      <x:c r="C95" t="str">
        <x:v>미국</x:v>
      </x:c>
      <x:c r="D95" t="str">
        <x:v>패션잡화</x:v>
      </x:c>
      <x:c r="E95" t="str">
        <x:v>지갑</x:v>
      </x:c>
      <x:c r="F95" t="str">
        <x:v>도매</x:v>
      </x:c>
      <x:c r="G95" s="2" t="n">
        <x:v>149</x:v>
      </x:c>
      <x:c r="H95" s="3" t="n">
        <x:v>32.02</x:v>
      </x:c>
      <x:c r="I95" s="3" t="n">
        <x:f>ROUND(G95*H95,2)</x:f>
        <x:v>4770.98</x:v>
      </x:c>
      <x:c r="J95" s="3" t="n">
        <x:v>1017.31</x:v>
      </x:c>
      <x:c r="K95" s="3" t="n">
        <x:v>50.98</x:v>
      </x:c>
      <x:c r="L95" s="4" t="n">
        <x:v>0.0343</x:v>
      </x:c>
      <x:c r="M95" s="4" t="n">
        <x:v>0.8985</x:v>
      </x:c>
    </x:row>
    <x:row r="96" ht="20" customHeight="1">
      <x:c r="A96" s="1" t="n">
        <x:v>46156</x:v>
      </x:c>
      <x:c r="B96" t="str">
        <x:v>베트남 생산법인</x:v>
      </x:c>
      <x:c r="C96" t="str">
        <x:v>미국</x:v>
      </x:c>
      <x:c r="D96" t="str">
        <x:v>생활가전</x:v>
      </x:c>
      <x:c r="E96" t="str">
        <x:v>전기주전자</x:v>
      </x:c>
      <x:c r="F96" t="str">
        <x:v>해외 대리점</x:v>
      </x:c>
      <x:c r="G96" s="2" t="n">
        <x:v>15</x:v>
      </x:c>
      <x:c r="H96" s="3" t="n">
        <x:v>42.69</x:v>
      </x:c>
      <x:c r="I96" s="3" t="n">
        <x:f>ROUND(G96*H96,2)</x:f>
        <x:v>640.35</x:v>
      </x:c>
      <x:c r="J96" s="3" t="n">
        <x:v>136.85</x:v>
      </x:c>
      <x:c r="K96" s="3" t="n">
        <x:v>22.61</x:v>
      </x:c>
      <x:c r="L96" s="4" t="n">
        <x:v>0.0307</x:v>
      </x:c>
      <x:c r="M96" s="4" t="n">
        <x:v>0.929</x:v>
      </x:c>
    </x:row>
    <x:row r="97" ht="20" customHeight="1">
      <x:c r="A97" s="1" t="n">
        <x:v>46157</x:v>
      </x:c>
      <x:c r="B97" t="str">
        <x:v>태국 생산법인</x:v>
      </x:c>
      <x:c r="C97" t="str">
        <x:v>인도</x:v>
      </x:c>
      <x:c r="D97" t="str">
        <x:v>생활용품</x:v>
      </x:c>
      <x:c r="E97" t="str">
        <x:v>수납함</x:v>
      </x:c>
      <x:c r="F97" t="str">
        <x:v>온라인몰</x:v>
      </x:c>
      <x:c r="G97" s="2" t="n">
        <x:v>180</x:v>
      </x:c>
      <x:c r="H97" s="3" t="n">
        <x:v>15.47</x:v>
      </x:c>
      <x:c r="I97" s="3" t="n">
        <x:f>ROUND(G97*H97,2)</x:f>
        <x:v>2784.6</x:v>
      </x:c>
      <x:c r="J97" s="3" t="n">
        <x:v>717.33</x:v>
      </x:c>
      <x:c r="K97" s="3" t="n">
        <x:v>183.52</x:v>
      </x:c>
      <x:c r="L97" s="4" t="n">
        <x:v>0.0368</x:v>
      </x:c>
      <x:c r="M97" s="4" t="n">
        <x:v>0.956</x:v>
      </x:c>
    </x:row>
    <x:row r="98" ht="20" customHeight="1">
      <x:c r="A98" s="1" t="n">
        <x:v>46158</x:v>
      </x:c>
      <x:c r="B98" t="str">
        <x:v>태국 생산법인</x:v>
      </x:c>
      <x:c r="C98" t="str">
        <x:v>독일</x:v>
      </x:c>
      <x:c r="D98" t="str">
        <x:v>생활가전</x:v>
      </x:c>
      <x:c r="E98" t="str">
        <x:v>로봇청소기</x:v>
      </x:c>
      <x:c r="F98" t="str">
        <x:v>도매</x:v>
      </x:c>
      <x:c r="G98" s="2" t="n">
        <x:v>162</x:v>
      </x:c>
      <x:c r="H98" s="3" t="n">
        <x:v>293.68</x:v>
      </x:c>
      <x:c r="I98" s="3" t="n">
        <x:f>ROUND(G98*H98,2)</x:f>
        <x:v>47576.16</x:v>
      </x:c>
      <x:c r="J98" s="3" t="n">
        <x:v>13618.79</x:v>
      </x:c>
      <x:c r="K98" s="3" t="n">
        <x:v>1065.92</x:v>
      </x:c>
      <x:c r="L98" s="4" t="n">
        <x:v>0.0176</x:v>
      </x:c>
      <x:c r="M98" s="4" t="n">
        <x:v>0.8914</x:v>
      </x:c>
    </x:row>
    <x:row r="99" ht="20" customHeight="1">
      <x:c r="A99" s="1" t="n">
        <x:v>46159</x:v>
      </x:c>
      <x:c r="B99" t="str">
        <x:v>베트남 생산법인</x:v>
      </x:c>
      <x:c r="C99" t="str">
        <x:v>프랑스</x:v>
      </x:c>
      <x:c r="D99" t="str">
        <x:v>생활용품</x:v>
      </x:c>
      <x:c r="E99" t="str">
        <x:v>LED 데스크 조명</x:v>
      </x:c>
      <x:c r="F99" t="str">
        <x:v>온라인몰</x:v>
      </x:c>
      <x:c r="G99" s="2" t="n">
        <x:v>33</x:v>
      </x:c>
      <x:c r="H99" s="3" t="n">
        <x:v>38.01</x:v>
      </x:c>
      <x:c r="I99" s="3" t="n">
        <x:f>ROUND(G99*H99,2)</x:f>
        <x:v>1254.33</x:v>
      </x:c>
      <x:c r="J99" s="3" t="n">
        <x:v>236.07</x:v>
      </x:c>
      <x:c r="K99" s="3" t="n">
        <x:v>90.61</x:v>
      </x:c>
      <x:c r="L99" s="4" t="n">
        <x:v>0.003</x:v>
      </x:c>
      <x:c r="M99" s="4" t="n">
        <x:v>0.9087</x:v>
      </x:c>
    </x:row>
    <x:row r="100" ht="20" customHeight="1">
      <x:c r="A100" s="1" t="n">
        <x:v>46160</x:v>
      </x:c>
      <x:c r="B100" t="str">
        <x:v>태국 생산법인</x:v>
      </x:c>
      <x:c r="C100" t="str">
        <x:v>인도</x:v>
      </x:c>
      <x:c r="D100" t="str">
        <x:v>생활가전</x:v>
      </x:c>
      <x:c r="E100" t="str">
        <x:v>로봇청소기</x:v>
      </x:c>
      <x:c r="F100" t="str">
        <x:v>도매</x:v>
      </x:c>
      <x:c r="G100" s="2" t="n">
        <x:v>209</x:v>
      </x:c>
      <x:c r="H100" s="3" t="n">
        <x:v>320.95</x:v>
      </x:c>
      <x:c r="I100" s="3" t="n">
        <x:f>ROUND(G100*H100,2)</x:f>
        <x:v>67078.55</x:v>
      </x:c>
      <x:c r="J100" s="3" t="n">
        <x:v>16232.5</x:v>
      </x:c>
      <x:c r="K100" s="3" t="n">
        <x:v>2739.7</x:v>
      </x:c>
      <x:c r="L100" s="4" t="n">
        <x:v>0.0151</x:v>
      </x:c>
      <x:c r="M100" s="4" t="n">
        <x:v>0.9639</x:v>
      </x:c>
    </x:row>
    <x:row r="101" ht="20" customHeight="1">
      <x:c r="A101" s="1" t="n">
        <x:v>46160</x:v>
      </x:c>
      <x:c r="B101" t="str">
        <x:v>중국 생산법인</x:v>
      </x:c>
      <x:c r="C101" t="str">
        <x:v>캐나다</x:v>
      </x:c>
      <x:c r="D101" t="str">
        <x:v>생활용품</x:v>
      </x:c>
      <x:c r="E101" t="str">
        <x:v>LED 데스크 조명</x:v>
      </x:c>
      <x:c r="F101" t="str">
        <x:v>해외 대리점</x:v>
      </x:c>
      <x:c r="G101" s="2" t="n">
        <x:v>212</x:v>
      </x:c>
      <x:c r="H101" s="3" t="n">
        <x:v>31.35</x:v>
      </x:c>
      <x:c r="I101" s="3" t="n">
        <x:f>ROUND(G101*H101,2)</x:f>
        <x:v>6646.2</x:v>
      </x:c>
      <x:c r="J101" s="3" t="n">
        <x:v>1121.6</x:v>
      </x:c>
      <x:c r="K101" s="3" t="n">
        <x:v>250.64</x:v>
      </x:c>
      <x:c r="L101" s="4" t="n">
        <x:v>0.0306</x:v>
      </x:c>
      <x:c r="M101" s="4" t="n">
        <x:v>0.9998</x:v>
      </x:c>
    </x:row>
    <x:row r="102" ht="20" customHeight="1">
      <x:c r="A102" s="1" t="n">
        <x:v>46163</x:v>
      </x:c>
      <x:c r="B102" t="str">
        <x:v>중국 생산법인</x:v>
      </x:c>
      <x:c r="C102" t="str">
        <x:v>베트남</x:v>
      </x:c>
      <x:c r="D102" t="str">
        <x:v>생활가전</x:v>
      </x:c>
      <x:c r="E102" t="str">
        <x:v>로봇청소기</x:v>
      </x:c>
      <x:c r="F102" t="str">
        <x:v>오프라인 매장</x:v>
      </x:c>
      <x:c r="G102" s="2" t="n">
        <x:v>143</x:v>
      </x:c>
      <x:c r="H102" s="3" t="n">
        <x:v>276.33</x:v>
      </x:c>
      <x:c r="I102" s="3" t="n">
        <x:f>ROUND(G102*H102,2)</x:f>
        <x:v>39515.19</x:v>
      </x:c>
      <x:c r="J102" s="3" t="n">
        <x:v>6240.47</x:v>
      </x:c>
      <x:c r="K102" s="3" t="n">
        <x:v>1429.09</x:v>
      </x:c>
      <x:c r="L102" s="4" t="n">
        <x:v>0.003</x:v>
      </x:c>
      <x:c r="M102" s="4" t="n">
        <x:v>0.9205</x:v>
      </x:c>
    </x:row>
    <x:row r="103" ht="20" customHeight="1">
      <x:c r="A103" s="1" t="n">
        <x:v>46164</x:v>
      </x:c>
      <x:c r="B103" t="str">
        <x:v>태국 생산법인</x:v>
      </x:c>
      <x:c r="C103" t="str">
        <x:v>영국</x:v>
      </x:c>
      <x:c r="D103" t="str">
        <x:v>패션잡화</x:v>
      </x:c>
      <x:c r="E103" t="str">
        <x:v>여행용 캐리어</x:v>
      </x:c>
      <x:c r="F103" t="str">
        <x:v>해외 대리점</x:v>
      </x:c>
      <x:c r="G103" s="2" t="n">
        <x:v>108</x:v>
      </x:c>
      <x:c r="H103" s="3" t="n">
        <x:v>94.28</x:v>
      </x:c>
      <x:c r="I103" s="3" t="n">
        <x:f>ROUND(G103*H103,2)</x:f>
        <x:v>10182.24</x:v>
      </x:c>
      <x:c r="J103" s="3" t="n">
        <x:v>1939.79</x:v>
      </x:c>
      <x:c r="K103" s="3" t="n">
        <x:v>503.15</x:v>
      </x:c>
      <x:c r="L103" s="4" t="n">
        <x:v>0.0219</x:v>
      </x:c>
      <x:c r="M103" s="4" t="n">
        <x:v>0.9495</x:v>
      </x:c>
    </x:row>
    <x:row r="104" ht="20" customHeight="1">
      <x:c r="A104" s="1" t="n">
        <x:v>46164</x:v>
      </x:c>
      <x:c r="B104" t="str">
        <x:v>베트남 생산법인</x:v>
      </x:c>
      <x:c r="C104" t="str">
        <x:v>프랑스</x:v>
      </x:c>
      <x:c r="D104" t="str">
        <x:v>주방용품</x:v>
      </x:c>
      <x:c r="E104" t="str">
        <x:v>텀블러</x:v>
      </x:c>
      <x:c r="F104" t="str">
        <x:v>오프라인 매장</x:v>
      </x:c>
      <x:c r="G104" s="2" t="n">
        <x:v>233</x:v>
      </x:c>
      <x:c r="H104" s="3" t="n">
        <x:v>21.17</x:v>
      </x:c>
      <x:c r="I104" s="3" t="n">
        <x:f>ROUND(G104*H104,2)</x:f>
        <x:v>4932.61</x:v>
      </x:c>
      <x:c r="J104" s="3" t="n">
        <x:v>1026.03</x:v>
      </x:c>
      <x:c r="K104" s="3" t="n">
        <x:v>69.62</x:v>
      </x:c>
      <x:c r="L104" s="4" t="n">
        <x:v>0.0295</x:v>
      </x:c>
      <x:c r="M104" s="4" t="n">
        <x:v>0.9662</x:v>
      </x:c>
    </x:row>
    <x:row r="105" ht="20" customHeight="1">
      <x:c r="A105" s="1" t="n">
        <x:v>46168</x:v>
      </x:c>
      <x:c r="B105" t="str">
        <x:v>중국 생산법인</x:v>
      </x:c>
      <x:c r="C105" t="str">
        <x:v>싱가포르</x:v>
      </x:c>
      <x:c r="D105" t="str">
        <x:v>전자제품</x:v>
      </x:c>
      <x:c r="E105" t="str">
        <x:v>무선 이어폰</x:v>
      </x:c>
      <x:c r="F105" t="str">
        <x:v>B2B</x:v>
      </x:c>
      <x:c r="G105" s="2" t="n">
        <x:v>967</x:v>
      </x:c>
      <x:c r="H105" s="3" t="n">
        <x:v>44.65</x:v>
      </x:c>
      <x:c r="I105" s="3" t="n">
        <x:f>ROUND(G105*H105,2)</x:f>
        <x:v>43176.55</x:v>
      </x:c>
      <x:c r="J105" s="3" t="n">
        <x:v>9518.8</x:v>
      </x:c>
      <x:c r="K105" s="3" t="n">
        <x:v>1487.12</x:v>
      </x:c>
      <x:c r="L105" s="4" t="n">
        <x:v>0.015</x:v>
      </x:c>
      <x:c r="M105" s="4" t="n">
        <x:v>0.8857</x:v>
      </x:c>
    </x:row>
    <x:row r="106" ht="20" customHeight="1">
      <x:c r="A106" s="1" t="n">
        <x:v>46169</x:v>
      </x:c>
      <x:c r="B106" t="str">
        <x:v>한국 생산법인</x:v>
      </x:c>
      <x:c r="C106" t="str">
        <x:v>베트남</x:v>
      </x:c>
      <x:c r="D106" t="str">
        <x:v>주방용품</x:v>
      </x:c>
      <x:c r="E106" t="str">
        <x:v>텀블러</x:v>
      </x:c>
      <x:c r="F106" t="str">
        <x:v>오프라인 매장</x:v>
      </x:c>
      <x:c r="G106" s="2" t="n">
        <x:v>151</x:v>
      </x:c>
      <x:c r="H106" s="3" t="n">
        <x:v>22.73</x:v>
      </x:c>
      <x:c r="I106" s="3" t="n">
        <x:f>ROUND(G106*H106,2)</x:f>
        <x:v>3432.23</x:v>
      </x:c>
      <x:c r="J106" s="3" t="n">
        <x:v>1091.13</x:v>
      </x:c>
      <x:c r="K106" s="3" t="n">
        <x:v>126.16</x:v>
      </x:c>
      <x:c r="L106" s="4" t="n">
        <x:v>0.0258</x:v>
      </x:c>
      <x:c r="M106" s="4" t="n">
        <x:v>0.935</x:v>
      </x:c>
    </x:row>
    <x:row r="107" ht="20" customHeight="1">
      <x:c r="A107" s="1" t="n">
        <x:v>46172</x:v>
      </x:c>
      <x:c r="B107" t="str">
        <x:v>한국 생산법인</x:v>
      </x:c>
      <x:c r="C107" t="str">
        <x:v>미국</x:v>
      </x:c>
      <x:c r="D107" t="str">
        <x:v>주방용품</x:v>
      </x:c>
      <x:c r="E107" t="str">
        <x:v>텀블러</x:v>
      </x:c>
      <x:c r="F107" t="str">
        <x:v>오프라인 매장</x:v>
      </x:c>
      <x:c r="G107" s="2" t="n">
        <x:v>80</x:v>
      </x:c>
      <x:c r="H107" s="3" t="n">
        <x:v>19.05</x:v>
      </x:c>
      <x:c r="I107" s="3" t="n">
        <x:f>ROUND(G107*H107,2)</x:f>
        <x:v>1524</x:v>
      </x:c>
      <x:c r="J107" s="3" t="n">
        <x:v>209.89</x:v>
      </x:c>
      <x:c r="K107" s="3" t="n">
        <x:v>68.79</x:v>
      </x:c>
      <x:c r="L107" s="4" t="n">
        <x:v>0.0349</x:v>
      </x:c>
      <x:c r="M107" s="4" t="n">
        <x:v>0.8844</x:v>
      </x:c>
    </x:row>
    <x:row r="108" ht="20" customHeight="1">
      <x:c r="A108" s="1" t="n">
        <x:v>46172</x:v>
      </x:c>
      <x:c r="B108" t="str">
        <x:v>한국 생산법인</x:v>
      </x:c>
      <x:c r="C108" t="str">
        <x:v>베트남</x:v>
      </x:c>
      <x:c r="D108" t="str">
        <x:v>패션잡화</x:v>
      </x:c>
      <x:c r="E108" t="str">
        <x:v>백팩</x:v>
      </x:c>
      <x:c r="F108" t="str">
        <x:v>온라인몰</x:v>
      </x:c>
      <x:c r="G108" s="2" t="n">
        <x:v>117</x:v>
      </x:c>
      <x:c r="H108" s="3" t="n">
        <x:v>38.6</x:v>
      </x:c>
      <x:c r="I108" s="3" t="n">
        <x:f>ROUND(G108*H108,2)</x:f>
        <x:v>4516.2</x:v>
      </x:c>
      <x:c r="J108" s="3" t="n">
        <x:v>1203.75</x:v>
      </x:c>
      <x:c r="K108" s="3" t="n">
        <x:v>270.9</x:v>
      </x:c>
      <x:c r="L108" s="4" t="n">
        <x:v>0.0344</x:v>
      </x:c>
      <x:c r="M108" s="4" t="n">
        <x:v>0.9279</x:v>
      </x:c>
    </x:row>
    <x:row r="109" ht="20" customHeight="1">
      <x:c r="A109" s="1" t="n">
        <x:v>46172</x:v>
      </x:c>
      <x:c r="B109" t="str">
        <x:v>한국 생산법인</x:v>
      </x:c>
      <x:c r="C109" t="str">
        <x:v>캐나다</x:v>
      </x:c>
      <x:c r="D109" t="str">
        <x:v>패션잡화</x:v>
      </x:c>
      <x:c r="E109" t="str">
        <x:v>백팩</x:v>
      </x:c>
      <x:c r="F109" t="str">
        <x:v>B2B</x:v>
      </x:c>
      <x:c r="G109" s="2" t="n">
        <x:v>152</x:v>
      </x:c>
      <x:c r="H109" s="3" t="n">
        <x:v>42.95</x:v>
      </x:c>
      <x:c r="I109" s="3" t="n">
        <x:f>ROUND(G109*H109,2)</x:f>
        <x:v>6528.4</x:v>
      </x:c>
      <x:c r="J109" s="3" t="n">
        <x:v>2006.55</x:v>
      </x:c>
      <x:c r="K109" s="3" t="n">
        <x:v>257.16</x:v>
      </x:c>
      <x:c r="L109" s="4" t="n">
        <x:v>0.0294</x:v>
      </x:c>
      <x:c r="M109" s="4" t="n">
        <x:v>0.8934</x:v>
      </x:c>
    </x:row>
    <x:row r="110" ht="20" customHeight="1">
      <x:c r="A110" s="1" t="n">
        <x:v>46173</x:v>
      </x:c>
      <x:c r="B110" t="str">
        <x:v>한국 생산법인</x:v>
      </x:c>
      <x:c r="C110" t="str">
        <x:v>미국</x:v>
      </x:c>
      <x:c r="D110" t="str">
        <x:v>전자제품</x:v>
      </x:c>
      <x:c r="E110" t="str">
        <x:v>블루투스 스피커</x:v>
      </x:c>
      <x:c r="F110" t="str">
        <x:v>오프라인 매장</x:v>
      </x:c>
      <x:c r="G110" s="2" t="n">
        <x:v>172</x:v>
      </x:c>
      <x:c r="H110" s="3" t="n">
        <x:v>73.92</x:v>
      </x:c>
      <x:c r="I110" s="3" t="n">
        <x:f>ROUND(G110*H110,2)</x:f>
        <x:v>12714.24</x:v>
      </x:c>
      <x:c r="J110" s="3" t="n">
        <x:v>4332.25</x:v>
      </x:c>
      <x:c r="K110" s="3" t="n">
        <x:v>322.86</x:v>
      </x:c>
      <x:c r="L110" s="4" t="n">
        <x:v>0.0023</x:v>
      </x:c>
      <x:c r="M110" s="4" t="n">
        <x:v>0.9508</x:v>
      </x:c>
    </x:row>
    <x:row r="111" ht="20" customHeight="1">
      <x:c r="A111" s="1" t="n">
        <x:v>46175</x:v>
      </x:c>
      <x:c r="B111" t="str">
        <x:v>태국 생산법인</x:v>
      </x:c>
      <x:c r="C111" t="str">
        <x:v>일본</x:v>
      </x:c>
      <x:c r="D111" t="str">
        <x:v>패션잡화</x:v>
      </x:c>
      <x:c r="E111" t="str">
        <x:v>여행용 캐리어</x:v>
      </x:c>
      <x:c r="F111" t="str">
        <x:v>온라인몰</x:v>
      </x:c>
      <x:c r="G111" s="2" t="n">
        <x:v>214</x:v>
      </x:c>
      <x:c r="H111" s="3" t="n">
        <x:v>104.63</x:v>
      </x:c>
      <x:c r="I111" s="3" t="n">
        <x:f>ROUND(G111*H111,2)</x:f>
        <x:v>22390.82</x:v>
      </x:c>
      <x:c r="J111" s="3" t="n">
        <x:v>2421.99</x:v>
      </x:c>
      <x:c r="K111" s="3" t="n">
        <x:v>2045.68</x:v>
      </x:c>
      <x:c r="L111" s="4" t="n">
        <x:v>0.0262</x:v>
      </x:c>
      <x:c r="M111" s="4" t="n">
        <x:v>0.8817</x:v>
      </x:c>
    </x:row>
    <x:row r="112" ht="20" customHeight="1">
      <x:c r="A112" s="1" t="n">
        <x:v>46176</x:v>
      </x:c>
      <x:c r="B112" t="str">
        <x:v>베트남 생산법인</x:v>
      </x:c>
      <x:c r="C112" t="str">
        <x:v>프랑스</x:v>
      </x:c>
      <x:c r="D112" t="str">
        <x:v>전자제품</x:v>
      </x:c>
      <x:c r="E112" t="str">
        <x:v>무선 이어폰</x:v>
      </x:c>
      <x:c r="F112" t="str">
        <x:v>B2B</x:v>
      </x:c>
      <x:c r="G112" s="2" t="n">
        <x:v>403</x:v>
      </x:c>
      <x:c r="H112" s="3" t="n">
        <x:v>46.61</x:v>
      </x:c>
      <x:c r="I112" s="3" t="n">
        <x:f>ROUND(G112*H112,2)</x:f>
        <x:v>18783.83</x:v>
      </x:c>
      <x:c r="J112" s="3" t="n">
        <x:v>4025.8</x:v>
      </x:c>
      <x:c r="K112" s="3" t="n">
        <x:v>936.07</x:v>
      </x:c>
      <x:c r="L112" s="4" t="n">
        <x:v>0.0208</x:v>
      </x:c>
      <x:c r="M112" s="4" t="n">
        <x:v>0.9144</x:v>
      </x:c>
    </x:row>
    <x:row r="113" ht="20" customHeight="1">
      <x:c r="A113" s="1" t="n">
        <x:v>46177</x:v>
      </x:c>
      <x:c r="B113" t="str">
        <x:v>한국 생산법인</x:v>
      </x:c>
      <x:c r="C113" t="str">
        <x:v>인도</x:v>
      </x:c>
      <x:c r="D113" t="str">
        <x:v>생활용품</x:v>
      </x:c>
      <x:c r="E113" t="str">
        <x:v>LED 데스크 조명</x:v>
      </x:c>
      <x:c r="F113" t="str">
        <x:v>해외 대리점</x:v>
      </x:c>
      <x:c r="G113" s="2" t="n">
        <x:v>140</x:v>
      </x:c>
      <x:c r="H113" s="3" t="n">
        <x:v>39.46</x:v>
      </x:c>
      <x:c r="I113" s="3" t="n">
        <x:f>ROUND(G113*H113,2)</x:f>
        <x:v>5524.4</x:v>
      </x:c>
      <x:c r="J113" s="3" t="n">
        <x:v>1616.02</x:v>
      </x:c>
      <x:c r="K113" s="3" t="n">
        <x:v>233.02</x:v>
      </x:c>
      <x:c r="L113" s="4" t="n">
        <x:v>0.0235</x:v>
      </x:c>
      <x:c r="M113" s="4" t="n">
        <x:v>0.9038</x:v>
      </x:c>
    </x:row>
    <x:row r="114" ht="20" customHeight="1">
      <x:c r="A114" s="1" t="n">
        <x:v>46178</x:v>
      </x:c>
      <x:c r="B114" t="str">
        <x:v>중국 생산법인</x:v>
      </x:c>
      <x:c r="C114" t="str">
        <x:v>독일</x:v>
      </x:c>
      <x:c r="D114" t="str">
        <x:v>생활용품</x:v>
      </x:c>
      <x:c r="E114" t="str">
        <x:v>수납함</x:v>
      </x:c>
      <x:c r="F114" t="str">
        <x:v>해외 대리점</x:v>
      </x:c>
      <x:c r="G114" s="2" t="n">
        <x:v>130</x:v>
      </x:c>
      <x:c r="H114" s="3" t="n">
        <x:v>13.42</x:v>
      </x:c>
      <x:c r="I114" s="3" t="n">
        <x:f>ROUND(G114*H114,2)</x:f>
        <x:v>1744.6</x:v>
      </x:c>
      <x:c r="J114" s="3" t="n">
        <x:v>268.55</x:v>
      </x:c>
      <x:c r="K114" s="3" t="n">
        <x:v>77.83</x:v>
      </x:c>
      <x:c r="L114" s="4" t="n">
        <x:v>0.0113</x:v>
      </x:c>
      <x:c r="M114" s="4" t="n">
        <x:v>0.9109</x:v>
      </x:c>
    </x:row>
    <x:row r="115" ht="20" customHeight="1">
      <x:c r="A115" s="1" t="n">
        <x:v>46179</x:v>
      </x:c>
      <x:c r="B115" t="str">
        <x:v>한국 생산법인</x:v>
      </x:c>
      <x:c r="C115" t="str">
        <x:v>미국</x:v>
      </x:c>
      <x:c r="D115" t="str">
        <x:v>패션잡화</x:v>
      </x:c>
      <x:c r="E115" t="str">
        <x:v>여행용 캐리어</x:v>
      </x:c>
      <x:c r="F115" t="str">
        <x:v>도매</x:v>
      </x:c>
      <x:c r="G115" s="2" t="n">
        <x:v>985</x:v>
      </x:c>
      <x:c r="H115" s="3" t="n">
        <x:v>89.06</x:v>
      </x:c>
      <x:c r="I115" s="3" t="n">
        <x:f>ROUND(G115*H115,2)</x:f>
        <x:v>87724.1</x:v>
      </x:c>
      <x:c r="J115" s="3" t="n">
        <x:v>27628.83</x:v>
      </x:c>
      <x:c r="K115" s="3" t="n">
        <x:v>1142.7</x:v>
      </x:c>
      <x:c r="L115" s="4" t="n">
        <x:v>0.0319</x:v>
      </x:c>
      <x:c r="M115" s="4" t="n">
        <x:v>0.9109</x:v>
      </x:c>
    </x:row>
    <x:row r="116" ht="20" customHeight="1">
      <x:c r="A116" s="1" t="n">
        <x:v>46179</x:v>
      </x:c>
      <x:c r="B116" t="str">
        <x:v>태국 생산법인</x:v>
      </x:c>
      <x:c r="C116" t="str">
        <x:v>영국</x:v>
      </x:c>
      <x:c r="D116" t="str">
        <x:v>주방용품</x:v>
      </x:c>
      <x:c r="E116" t="str">
        <x:v>텀블러</x:v>
      </x:c>
      <x:c r="F116" t="str">
        <x:v>오프라인 매장</x:v>
      </x:c>
      <x:c r="G116" s="2" t="n">
        <x:v>223</x:v>
      </x:c>
      <x:c r="H116" s="3" t="n">
        <x:v>17.96</x:v>
      </x:c>
      <x:c r="I116" s="3" t="n">
        <x:f>ROUND(G116*H116,2)</x:f>
        <x:v>4005.08</x:v>
      </x:c>
      <x:c r="J116" s="3" t="n">
        <x:v>1266.45</x:v>
      </x:c>
      <x:c r="K116" s="3" t="n">
        <x:v>74.74</x:v>
      </x:c>
      <x:c r="L116" s="4" t="n">
        <x:v>0.0318</x:v>
      </x:c>
      <x:c r="M116" s="4" t="n">
        <x:v>0.912</x:v>
      </x:c>
    </x:row>
    <x:row r="117" ht="20" customHeight="1">
      <x:c r="A117" s="1" t="n">
        <x:v>46180</x:v>
      </x:c>
      <x:c r="B117" t="str">
        <x:v>중국 생산법인</x:v>
      </x:c>
      <x:c r="C117" t="str">
        <x:v>미국</x:v>
      </x:c>
      <x:c r="D117" t="str">
        <x:v>패션잡화</x:v>
      </x:c>
      <x:c r="E117" t="str">
        <x:v>지갑</x:v>
      </x:c>
      <x:c r="F117" t="str">
        <x:v>오프라인 매장</x:v>
      </x:c>
      <x:c r="G117" s="2" t="n">
        <x:v>105</x:v>
      </x:c>
      <x:c r="H117" s="3" t="n">
        <x:v>27.09</x:v>
      </x:c>
      <x:c r="I117" s="3" t="n">
        <x:f>ROUND(G117*H117,2)</x:f>
        <x:v>2844.45</x:v>
      </x:c>
      <x:c r="J117" s="3" t="n">
        <x:v>727.78</x:v>
      </x:c>
      <x:c r="K117" s="3" t="n">
        <x:v>46.26</x:v>
      </x:c>
      <x:c r="L117" s="4" t="n">
        <x:v>0.002</x:v>
      </x:c>
      <x:c r="M117" s="4" t="n">
        <x:v>0.9765</x:v>
      </x:c>
    </x:row>
    <x:row r="118" ht="20" customHeight="1">
      <x:c r="A118" s="1" t="n">
        <x:v>46182</x:v>
      </x:c>
      <x:c r="B118" t="str">
        <x:v>베트남 생산법인</x:v>
      </x:c>
      <x:c r="C118" t="str">
        <x:v>싱가포르</x:v>
      </x:c>
      <x:c r="D118" t="str">
        <x:v>전자제품</x:v>
      </x:c>
      <x:c r="E118" t="str">
        <x:v>스마트워치</x:v>
      </x:c>
      <x:c r="F118" t="str">
        <x:v>B2B</x:v>
      </x:c>
      <x:c r="G118" s="2" t="n">
        <x:v>522</x:v>
      </x:c>
      <x:c r="H118" s="3" t="n">
        <x:v>134.79</x:v>
      </x:c>
      <x:c r="I118" s="3" t="n">
        <x:f>ROUND(G118*H118,2)</x:f>
        <x:v>70360.38</x:v>
      </x:c>
      <x:c r="J118" s="3" t="n">
        <x:v>17813.74</x:v>
      </x:c>
      <x:c r="K118" s="3" t="n">
        <x:v>1302.18</x:v>
      </x:c>
      <x:c r="L118" s="4" t="n">
        <x:v>0.0268</x:v>
      </x:c>
      <x:c r="M118" s="4" t="n">
        <x:v>0.9439</x:v>
      </x:c>
    </x:row>
    <x:row r="119" ht="20" customHeight="1">
      <x:c r="A119" s="1" t="n">
        <x:v>46182</x:v>
      </x:c>
      <x:c r="B119" t="str">
        <x:v>태국 생산법인</x:v>
      </x:c>
      <x:c r="C119" t="str">
        <x:v>인도</x:v>
      </x:c>
      <x:c r="D119" t="str">
        <x:v>패션잡화</x:v>
      </x:c>
      <x:c r="E119" t="str">
        <x:v>여행용 캐리어</x:v>
      </x:c>
      <x:c r="F119" t="str">
        <x:v>온라인몰</x:v>
      </x:c>
      <x:c r="G119" s="2" t="n">
        <x:v>23</x:v>
      </x:c>
      <x:c r="H119" s="3" t="n">
        <x:v>112.38</x:v>
      </x:c>
      <x:c r="I119" s="3" t="n">
        <x:f>ROUND(G119*H119,2)</x:f>
        <x:v>2584.74</x:v>
      </x:c>
      <x:c r="J119" s="3" t="n">
        <x:v>506.54</x:v>
      </x:c>
      <x:c r="K119" s="3" t="n">
        <x:v>145.84</x:v>
      </x:c>
      <x:c r="L119" s="4" t="n">
        <x:v>0.0175</x:v>
      </x:c>
      <x:c r="M119" s="4" t="n">
        <x:v>0.975</x:v>
      </x:c>
    </x:row>
    <x:row r="120" ht="20" customHeight="1">
      <x:c r="A120" s="1" t="n">
        <x:v>46184</x:v>
      </x:c>
      <x:c r="B120" t="str">
        <x:v>중국 생산법인</x:v>
      </x:c>
      <x:c r="C120" t="str">
        <x:v>일본</x:v>
      </x:c>
      <x:c r="D120" t="str">
        <x:v>전자제품</x:v>
      </x:c>
      <x:c r="E120" t="str">
        <x:v>블루투스 스피커</x:v>
      </x:c>
      <x:c r="F120" t="str">
        <x:v>오프라인 매장</x:v>
      </x:c>
      <x:c r="G120" s="2" t="n">
        <x:v>50</x:v>
      </x:c>
      <x:c r="H120" s="3" t="n">
        <x:v>74.62</x:v>
      </x:c>
      <x:c r="I120" s="3" t="n">
        <x:f>ROUND(G120*H120,2)</x:f>
        <x:v>3731</x:v>
      </x:c>
      <x:c r="J120" s="3" t="n">
        <x:v>1187.66</x:v>
      </x:c>
      <x:c r="K120" s="3" t="n">
        <x:v>177.64</x:v>
      </x:c>
      <x:c r="L120" s="4" t="n">
        <x:v>0.0229</x:v>
      </x:c>
      <x:c r="M120" s="4" t="n">
        <x:v>0.9106</x:v>
      </x:c>
    </x:row>
    <x:row r="121" ht="20" customHeight="1">
      <x:c r="A121" s="1" t="n">
        <x:v>46184</x:v>
      </x:c>
      <x:c r="B121" t="str">
        <x:v>베트남 생산법인</x:v>
      </x:c>
      <x:c r="C121" t="str">
        <x:v>인도</x:v>
      </x:c>
      <x:c r="D121" t="str">
        <x:v>패션잡화</x:v>
      </x:c>
      <x:c r="E121" t="str">
        <x:v>지갑</x:v>
      </x:c>
      <x:c r="F121" t="str">
        <x:v>도매</x:v>
      </x:c>
      <x:c r="G121" s="2" t="n">
        <x:v>500</x:v>
      </x:c>
      <x:c r="H121" s="3" t="n">
        <x:v>25.5</x:v>
      </x:c>
      <x:c r="I121" s="3" t="n">
        <x:f>ROUND(G121*H121,2)</x:f>
        <x:v>12750</x:v>
      </x:c>
      <x:c r="J121" s="3" t="n">
        <x:v>3771.84</x:v>
      </x:c>
      <x:c r="K121" s="3" t="n">
        <x:v>590.07</x:v>
      </x:c>
      <x:c r="L121" s="4" t="n">
        <x:v>0.0097</x:v>
      </x:c>
      <x:c r="M121" s="4" t="n">
        <x:v>0.9332</x:v>
      </x:c>
    </x:row>
    <x:row r="122" ht="20" customHeight="1">
      <x:c r="A122" s="1" t="n">
        <x:v>46185</x:v>
      </x:c>
      <x:c r="B122" t="str">
        <x:v>태국 생산법인</x:v>
      </x:c>
      <x:c r="C122" t="str">
        <x:v>캐나다</x:v>
      </x:c>
      <x:c r="D122" t="str">
        <x:v>패션잡화</x:v>
      </x:c>
      <x:c r="E122" t="str">
        <x:v>여행용 캐리어</x:v>
      </x:c>
      <x:c r="F122" t="str">
        <x:v>오프라인 매장</x:v>
      </x:c>
      <x:c r="G122" s="2" t="n">
        <x:v>66</x:v>
      </x:c>
      <x:c r="H122" s="3" t="n">
        <x:v>104.7</x:v>
      </x:c>
      <x:c r="I122" s="3" t="n">
        <x:f>ROUND(G122*H122,2)</x:f>
        <x:v>6910.2</x:v>
      </x:c>
      <x:c r="J122" s="3" t="n">
        <x:v>1229.29</x:v>
      </x:c>
      <x:c r="K122" s="3" t="n">
        <x:v>96.17</x:v>
      </x:c>
      <x:c r="L122" s="4" t="n">
        <x:v>0.0308</x:v>
      </x:c>
      <x:c r="M122" s="4" t="n">
        <x:v>0.9103</x:v>
      </x:c>
    </x:row>
    <x:row r="123" ht="20" customHeight="1">
      <x:c r="A123" s="1" t="n">
        <x:v>46191</x:v>
      </x:c>
      <x:c r="B123" t="str">
        <x:v>베트남 생산법인</x:v>
      </x:c>
      <x:c r="C123" t="str">
        <x:v>일본</x:v>
      </x:c>
      <x:c r="D123" t="str">
        <x:v>주방용품</x:v>
      </x:c>
      <x:c r="E123" t="str">
        <x:v>텀블러</x:v>
      </x:c>
      <x:c r="F123" t="str">
        <x:v>도매</x:v>
      </x:c>
      <x:c r="G123" s="2" t="n">
        <x:v>181</x:v>
      </x:c>
      <x:c r="H123" s="3" t="n">
        <x:v>19.9</x:v>
      </x:c>
      <x:c r="I123" s="3" t="n">
        <x:f>ROUND(G123*H123,2)</x:f>
        <x:v>3601.9</x:v>
      </x:c>
      <x:c r="J123" s="3" t="n">
        <x:v>703.31</x:v>
      </x:c>
      <x:c r="K123" s="3" t="n">
        <x:v>163.01</x:v>
      </x:c>
      <x:c r="L123" s="4" t="n">
        <x:v>0.0209</x:v>
      </x:c>
      <x:c r="M123" s="4" t="n">
        <x:v>0.9513</x:v>
      </x:c>
    </x:row>
    <x:row r="124" ht="20" customHeight="1">
      <x:c r="A124" s="1" t="n">
        <x:v>46192</x:v>
      </x:c>
      <x:c r="B124" t="str">
        <x:v>중국 생산법인</x:v>
      </x:c>
      <x:c r="C124" t="str">
        <x:v>베트남</x:v>
      </x:c>
      <x:c r="D124" t="str">
        <x:v>주방용품</x:v>
      </x:c>
      <x:c r="E124" t="str">
        <x:v>스테인리스 냄비</x:v>
      </x:c>
      <x:c r="F124" t="str">
        <x:v>오프라인 매장</x:v>
      </x:c>
      <x:c r="G124" s="2" t="n">
        <x:v>164</x:v>
      </x:c>
      <x:c r="H124" s="3" t="n">
        <x:v>46.87</x:v>
      </x:c>
      <x:c r="I124" s="3" t="n">
        <x:f>ROUND(G124*H124,2)</x:f>
        <x:v>7686.68</x:v>
      </x:c>
      <x:c r="J124" s="3" t="n">
        <x:v>1251.72</x:v>
      </x:c>
      <x:c r="K124" s="3" t="n">
        <x:v>161.83</x:v>
      </x:c>
      <x:c r="L124" s="4" t="n">
        <x:v>0.0184</x:v>
      </x:c>
      <x:c r="M124" s="4" t="n">
        <x:v>0.996</x:v>
      </x:c>
    </x:row>
    <x:row r="125" ht="20" customHeight="1">
      <x:c r="A125" s="1" t="n">
        <x:v>46194</x:v>
      </x:c>
      <x:c r="B125" t="str">
        <x:v>태국 생산법인</x:v>
      </x:c>
      <x:c r="C125" t="str">
        <x:v>영국</x:v>
      </x:c>
      <x:c r="D125" t="str">
        <x:v>생활가전</x:v>
      </x:c>
      <x:c r="E125" t="str">
        <x:v>로봇청소기</x:v>
      </x:c>
      <x:c r="F125" t="str">
        <x:v>해외 대리점</x:v>
      </x:c>
      <x:c r="G125" s="2" t="n">
        <x:v>46</x:v>
      </x:c>
      <x:c r="H125" s="3" t="n">
        <x:v>325.4</x:v>
      </x:c>
      <x:c r="I125" s="3" t="n">
        <x:f>ROUND(G125*H125,2)</x:f>
        <x:v>14968.4</x:v>
      </x:c>
      <x:c r="J125" s="3" t="n">
        <x:v>3252.94</x:v>
      </x:c>
      <x:c r="K125" s="3" t="n">
        <x:v>661.51</x:v>
      </x:c>
      <x:c r="L125" s="4" t="n">
        <x:v>0.0178</x:v>
      </x:c>
      <x:c r="M125" s="4" t="n">
        <x:v>0.8899</x:v>
      </x:c>
    </x:row>
    <x:row r="126" ht="20" customHeight="1">
      <x:c r="A126" s="1" t="n">
        <x:v>46196</x:v>
      </x:c>
      <x:c r="B126" t="str">
        <x:v>베트남 생산법인</x:v>
      </x:c>
      <x:c r="C126" t="str">
        <x:v>싱가포르</x:v>
      </x:c>
      <x:c r="D126" t="str">
        <x:v>생활가전</x:v>
      </x:c>
      <x:c r="E126" t="str">
        <x:v>전기주전자</x:v>
      </x:c>
      <x:c r="F126" t="str">
        <x:v>온라인몰</x:v>
      </x:c>
      <x:c r="G126" s="2" t="n">
        <x:v>254</x:v>
      </x:c>
      <x:c r="H126" s="3" t="n">
        <x:v>39.77</x:v>
      </x:c>
      <x:c r="I126" s="3" t="n">
        <x:f>ROUND(G126*H126,2)</x:f>
        <x:v>10101.58</x:v>
      </x:c>
      <x:c r="J126" s="3" t="n">
        <x:v>2459.26</x:v>
      </x:c>
      <x:c r="K126" s="3" t="n">
        <x:v>809.26</x:v>
      </x:c>
      <x:c r="L126" s="4" t="n">
        <x:v>0.0289</x:v>
      </x:c>
      <x:c r="M126" s="4" t="n">
        <x:v>0.9893</x:v>
      </x:c>
    </x:row>
    <x:row r="127" ht="20" customHeight="1">
      <x:c r="A127" s="1" t="n">
        <x:v>46199</x:v>
      </x:c>
      <x:c r="B127" t="str">
        <x:v>중국 생산법인</x:v>
      </x:c>
      <x:c r="C127" t="str">
        <x:v>인도</x:v>
      </x:c>
      <x:c r="D127" t="str">
        <x:v>생활가전</x:v>
      </x:c>
      <x:c r="E127" t="str">
        <x:v>전기주전자</x:v>
      </x:c>
      <x:c r="F127" t="str">
        <x:v>B2B</x:v>
      </x:c>
      <x:c r="G127" s="2" t="n">
        <x:v>679</x:v>
      </x:c>
      <x:c r="H127" s="3" t="n">
        <x:v>41.43</x:v>
      </x:c>
      <x:c r="I127" s="3" t="n">
        <x:f>ROUND(G127*H127,2)</x:f>
        <x:v>28130.97</x:v>
      </x:c>
      <x:c r="J127" s="3" t="n">
        <x:v>4689.23</x:v>
      </x:c>
      <x:c r="K127" s="3" t="n">
        <x:v>1176.66</x:v>
      </x:c>
      <x:c r="L127" s="4" t="n">
        <x:v>0.0299</x:v>
      </x:c>
      <x:c r="M127" s="4" t="n">
        <x:v>0.9024</x:v>
      </x:c>
    </x:row>
    <x:row r="128" ht="20" customHeight="1">
      <x:c r="A128" s="1" t="n">
        <x:v>46199</x:v>
      </x:c>
      <x:c r="B128" t="str">
        <x:v>태국 생산법인</x:v>
      </x:c>
      <x:c r="C128" t="str">
        <x:v>영국</x:v>
      </x:c>
      <x:c r="D128" t="str">
        <x:v>전자제품</x:v>
      </x:c>
      <x:c r="E128" t="str">
        <x:v>스마트워치</x:v>
      </x:c>
      <x:c r="F128" t="str">
        <x:v>해외 대리점</x:v>
      </x:c>
      <x:c r="G128" s="2" t="n">
        <x:v>151</x:v>
      </x:c>
      <x:c r="H128" s="3" t="n">
        <x:v>130.45</x:v>
      </x:c>
      <x:c r="I128" s="3" t="n">
        <x:f>ROUND(G128*H128,2)</x:f>
        <x:v>19697.95</x:v>
      </x:c>
      <x:c r="J128" s="3" t="n">
        <x:v>3184.8</x:v>
      </x:c>
      <x:c r="K128" s="3" t="n">
        <x:v>858.22</x:v>
      </x:c>
      <x:c r="L128" s="4" t="n">
        <x:v>0.0327</x:v>
      </x:c>
      <x:c r="M128" s="4" t="n">
        <x:v>0.9909</x:v>
      </x:c>
    </x:row>
    <x:row r="129" ht="20" customHeight="1">
      <x:c r="A129" s="1" t="n">
        <x:v>46201</x:v>
      </x:c>
      <x:c r="B129" t="str">
        <x:v>한국 생산법인</x:v>
      </x:c>
      <x:c r="C129" t="str">
        <x:v>미국</x:v>
      </x:c>
      <x:c r="D129" t="str">
        <x:v>패션잡화</x:v>
      </x:c>
      <x:c r="E129" t="str">
        <x:v>백팩</x:v>
      </x:c>
      <x:c r="F129" t="str">
        <x:v>도매</x:v>
      </x:c>
      <x:c r="G129" s="2" t="n">
        <x:v>268</x:v>
      </x:c>
      <x:c r="H129" s="3" t="n">
        <x:v>40.75</x:v>
      </x:c>
      <x:c r="I129" s="3" t="n">
        <x:f>ROUND(G129*H129,2)</x:f>
        <x:v>10921</x:v>
      </x:c>
      <x:c r="J129" s="3" t="n">
        <x:v>2135.25</x:v>
      </x:c>
      <x:c r="K129" s="3" t="n">
        <x:v>260.78</x:v>
      </x:c>
      <x:c r="L129" s="4" t="n">
        <x:v>0.0218</x:v>
      </x:c>
      <x:c r="M129" s="4" t="n">
        <x:v>0.944</x:v>
      </x:c>
    </x:row>
    <x:row r="130" ht="20" customHeight="1">
      <x:c r="A130" s="1" t="n">
        <x:v>46202</x:v>
      </x:c>
      <x:c r="B130" t="str">
        <x:v>태국 생산법인</x:v>
      </x:c>
      <x:c r="C130" t="str">
        <x:v>일본</x:v>
      </x:c>
      <x:c r="D130" t="str">
        <x:v>패션잡화</x:v>
      </x:c>
      <x:c r="E130" t="str">
        <x:v>여행용 캐리어</x:v>
      </x:c>
      <x:c r="F130" t="str">
        <x:v>온라인몰</x:v>
      </x:c>
      <x:c r="G130" s="2" t="n">
        <x:v>35</x:v>
      </x:c>
      <x:c r="H130" s="3" t="n">
        <x:v>97.94</x:v>
      </x:c>
      <x:c r="I130" s="3" t="n">
        <x:f>ROUND(G130*H130,2)</x:f>
        <x:v>3427.9</x:v>
      </x:c>
      <x:c r="J130" s="3" t="n">
        <x:v>797.83</x:v>
      </x:c>
      <x:c r="K130" s="3" t="n">
        <x:v>281.97</x:v>
      </x:c>
      <x:c r="L130" s="4" t="n">
        <x:v>0.0119</x:v>
      </x:c>
      <x:c r="M130" s="4" t="n">
        <x:v>0.9597</x:v>
      </x:c>
    </x:row>
    <x:row r="131" ht="20" customHeight="1">
      <x:c r="A131" s="1" t="n">
        <x:v>46205</x:v>
      </x:c>
      <x:c r="B131" t="str">
        <x:v>중국 생산법인</x:v>
      </x:c>
      <x:c r="C131" t="str">
        <x:v>일본</x:v>
      </x:c>
      <x:c r="D131" t="str">
        <x:v>전자제품</x:v>
      </x:c>
      <x:c r="E131" t="str">
        <x:v>무선 이어폰</x:v>
      </x:c>
      <x:c r="F131" t="str">
        <x:v>해외 대리점</x:v>
      </x:c>
      <x:c r="G131" s="2" t="n">
        <x:v>133</x:v>
      </x:c>
      <x:c r="H131" s="3" t="n">
        <x:v>52.14</x:v>
      </x:c>
      <x:c r="I131" s="3" t="n">
        <x:f>ROUND(G131*H131,2)</x:f>
        <x:v>6934.62</x:v>
      </x:c>
      <x:c r="J131" s="3" t="n">
        <x:v>1978.48</x:v>
      </x:c>
      <x:c r="K131" s="3" t="n">
        <x:v>134.36</x:v>
      </x:c>
      <x:c r="L131" s="4" t="n">
        <x:v>0.0216</x:v>
      </x:c>
      <x:c r="M131" s="4" t="n">
        <x:v>0.9663</x:v>
      </x:c>
    </x:row>
    <x:row r="132" ht="20" customHeight="1">
      <x:c r="A132" s="1" t="n">
        <x:v>46205</x:v>
      </x:c>
      <x:c r="B132" t="str">
        <x:v>태국 생산법인</x:v>
      </x:c>
      <x:c r="C132" t="str">
        <x:v>싱가포르</x:v>
      </x:c>
      <x:c r="D132" t="str">
        <x:v>패션잡화</x:v>
      </x:c>
      <x:c r="E132" t="str">
        <x:v>지갑</x:v>
      </x:c>
      <x:c r="F132" t="str">
        <x:v>온라인몰</x:v>
      </x:c>
      <x:c r="G132" s="2" t="n">
        <x:v>187</x:v>
      </x:c>
      <x:c r="H132" s="3" t="n">
        <x:v>29.21</x:v>
      </x:c>
      <x:c r="I132" s="3" t="n">
        <x:f>ROUND(G132*H132,2)</x:f>
        <x:v>5462.27</x:v>
      </x:c>
      <x:c r="J132" s="3" t="n">
        <x:v>1320.32</x:v>
      </x:c>
      <x:c r="K132" s="3" t="n">
        <x:v>365.29</x:v>
      </x:c>
      <x:c r="L132" s="4" t="n">
        <x:v>0.0255</x:v>
      </x:c>
      <x:c r="M132" s="4" t="n">
        <x:v>0.9122</x:v>
      </x:c>
    </x:row>
    <x:row r="133" ht="20" customHeight="1">
      <x:c r="A133" s="1" t="n">
        <x:v>46206</x:v>
      </x:c>
      <x:c r="B133" t="str">
        <x:v>한국 생산법인</x:v>
      </x:c>
      <x:c r="C133" t="str">
        <x:v>영국</x:v>
      </x:c>
      <x:c r="D133" t="str">
        <x:v>생활용품</x:v>
      </x:c>
      <x:c r="E133" t="str">
        <x:v>LED 데스크 조명</x:v>
      </x:c>
      <x:c r="F133" t="str">
        <x:v>B2B</x:v>
      </x:c>
      <x:c r="G133" s="2" t="n">
        <x:v>656</x:v>
      </x:c>
      <x:c r="H133" s="3" t="n">
        <x:v>33.55</x:v>
      </x:c>
      <x:c r="I133" s="3" t="n">
        <x:f>ROUND(G133*H133,2)</x:f>
        <x:v>22008.8</x:v>
      </x:c>
      <x:c r="J133" s="3" t="n">
        <x:v>4133.89</x:v>
      </x:c>
      <x:c r="K133" s="3" t="n">
        <x:v>276.8</x:v>
      </x:c>
      <x:c r="L133" s="4" t="n">
        <x:v>0.0184</x:v>
      </x:c>
      <x:c r="M133" s="4" t="n">
        <x:v>0.9656</x:v>
      </x:c>
    </x:row>
    <x:row r="134" ht="20" customHeight="1">
      <x:c r="A134" s="1" t="n">
        <x:v>46206</x:v>
      </x:c>
      <x:c r="B134" t="str">
        <x:v>한국 생산법인</x:v>
      </x:c>
      <x:c r="C134" t="str">
        <x:v>미국</x:v>
      </x:c>
      <x:c r="D134" t="str">
        <x:v>주방용품</x:v>
      </x:c>
      <x:c r="E134" t="str">
        <x:v>텀블러</x:v>
      </x:c>
      <x:c r="F134" t="str">
        <x:v>도매</x:v>
      </x:c>
      <x:c r="G134" s="2" t="n">
        <x:v>624</x:v>
      </x:c>
      <x:c r="H134" s="3" t="n">
        <x:v>22.81</x:v>
      </x:c>
      <x:c r="I134" s="3" t="n">
        <x:f>ROUND(G134*H134,2)</x:f>
        <x:v>14233.44</x:v>
      </x:c>
      <x:c r="J134" s="3" t="n">
        <x:v>2067.94</x:v>
      </x:c>
      <x:c r="K134" s="3" t="n">
        <x:v>522.84</x:v>
      </x:c>
      <x:c r="L134" s="4" t="n">
        <x:v>0.0251</x:v>
      </x:c>
      <x:c r="M134" s="4" t="n">
        <x:v>0.9313</x:v>
      </x:c>
    </x:row>
    <x:row r="135" ht="20" customHeight="1">
      <x:c r="A135" s="1" t="n">
        <x:v>46207</x:v>
      </x:c>
      <x:c r="B135" t="str">
        <x:v>베트남 생산법인</x:v>
      </x:c>
      <x:c r="C135" t="str">
        <x:v>호주</x:v>
      </x:c>
      <x:c r="D135" t="str">
        <x:v>생활용품</x:v>
      </x:c>
      <x:c r="E135" t="str">
        <x:v>수납함</x:v>
      </x:c>
      <x:c r="F135" t="str">
        <x:v>오프라인 매장</x:v>
      </x:c>
      <x:c r="G135" s="2" t="n">
        <x:v>89</x:v>
      </x:c>
      <x:c r="H135" s="3" t="n">
        <x:v>15.5</x:v>
      </x:c>
      <x:c r="I135" s="3" t="n">
        <x:f>ROUND(G135*H135,2)</x:f>
        <x:v>1379.5</x:v>
      </x:c>
      <x:c r="J135" s="3" t="n">
        <x:v>437.69</x:v>
      </x:c>
      <x:c r="K135" s="3" t="n">
        <x:v>25.35</x:v>
      </x:c>
      <x:c r="L135" s="4" t="n">
        <x:v>0.0259</x:v>
      </x:c>
      <x:c r="M135" s="4" t="n">
        <x:v>0.9174</x:v>
      </x:c>
    </x:row>
    <x:row r="136" ht="20" customHeight="1">
      <x:c r="A136" s="1" t="n">
        <x:v>46207</x:v>
      </x:c>
      <x:c r="B136" t="str">
        <x:v>한국 생산법인</x:v>
      </x:c>
      <x:c r="C136" t="str">
        <x:v>호주</x:v>
      </x:c>
      <x:c r="D136" t="str">
        <x:v>주방용품</x:v>
      </x:c>
      <x:c r="E136" t="str">
        <x:v>스테인리스 냄비</x:v>
      </x:c>
      <x:c r="F136" t="str">
        <x:v>오프라인 매장</x:v>
      </x:c>
      <x:c r="G136" s="2" t="n">
        <x:v>199</x:v>
      </x:c>
      <x:c r="H136" s="3" t="n">
        <x:v>51.53</x:v>
      </x:c>
      <x:c r="I136" s="3" t="n">
        <x:f>ROUND(G136*H136,2)</x:f>
        <x:v>10254.47</x:v>
      </x:c>
      <x:c r="J136" s="3" t="n">
        <x:v>3317.85</x:v>
      </x:c>
      <x:c r="K136" s="3" t="n">
        <x:v>185.74</x:v>
      </x:c>
      <x:c r="L136" s="4" t="n">
        <x:v>0.032</x:v>
      </x:c>
      <x:c r="M136" s="4" t="n">
        <x:v>0.9416</x:v>
      </x:c>
    </x:row>
    <x:row r="137" ht="20" customHeight="1">
      <x:c r="A137" s="1" t="n">
        <x:v>46210</x:v>
      </x:c>
      <x:c r="B137" t="str">
        <x:v>한국 생산법인</x:v>
      </x:c>
      <x:c r="C137" t="str">
        <x:v>프랑스</x:v>
      </x:c>
      <x:c r="D137" t="str">
        <x:v>주방용품</x:v>
      </x:c>
      <x:c r="E137" t="str">
        <x:v>스테인리스 냄비</x:v>
      </x:c>
      <x:c r="F137" t="str">
        <x:v>B2B</x:v>
      </x:c>
      <x:c r="G137" s="2" t="n">
        <x:v>926</x:v>
      </x:c>
      <x:c r="H137" s="3" t="n">
        <x:v>55.17</x:v>
      </x:c>
      <x:c r="I137" s="3" t="n">
        <x:f>ROUND(G137*H137,2)</x:f>
        <x:v>51087.42</x:v>
      </x:c>
      <x:c r="J137" s="3" t="n">
        <x:v>13972.78</x:v>
      </x:c>
      <x:c r="K137" s="3" t="n">
        <x:v>2345.88</x:v>
      </x:c>
      <x:c r="L137" s="4" t="n">
        <x:v>0.0339</x:v>
      </x:c>
      <x:c r="M137" s="4" t="n">
        <x:v>0.9201</x:v>
      </x:c>
    </x:row>
    <x:row r="138" ht="20" customHeight="1">
      <x:c r="A138" s="1" t="n">
        <x:v>46211</x:v>
      </x:c>
      <x:c r="B138" t="str">
        <x:v>베트남 생산법인</x:v>
      </x:c>
      <x:c r="C138" t="str">
        <x:v>베트남</x:v>
      </x:c>
      <x:c r="D138" t="str">
        <x:v>전자제품</x:v>
      </x:c>
      <x:c r="E138" t="str">
        <x:v>블루투스 스피커</x:v>
      </x:c>
      <x:c r="F138" t="str">
        <x:v>B2B</x:v>
      </x:c>
      <x:c r="G138" s="2" t="n">
        <x:v>699</x:v>
      </x:c>
      <x:c r="H138" s="3" t="n">
        <x:v>82.92</x:v>
      </x:c>
      <x:c r="I138" s="3" t="n">
        <x:f>ROUND(G138*H138,2)</x:f>
        <x:v>57961.08</x:v>
      </x:c>
      <x:c r="J138" s="3" t="n">
        <x:v>13807.07</x:v>
      </x:c>
      <x:c r="K138" s="3" t="n">
        <x:v>895.59</x:v>
      </x:c>
      <x:c r="L138" s="4" t="n">
        <x:v>0.0168</x:v>
      </x:c>
      <x:c r="M138" s="4" t="n">
        <x:v>0.9378</x:v>
      </x:c>
    </x:row>
    <x:row r="139" ht="20" customHeight="1">
      <x:c r="A139" s="1" t="n">
        <x:v>46212</x:v>
      </x:c>
      <x:c r="B139" t="str">
        <x:v>베트남 생산법인</x:v>
      </x:c>
      <x:c r="C139" t="str">
        <x:v>캐나다</x:v>
      </x:c>
      <x:c r="D139" t="str">
        <x:v>생활가전</x:v>
      </x:c>
      <x:c r="E139" t="str">
        <x:v>공기청정기</x:v>
      </x:c>
      <x:c r="F139" t="str">
        <x:v>해외 대리점</x:v>
      </x:c>
      <x:c r="G139" s="2" t="n">
        <x:v>117</x:v>
      </x:c>
      <x:c r="H139" s="3" t="n">
        <x:v>172.71</x:v>
      </x:c>
      <x:c r="I139" s="3" t="n">
        <x:f>ROUND(G139*H139,2)</x:f>
        <x:v>20207.07</x:v>
      </x:c>
      <x:c r="J139" s="3" t="n">
        <x:v>5335.47</x:v>
      </x:c>
      <x:c r="K139" s="3" t="n">
        <x:v>687.65</x:v>
      </x:c>
      <x:c r="L139" s="4" t="n">
        <x:v>0.0367</x:v>
      </x:c>
      <x:c r="M139" s="4" t="n">
        <x:v>0.9934</x:v>
      </x:c>
    </x:row>
    <x:row r="140" ht="20" customHeight="1">
      <x:c r="A140" s="1" t="n">
        <x:v>46213</x:v>
      </x:c>
      <x:c r="B140" t="str">
        <x:v>한국 생산법인</x:v>
      </x:c>
      <x:c r="C140" t="str">
        <x:v>인도</x:v>
      </x:c>
      <x:c r="D140" t="str">
        <x:v>주방용품</x:v>
      </x:c>
      <x:c r="E140" t="str">
        <x:v>밀폐용기 세트</x:v>
      </x:c>
      <x:c r="F140" t="str">
        <x:v>도매</x:v>
      </x:c>
      <x:c r="G140" s="2" t="n">
        <x:v>911</x:v>
      </x:c>
      <x:c r="H140" s="3" t="n">
        <x:v>25.49</x:v>
      </x:c>
      <x:c r="I140" s="3" t="n">
        <x:f>ROUND(G140*H140,2)</x:f>
        <x:v>23221.39</x:v>
      </x:c>
      <x:c r="J140" s="3" t="n">
        <x:v>5318.19</x:v>
      </x:c>
      <x:c r="K140" s="3" t="n">
        <x:v>415.17</x:v>
      </x:c>
      <x:c r="L140" s="4" t="n">
        <x:v>0.0101</x:v>
      </x:c>
      <x:c r="M140" s="4" t="n">
        <x:v>0.9386</x:v>
      </x:c>
    </x:row>
    <x:row r="141" ht="20" customHeight="1">
      <x:c r="A141" s="1" t="n">
        <x:v>46215</x:v>
      </x:c>
      <x:c r="B141" t="str">
        <x:v>베트남 생산법인</x:v>
      </x:c>
      <x:c r="C141" t="str">
        <x:v>영국</x:v>
      </x:c>
      <x:c r="D141" t="str">
        <x:v>생활가전</x:v>
      </x:c>
      <x:c r="E141" t="str">
        <x:v>공기청정기</x:v>
      </x:c>
      <x:c r="F141" t="str">
        <x:v>오프라인 매장</x:v>
      </x:c>
      <x:c r="G141" s="2" t="n">
        <x:v>279</x:v>
      </x:c>
      <x:c r="H141" s="3" t="n">
        <x:v>172.15</x:v>
      </x:c>
      <x:c r="I141" s="3" t="n">
        <x:f>ROUND(G141*H141,2)</x:f>
        <x:v>48029.85</x:v>
      </x:c>
      <x:c r="J141" s="3" t="n">
        <x:v>14767.41</x:v>
      </x:c>
      <x:c r="K141" s="3" t="n">
        <x:v>2391.44</x:v>
      </x:c>
      <x:c r="L141" s="4" t="n">
        <x:v>0.0039</x:v>
      </x:c>
      <x:c r="M141" s="4" t="n">
        <x:v>0.9439</x:v>
      </x:c>
    </x:row>
    <x:row r="142" ht="20" customHeight="1">
      <x:c r="A142" s="1" t="n">
        <x:v>46215</x:v>
      </x:c>
      <x:c r="B142" t="str">
        <x:v>태국 생산법인</x:v>
      </x:c>
      <x:c r="C142" t="str">
        <x:v>캐나다</x:v>
      </x:c>
      <x:c r="D142" t="str">
        <x:v>전자제품</x:v>
      </x:c>
      <x:c r="E142" t="str">
        <x:v>스마트워치</x:v>
      </x:c>
      <x:c r="F142" t="str">
        <x:v>온라인몰</x:v>
      </x:c>
      <x:c r="G142" s="2" t="n">
        <x:v>93</x:v>
      </x:c>
      <x:c r="H142" s="3" t="n">
        <x:v>144.1</x:v>
      </x:c>
      <x:c r="I142" s="3" t="n">
        <x:f>ROUND(G142*H142,2)</x:f>
        <x:v>13401.3</x:v>
      </x:c>
      <x:c r="J142" s="3" t="n">
        <x:v>1432.29</x:v>
      </x:c>
      <x:c r="K142" s="3" t="n">
        <x:v>1221.92</x:v>
      </x:c>
      <x:c r="L142" s="4" t="n">
        <x:v>0.011</x:v>
      </x:c>
      <x:c r="M142" s="4" t="n">
        <x:v>0.9972</x:v>
      </x:c>
    </x:row>
    <x:row r="143" ht="20" customHeight="1">
      <x:c r="A143" s="1" t="n">
        <x:v>46216</x:v>
      </x:c>
      <x:c r="B143" t="str">
        <x:v>한국 생산법인</x:v>
      </x:c>
      <x:c r="C143" t="str">
        <x:v>인도</x:v>
      </x:c>
      <x:c r="D143" t="str">
        <x:v>패션잡화</x:v>
      </x:c>
      <x:c r="E143" t="str">
        <x:v>지갑</x:v>
      </x:c>
      <x:c r="F143" t="str">
        <x:v>B2B</x:v>
      </x:c>
      <x:c r="G143" s="2" t="n">
        <x:v>108</x:v>
      </x:c>
      <x:c r="H143" s="3" t="n">
        <x:v>32.01</x:v>
      </x:c>
      <x:c r="I143" s="3" t="n">
        <x:f>ROUND(G143*H143,2)</x:f>
        <x:v>3457.08</x:v>
      </x:c>
      <x:c r="J143" s="3" t="n">
        <x:v>820.71</x:v>
      </x:c>
      <x:c r="K143" s="3" t="n">
        <x:v>101.74</x:v>
      </x:c>
      <x:c r="L143" s="4" t="n">
        <x:v>0.0104</x:v>
      </x:c>
      <x:c r="M143" s="4" t="n">
        <x:v>0.9342</x:v>
      </x:c>
    </x:row>
    <x:row r="144" ht="20" customHeight="1">
      <x:c r="A144" s="1" t="n">
        <x:v>46222</x:v>
      </x:c>
      <x:c r="B144" t="str">
        <x:v>베트남 생산법인</x:v>
      </x:c>
      <x:c r="C144" t="str">
        <x:v>베트남</x:v>
      </x:c>
      <x:c r="D144" t="str">
        <x:v>패션잡화</x:v>
      </x:c>
      <x:c r="E144" t="str">
        <x:v>백팩</x:v>
      </x:c>
      <x:c r="F144" t="str">
        <x:v>해외 대리점</x:v>
      </x:c>
      <x:c r="G144" s="2" t="n">
        <x:v>281</x:v>
      </x:c>
      <x:c r="H144" s="3" t="n">
        <x:v>39.95</x:v>
      </x:c>
      <x:c r="I144" s="3" t="n">
        <x:f>ROUND(G144*H144,2)</x:f>
        <x:v>11225.95</x:v>
      </x:c>
      <x:c r="J144" s="3" t="n">
        <x:v>2529.73</x:v>
      </x:c>
      <x:c r="K144" s="3" t="n">
        <x:v>238.09</x:v>
      </x:c>
      <x:c r="L144" s="4" t="n">
        <x:v>0.0031</x:v>
      </x:c>
      <x:c r="M144" s="4" t="n">
        <x:v>0.9609</x:v>
      </x:c>
    </x:row>
    <x:row r="145" ht="20" customHeight="1">
      <x:c r="A145" s="1" t="n">
        <x:v>46222</x:v>
      </x:c>
      <x:c r="B145" t="str">
        <x:v>베트남 생산법인</x:v>
      </x:c>
      <x:c r="C145" t="str">
        <x:v>미국</x:v>
      </x:c>
      <x:c r="D145" t="str">
        <x:v>생활용품</x:v>
      </x:c>
      <x:c r="E145" t="str">
        <x:v>욕실 매트</x:v>
      </x:c>
      <x:c r="F145" t="str">
        <x:v>도매</x:v>
      </x:c>
      <x:c r="G145" s="2" t="n">
        <x:v>899</x:v>
      </x:c>
      <x:c r="H145" s="3" t="n">
        <x:v>14.26</x:v>
      </x:c>
      <x:c r="I145" s="3" t="n">
        <x:f>ROUND(G145*H145,2)</x:f>
        <x:v>12819.74</x:v>
      </x:c>
      <x:c r="J145" s="3" t="n">
        <x:v>2790.99</x:v>
      </x:c>
      <x:c r="K145" s="3" t="n">
        <x:v>506.99</x:v>
      </x:c>
      <x:c r="L145" s="4" t="n">
        <x:v>0.0027</x:v>
      </x:c>
      <x:c r="M145" s="4" t="n">
        <x:v>0.9646</x:v>
      </x:c>
    </x:row>
    <x:row r="146" ht="20" customHeight="1">
      <x:c r="A146" s="1" t="n">
        <x:v>46223</x:v>
      </x:c>
      <x:c r="B146" t="str">
        <x:v>베트남 생산법인</x:v>
      </x:c>
      <x:c r="C146" t="str">
        <x:v>일본</x:v>
      </x:c>
      <x:c r="D146" t="str">
        <x:v>주방용품</x:v>
      </x:c>
      <x:c r="E146" t="str">
        <x:v>스테인리스 냄비</x:v>
      </x:c>
      <x:c r="F146" t="str">
        <x:v>도매</x:v>
      </x:c>
      <x:c r="G146" s="2" t="n">
        <x:v>170</x:v>
      </x:c>
      <x:c r="H146" s="3" t="n">
        <x:v>61.89</x:v>
      </x:c>
      <x:c r="I146" s="3" t="n">
        <x:f>ROUND(G146*H146,2)</x:f>
        <x:v>10521.3</x:v>
      </x:c>
      <x:c r="J146" s="3" t="n">
        <x:v>3523.36</x:v>
      </x:c>
      <x:c r="K146" s="3" t="n">
        <x:v>187.27</x:v>
      </x:c>
      <x:c r="L146" s="4" t="n">
        <x:v>0.0079</x:v>
      </x:c>
      <x:c r="M146" s="4" t="n">
        <x:v>0.9197</x:v>
      </x:c>
    </x:row>
    <x:row r="147" ht="20" customHeight="1">
      <x:c r="A147" s="1" t="n">
        <x:v>46223</x:v>
      </x:c>
      <x:c r="B147" t="str">
        <x:v>베트남 생산법인</x:v>
      </x:c>
      <x:c r="C147" t="str">
        <x:v>호주</x:v>
      </x:c>
      <x:c r="D147" t="str">
        <x:v>패션잡화</x:v>
      </x:c>
      <x:c r="E147" t="str">
        <x:v>지갑</x:v>
      </x:c>
      <x:c r="F147" t="str">
        <x:v>온라인몰</x:v>
      </x:c>
      <x:c r="G147" s="2" t="n">
        <x:v>139</x:v>
      </x:c>
      <x:c r="H147" s="3" t="n">
        <x:v>33.17</x:v>
      </x:c>
      <x:c r="I147" s="3" t="n">
        <x:f>ROUND(G147*H147,2)</x:f>
        <x:v>4610.63</x:v>
      </x:c>
      <x:c r="J147" s="3" t="n">
        <x:v>883.86</x:v>
      </x:c>
      <x:c r="K147" s="3" t="n">
        <x:v>257.18</x:v>
      </x:c>
      <x:c r="L147" s="4" t="n">
        <x:v>0.0315</x:v>
      </x:c>
      <x:c r="M147" s="4" t="n">
        <x:v>0.9311</x:v>
      </x:c>
    </x:row>
    <x:row r="148" ht="20" customHeight="1">
      <x:c r="A148" s="1" t="n">
        <x:v>46226</x:v>
      </x:c>
      <x:c r="B148" t="str">
        <x:v>태국 생산법인</x:v>
      </x:c>
      <x:c r="C148" t="str">
        <x:v>미국</x:v>
      </x:c>
      <x:c r="D148" t="str">
        <x:v>주방용품</x:v>
      </x:c>
      <x:c r="E148" t="str">
        <x:v>스테인리스 냄비</x:v>
      </x:c>
      <x:c r="F148" t="str">
        <x:v>해외 대리점</x:v>
      </x:c>
      <x:c r="G148" s="2" t="n">
        <x:v>197</x:v>
      </x:c>
      <x:c r="H148" s="3" t="n">
        <x:v>60.01</x:v>
      </x:c>
      <x:c r="I148" s="3" t="n">
        <x:f>ROUND(G148*H148,2)</x:f>
        <x:v>11821.97</x:v>
      </x:c>
      <x:c r="J148" s="3" t="n">
        <x:v>1898</x:v>
      </x:c>
      <x:c r="K148" s="3" t="n">
        <x:v>488.36</x:v>
      </x:c>
      <x:c r="L148" s="4" t="n">
        <x:v>0.0082</x:v>
      </x:c>
      <x:c r="M148" s="4" t="n">
        <x:v>0.9414</x:v>
      </x:c>
    </x:row>
    <x:row r="149" ht="20" customHeight="1">
      <x:c r="A149" s="1" t="n">
        <x:v>46226</x:v>
      </x:c>
      <x:c r="B149" t="str">
        <x:v>중국 생산법인</x:v>
      </x:c>
      <x:c r="C149" t="str">
        <x:v>호주</x:v>
      </x:c>
      <x:c r="D149" t="str">
        <x:v>생활가전</x:v>
      </x:c>
      <x:c r="E149" t="str">
        <x:v>공기청정기</x:v>
      </x:c>
      <x:c r="F149" t="str">
        <x:v>해외 대리점</x:v>
      </x:c>
      <x:c r="G149" s="2" t="n">
        <x:v>229</x:v>
      </x:c>
      <x:c r="H149" s="3" t="n">
        <x:v>224.17</x:v>
      </x:c>
      <x:c r="I149" s="3" t="n">
        <x:f>ROUND(G149*H149,2)</x:f>
        <x:v>51334.93</x:v>
      </x:c>
      <x:c r="J149" s="3" t="n">
        <x:v>14786.78</x:v>
      </x:c>
      <x:c r="K149" s="3" t="n">
        <x:v>2382.3</x:v>
      </x:c>
      <x:c r="L149" s="4" t="n">
        <x:v>0.0351</x:v>
      </x:c>
      <x:c r="M149" s="4" t="n">
        <x:v>0.9695</x:v>
      </x:c>
    </x:row>
    <x:row r="150" ht="20" customHeight="1">
      <x:c r="A150" s="1" t="n">
        <x:v>46228</x:v>
      </x:c>
      <x:c r="B150" t="str">
        <x:v>중국 생산법인</x:v>
      </x:c>
      <x:c r="C150" t="str">
        <x:v>일본</x:v>
      </x:c>
      <x:c r="D150" t="str">
        <x:v>전자제품</x:v>
      </x:c>
      <x:c r="E150" t="str">
        <x:v>무선 이어폰</x:v>
      </x:c>
      <x:c r="F150" t="str">
        <x:v>해외 대리점</x:v>
      </x:c>
      <x:c r="G150" s="2" t="n">
        <x:v>29</x:v>
      </x:c>
      <x:c r="H150" s="3" t="n">
        <x:v>48.76</x:v>
      </x:c>
      <x:c r="I150" s="3" t="n">
        <x:f>ROUND(G150*H150,2)</x:f>
        <x:v>1414.04</x:v>
      </x:c>
      <x:c r="J150" s="3" t="n">
        <x:v>393.8</x:v>
      </x:c>
      <x:c r="K150" s="3" t="n">
        <x:v>50.94</x:v>
      </x:c>
      <x:c r="L150" s="4" t="n">
        <x:v>0.0075</x:v>
      </x:c>
      <x:c r="M150" s="4" t="n">
        <x:v>0.954</x:v>
      </x:c>
    </x:row>
    <x:row r="151" ht="20" customHeight="1">
      <x:c r="A151" s="1" t="n">
        <x:v>46229</x:v>
      </x:c>
      <x:c r="B151" t="str">
        <x:v>중국 생산법인</x:v>
      </x:c>
      <x:c r="C151" t="str">
        <x:v>싱가포르</x:v>
      </x:c>
      <x:c r="D151" t="str">
        <x:v>전자제품</x:v>
      </x:c>
      <x:c r="E151" t="str">
        <x:v>스마트워치</x:v>
      </x:c>
      <x:c r="F151" t="str">
        <x:v>도매</x:v>
      </x:c>
      <x:c r="G151" s="2" t="n">
        <x:v>568</x:v>
      </x:c>
      <x:c r="H151" s="3" t="n">
        <x:v>137</x:v>
      </x:c>
      <x:c r="I151" s="3" t="n">
        <x:f>ROUND(G151*H151,2)</x:f>
        <x:v>77816</x:v>
      </x:c>
      <x:c r="J151" s="3" t="n">
        <x:v>13276.81</x:v>
      </x:c>
      <x:c r="K151" s="3" t="n">
        <x:v>932.11</x:v>
      </x:c>
      <x:c r="L151" s="4" t="n">
        <x:v>0.0083</x:v>
      </x:c>
      <x:c r="M151" s="4" t="n">
        <x:v>0.883</x:v>
      </x:c>
    </x:row>
    <x:row r="152" ht="20" customHeight="1">
      <x:c r="A152" s="1" t="n">
        <x:v>46229</x:v>
      </x:c>
      <x:c r="B152" t="str">
        <x:v>중국 생산법인</x:v>
      </x:c>
      <x:c r="C152" t="str">
        <x:v>베트남</x:v>
      </x:c>
      <x:c r="D152" t="str">
        <x:v>패션잡화</x:v>
      </x:c>
      <x:c r="E152" t="str">
        <x:v>여행용 캐리어</x:v>
      </x:c>
      <x:c r="F152" t="str">
        <x:v>B2B</x:v>
      </x:c>
      <x:c r="G152" s="2" t="n">
        <x:v>261</x:v>
      </x:c>
      <x:c r="H152" s="3" t="n">
        <x:v>112.17</x:v>
      </x:c>
      <x:c r="I152" s="3" t="n">
        <x:f>ROUND(G152*H152,2)</x:f>
        <x:v>29276.37</x:v>
      </x:c>
      <x:c r="J152" s="3" t="n">
        <x:v>4839.11</x:v>
      </x:c>
      <x:c r="K152" s="3" t="n">
        <x:v>1421.86</x:v>
      </x:c>
      <x:c r="L152" s="4" t="n">
        <x:v>0.0095</x:v>
      </x:c>
      <x:c r="M152" s="4" t="n">
        <x:v>0.9341</x:v>
      </x:c>
    </x:row>
    <x:row r="153" ht="20" customHeight="1">
      <x:c r="A153" s="1" t="n">
        <x:v>46233</x:v>
      </x:c>
      <x:c r="B153" t="str">
        <x:v>한국 생산법인</x:v>
      </x:c>
      <x:c r="C153" t="str">
        <x:v>일본</x:v>
      </x:c>
      <x:c r="D153" t="str">
        <x:v>주방용품</x:v>
      </x:c>
      <x:c r="E153" t="str">
        <x:v>텀블러</x:v>
      </x:c>
      <x:c r="F153" t="str">
        <x:v>도매</x:v>
      </x:c>
      <x:c r="G153" s="2" t="n">
        <x:v>249</x:v>
      </x:c>
      <x:c r="H153" s="3" t="n">
        <x:v>20.43</x:v>
      </x:c>
      <x:c r="I153" s="3" t="n">
        <x:f>ROUND(G153*H153,2)</x:f>
        <x:v>5087.07</x:v>
      </x:c>
      <x:c r="J153" s="3" t="n">
        <x:v>874.83</x:v>
      </x:c>
      <x:c r="K153" s="3" t="n">
        <x:v>116.44</x:v>
      </x:c>
      <x:c r="L153" s="4" t="n">
        <x:v>0.033</x:v>
      </x:c>
      <x:c r="M153" s="4" t="n">
        <x:v>0.947</x:v>
      </x:c>
    </x:row>
    <x:row r="154" ht="20" customHeight="1">
      <x:c r="A154" s="1" t="n">
        <x:v>46235</x:v>
      </x:c>
      <x:c r="B154" t="str">
        <x:v>태국 생산법인</x:v>
      </x:c>
      <x:c r="C154" t="str">
        <x:v>프랑스</x:v>
      </x:c>
      <x:c r="D154" t="str">
        <x:v>생활용품</x:v>
      </x:c>
      <x:c r="E154" t="str">
        <x:v>수납함</x:v>
      </x:c>
      <x:c r="F154" t="str">
        <x:v>온라인몰</x:v>
      </x:c>
      <x:c r="G154" s="2" t="n">
        <x:v>254</x:v>
      </x:c>
      <x:c r="H154" s="3" t="n">
        <x:v>13.87</x:v>
      </x:c>
      <x:c r="I154" s="3" t="n">
        <x:f>ROUND(G154*H154,2)</x:f>
        <x:v>3522.98</x:v>
      </x:c>
      <x:c r="J154" s="3" t="n">
        <x:v>945.09</x:v>
      </x:c>
      <x:c r="K154" s="3" t="n">
        <x:v>183.74</x:v>
      </x:c>
      <x:c r="L154" s="4" t="n">
        <x:v>0.0118</x:v>
      </x:c>
      <x:c r="M154" s="4" t="n">
        <x:v>0.963</x:v>
      </x:c>
    </x:row>
    <x:row r="155" ht="20" customHeight="1">
      <x:c r="A155" s="1" t="n">
        <x:v>46236</x:v>
      </x:c>
      <x:c r="B155" t="str">
        <x:v>태국 생산법인</x:v>
      </x:c>
      <x:c r="C155" t="str">
        <x:v>프랑스</x:v>
      </x:c>
      <x:c r="D155" t="str">
        <x:v>전자제품</x:v>
      </x:c>
      <x:c r="E155" t="str">
        <x:v>스마트워치</x:v>
      </x:c>
      <x:c r="F155" t="str">
        <x:v>B2B</x:v>
      </x:c>
      <x:c r="G155" s="2" t="n">
        <x:v>869</x:v>
      </x:c>
      <x:c r="H155" s="3" t="n">
        <x:v>147.11</x:v>
      </x:c>
      <x:c r="I155" s="3" t="n">
        <x:f>ROUND(G155*H155,2)</x:f>
        <x:v>127838.59</x:v>
      </x:c>
      <x:c r="J155" s="3" t="n">
        <x:v>30769.5</x:v>
      </x:c>
      <x:c r="K155" s="3" t="n">
        <x:v>2506.91</x:v>
      </x:c>
      <x:c r="L155" s="4" t="n">
        <x:v>0.0119</x:v>
      </x:c>
      <x:c r="M155" s="4" t="n">
        <x:v>0.9017</x:v>
      </x:c>
    </x:row>
    <x:row r="156" ht="20" customHeight="1">
      <x:c r="A156" s="1" t="n">
        <x:v>46239</x:v>
      </x:c>
      <x:c r="B156" t="str">
        <x:v>중국 생산법인</x:v>
      </x:c>
      <x:c r="C156" t="str">
        <x:v>프랑스</x:v>
      </x:c>
      <x:c r="D156" t="str">
        <x:v>생활용품</x:v>
      </x:c>
      <x:c r="E156" t="str">
        <x:v>수납함</x:v>
      </x:c>
      <x:c r="F156" t="str">
        <x:v>B2B</x:v>
      </x:c>
      <x:c r="G156" s="2" t="n">
        <x:v>826</x:v>
      </x:c>
      <x:c r="H156" s="3" t="n">
        <x:v>13.99</x:v>
      </x:c>
      <x:c r="I156" s="3" t="n">
        <x:f>ROUND(G156*H156,2)</x:f>
        <x:v>11555.74</x:v>
      </x:c>
      <x:c r="J156" s="3" t="n">
        <x:v>1985.58</x:v>
      </x:c>
      <x:c r="K156" s="3" t="n">
        <x:v>376.94</x:v>
      </x:c>
      <x:c r="L156" s="4" t="n">
        <x:v>0.0323</x:v>
      </x:c>
      <x:c r="M156" s="4" t="n">
        <x:v>0.9752</x:v>
      </x:c>
    </x:row>
    <x:row r="157" ht="20" customHeight="1">
      <x:c r="A157" s="1" t="n">
        <x:v>46241</x:v>
      </x:c>
      <x:c r="B157" t="str">
        <x:v>태국 생산법인</x:v>
      </x:c>
      <x:c r="C157" t="str">
        <x:v>싱가포르</x:v>
      </x:c>
      <x:c r="D157" t="str">
        <x:v>주방용품</x:v>
      </x:c>
      <x:c r="E157" t="str">
        <x:v>스테인리스 냄비</x:v>
      </x:c>
      <x:c r="F157" t="str">
        <x:v>오프라인 매장</x:v>
      </x:c>
      <x:c r="G157" s="2" t="n">
        <x:v>126</x:v>
      </x:c>
      <x:c r="H157" s="3" t="n">
        <x:v>58.83</x:v>
      </x:c>
      <x:c r="I157" s="3" t="n">
        <x:f>ROUND(G157*H157,2)</x:f>
        <x:v>7412.58</x:v>
      </x:c>
      <x:c r="J157" s="3" t="n">
        <x:v>1768.53</x:v>
      </x:c>
      <x:c r="K157" s="3" t="n">
        <x:v>104.78</x:v>
      </x:c>
      <x:c r="L157" s="4" t="n">
        <x:v>0.0159</x:v>
      </x:c>
      <x:c r="M157" s="4" t="n">
        <x:v>0.8878</x:v>
      </x:c>
    </x:row>
    <x:row r="158" ht="20" customHeight="1">
      <x:c r="A158" s="1" t="n">
        <x:v>46245</x:v>
      </x:c>
      <x:c r="B158" t="str">
        <x:v>한국 생산법인</x:v>
      </x:c>
      <x:c r="C158" t="str">
        <x:v>일본</x:v>
      </x:c>
      <x:c r="D158" t="str">
        <x:v>주방용품</x:v>
      </x:c>
      <x:c r="E158" t="str">
        <x:v>스테인리스 냄비</x:v>
      </x:c>
      <x:c r="F158" t="str">
        <x:v>해외 대리점</x:v>
      </x:c>
      <x:c r="G158" s="2" t="n">
        <x:v>282</x:v>
      </x:c>
      <x:c r="H158" s="3" t="n">
        <x:v>57.08</x:v>
      </x:c>
      <x:c r="I158" s="3" t="n">
        <x:f>ROUND(G158*H158,2)</x:f>
        <x:v>16096.56</x:v>
      </x:c>
      <x:c r="J158" s="3" t="n">
        <x:v>2660.77</x:v>
      </x:c>
      <x:c r="K158" s="3" t="n">
        <x:v>257.83</x:v>
      </x:c>
      <x:c r="L158" s="4" t="n">
        <x:v>0.0348</x:v>
      </x:c>
      <x:c r="M158" s="4" t="n">
        <x:v>0.913</x:v>
      </x:c>
    </x:row>
    <x:row r="159" ht="20" customHeight="1">
      <x:c r="A159" s="1" t="n">
        <x:v>46246</x:v>
      </x:c>
      <x:c r="B159" t="str">
        <x:v>태국 생산법인</x:v>
      </x:c>
      <x:c r="C159" t="str">
        <x:v>베트남</x:v>
      </x:c>
      <x:c r="D159" t="str">
        <x:v>주방용품</x:v>
      </x:c>
      <x:c r="E159" t="str">
        <x:v>스테인리스 냄비</x:v>
      </x:c>
      <x:c r="F159" t="str">
        <x:v>온라인몰</x:v>
      </x:c>
      <x:c r="G159" s="2" t="n">
        <x:v>259</x:v>
      </x:c>
      <x:c r="H159" s="3" t="n">
        <x:v>61.37</x:v>
      </x:c>
      <x:c r="I159" s="3" t="n">
        <x:f>ROUND(G159*H159,2)</x:f>
        <x:v>15894.83</x:v>
      </x:c>
      <x:c r="J159" s="3" t="n">
        <x:v>2784.45</x:v>
      </x:c>
      <x:c r="K159" s="3" t="n">
        <x:v>1660.07</x:v>
      </x:c>
      <x:c r="L159" s="4" t="n">
        <x:v>0.0164</x:v>
      </x:c>
      <x:c r="M159" s="4" t="n">
        <x:v>0.9857</x:v>
      </x:c>
    </x:row>
    <x:row r="160" ht="20" customHeight="1">
      <x:c r="A160" s="1" t="n">
        <x:v>46248</x:v>
      </x:c>
      <x:c r="B160" t="str">
        <x:v>베트남 생산법인</x:v>
      </x:c>
      <x:c r="C160" t="str">
        <x:v>싱가포르</x:v>
      </x:c>
      <x:c r="D160" t="str">
        <x:v>전자제품</x:v>
      </x:c>
      <x:c r="E160" t="str">
        <x:v>무선 이어폰</x:v>
      </x:c>
      <x:c r="F160" t="str">
        <x:v>오프라인 매장</x:v>
      </x:c>
      <x:c r="G160" s="2" t="n">
        <x:v>68</x:v>
      </x:c>
      <x:c r="H160" s="3" t="n">
        <x:v>46.31</x:v>
      </x:c>
      <x:c r="I160" s="3" t="n">
        <x:f>ROUND(G160*H160,2)</x:f>
        <x:v>3149.08</x:v>
      </x:c>
      <x:c r="J160" s="3" t="n">
        <x:v>849.4</x:v>
      </x:c>
      <x:c r="K160" s="3" t="n">
        <x:v>118.25</x:v>
      </x:c>
      <x:c r="L160" s="4" t="n">
        <x:v>0.0025</x:v>
      </x:c>
      <x:c r="M160" s="4" t="n">
        <x:v>0.9193</x:v>
      </x:c>
    </x:row>
    <x:row r="161" ht="20" customHeight="1">
      <x:c r="A161" s="1" t="n">
        <x:v>46253</x:v>
      </x:c>
      <x:c r="B161" t="str">
        <x:v>중국 생산법인</x:v>
      </x:c>
      <x:c r="C161" t="str">
        <x:v>영국</x:v>
      </x:c>
      <x:c r="D161" t="str">
        <x:v>생활용품</x:v>
      </x:c>
      <x:c r="E161" t="str">
        <x:v>수납함</x:v>
      </x:c>
      <x:c r="F161" t="str">
        <x:v>오프라인 매장</x:v>
      </x:c>
      <x:c r="G161" s="2" t="n">
        <x:v>205</x:v>
      </x:c>
      <x:c r="H161" s="3" t="n">
        <x:v>14.75</x:v>
      </x:c>
      <x:c r="I161" s="3" t="n">
        <x:f>ROUND(G161*H161,2)</x:f>
        <x:v>3023.75</x:v>
      </x:c>
      <x:c r="J161" s="3" t="n">
        <x:v>953.41</x:v>
      </x:c>
      <x:c r="K161" s="3" t="n">
        <x:v>108.85</x:v>
      </x:c>
      <x:c r="L161" s="4" t="n">
        <x:v>0.0139</x:v>
      </x:c>
      <x:c r="M161" s="4" t="n">
        <x:v>0.9367</x:v>
      </x:c>
    </x:row>
    <x:row r="162" ht="20" customHeight="1">
      <x:c r="A162" s="1" t="n">
        <x:v>46255</x:v>
      </x:c>
      <x:c r="B162" t="str">
        <x:v>중국 생산법인</x:v>
      </x:c>
      <x:c r="C162" t="str">
        <x:v>캐나다</x:v>
      </x:c>
      <x:c r="D162" t="str">
        <x:v>주방용품</x:v>
      </x:c>
      <x:c r="E162" t="str">
        <x:v>스테인리스 냄비</x:v>
      </x:c>
      <x:c r="F162" t="str">
        <x:v>B2B</x:v>
      </x:c>
      <x:c r="G162" s="2" t="n">
        <x:v>559</x:v>
      </x:c>
      <x:c r="H162" s="3" t="n">
        <x:v>51.32</x:v>
      </x:c>
      <x:c r="I162" s="3" t="n">
        <x:f>ROUND(G162*H162,2)</x:f>
        <x:v>28687.88</x:v>
      </x:c>
      <x:c r="J162" s="3" t="n">
        <x:v>6842.06</x:v>
      </x:c>
      <x:c r="K162" s="3" t="n">
        <x:v>743.15</x:v>
      </x:c>
      <x:c r="L162" s="4" t="n">
        <x:v>0.0168</x:v>
      </x:c>
      <x:c r="M162" s="4" t="n">
        <x:v>0.9079</x:v>
      </x:c>
    </x:row>
    <x:row r="163" ht="20" customHeight="1">
      <x:c r="A163" s="1" t="n">
        <x:v>46255</x:v>
      </x:c>
      <x:c r="B163" t="str">
        <x:v>태국 생산법인</x:v>
      </x:c>
      <x:c r="C163" t="str">
        <x:v>프랑스</x:v>
      </x:c>
      <x:c r="D163" t="str">
        <x:v>전자제품</x:v>
      </x:c>
      <x:c r="E163" t="str">
        <x:v>블루투스 스피커</x:v>
      </x:c>
      <x:c r="F163" t="str">
        <x:v>온라인몰</x:v>
      </x:c>
      <x:c r="G163" s="2" t="n">
        <x:v>126</x:v>
      </x:c>
      <x:c r="H163" s="3" t="n">
        <x:v>69.08</x:v>
      </x:c>
      <x:c r="I163" s="3" t="n">
        <x:f>ROUND(G163*H163,2)</x:f>
        <x:v>8704.08</x:v>
      </x:c>
      <x:c r="J163" s="3" t="n">
        <x:v>1260.12</x:v>
      </x:c>
      <x:c r="K163" s="3" t="n">
        <x:v>550.49</x:v>
      </x:c>
      <x:c r="L163" s="4" t="n">
        <x:v>0.0269</x:v>
      </x:c>
      <x:c r="M163" s="4" t="n">
        <x:v>0.9082</x:v>
      </x:c>
    </x:row>
    <x:row r="164" ht="20" customHeight="1">
      <x:c r="A164" s="1" t="n">
        <x:v>46256</x:v>
      </x:c>
      <x:c r="B164" t="str">
        <x:v>중국 생산법인</x:v>
      </x:c>
      <x:c r="C164" t="str">
        <x:v>베트남</x:v>
      </x:c>
      <x:c r="D164" t="str">
        <x:v>전자제품</x:v>
      </x:c>
      <x:c r="E164" t="str">
        <x:v>블루투스 스피커</x:v>
      </x:c>
      <x:c r="F164" t="str">
        <x:v>오프라인 매장</x:v>
      </x:c>
      <x:c r="G164" s="2" t="n">
        <x:v>40</x:v>
      </x:c>
      <x:c r="H164" s="3" t="n">
        <x:v>80.37</x:v>
      </x:c>
      <x:c r="I164" s="3" t="n">
        <x:f>ROUND(G164*H164,2)</x:f>
        <x:v>3214.8</x:v>
      </x:c>
      <x:c r="J164" s="3" t="n">
        <x:v>1072.29</x:v>
      </x:c>
      <x:c r="K164" s="3" t="n">
        <x:v>59.25</x:v>
      </x:c>
      <x:c r="L164" s="4" t="n">
        <x:v>0.0296</x:v>
      </x:c>
      <x:c r="M164" s="4" t="n">
        <x:v>0.9088</x:v>
      </x:c>
    </x:row>
    <x:row r="165" ht="20" customHeight="1">
      <x:c r="A165" s="1" t="n">
        <x:v>46258</x:v>
      </x:c>
      <x:c r="B165" t="str">
        <x:v>한국 생산법인</x:v>
      </x:c>
      <x:c r="C165" t="str">
        <x:v>캐나다</x:v>
      </x:c>
      <x:c r="D165" t="str">
        <x:v>생활가전</x:v>
      </x:c>
      <x:c r="E165" t="str">
        <x:v>로봇청소기</x:v>
      </x:c>
      <x:c r="F165" t="str">
        <x:v>도매</x:v>
      </x:c>
      <x:c r="G165" s="2" t="n">
        <x:v>567</x:v>
      </x:c>
      <x:c r="H165" s="3" t="n">
        <x:v>326.04</x:v>
      </x:c>
      <x:c r="I165" s="3" t="n">
        <x:f>ROUND(G165*H165,2)</x:f>
        <x:v>184864.68</x:v>
      </x:c>
      <x:c r="J165" s="3" t="n">
        <x:v>38050.68</x:v>
      </x:c>
      <x:c r="K165" s="3" t="n">
        <x:v>8258.05</x:v>
      </x:c>
      <x:c r="L165" s="4" t="n">
        <x:v>0.0078</x:v>
      </x:c>
      <x:c r="M165" s="4" t="n">
        <x:v>0.9681</x:v>
      </x:c>
    </x:row>
    <x:row r="166" ht="20" customHeight="1">
      <x:c r="A166" s="1" t="n">
        <x:v>46259</x:v>
      </x:c>
      <x:c r="B166" t="str">
        <x:v>태국 생산법인</x:v>
      </x:c>
      <x:c r="C166" t="str">
        <x:v>영국</x:v>
      </x:c>
      <x:c r="D166" t="str">
        <x:v>주방용품</x:v>
      </x:c>
      <x:c r="E166" t="str">
        <x:v>텀블러</x:v>
      </x:c>
      <x:c r="F166" t="str">
        <x:v>오프라인 매장</x:v>
      </x:c>
      <x:c r="G166" s="2" t="n">
        <x:v>235</x:v>
      </x:c>
      <x:c r="H166" s="3" t="n">
        <x:v>16.92</x:v>
      </x:c>
      <x:c r="I166" s="3" t="n">
        <x:f>ROUND(G166*H166,2)</x:f>
        <x:v>3976.2</x:v>
      </x:c>
      <x:c r="J166" s="3" t="n">
        <x:v>1083.27</x:v>
      </x:c>
      <x:c r="K166" s="3" t="n">
        <x:v>101.74</x:v>
      </x:c>
      <x:c r="L166" s="4" t="n">
        <x:v>0.0069</x:v>
      </x:c>
      <x:c r="M166" s="4" t="n">
        <x:v>0.9233</x:v>
      </x:c>
    </x:row>
    <x:row r="167" ht="20" customHeight="1">
      <x:c r="A167" s="1" t="n">
        <x:v>46265</x:v>
      </x:c>
      <x:c r="B167" t="str">
        <x:v>태국 생산법인</x:v>
      </x:c>
      <x:c r="C167" t="str">
        <x:v>일본</x:v>
      </x:c>
      <x:c r="D167" t="str">
        <x:v>주방용품</x:v>
      </x:c>
      <x:c r="E167" t="str">
        <x:v>밀폐용기 세트</x:v>
      </x:c>
      <x:c r="F167" t="str">
        <x:v>오프라인 매장</x:v>
      </x:c>
      <x:c r="G167" s="2" t="n">
        <x:v>15</x:v>
      </x:c>
      <x:c r="H167" s="3" t="n">
        <x:v>23.63</x:v>
      </x:c>
      <x:c r="I167" s="3" t="n">
        <x:f>ROUND(G167*H167,2)</x:f>
        <x:v>354.45</x:v>
      </x:c>
      <x:c r="J167" s="3" t="n">
        <x:v>107.44</x:v>
      </x:c>
      <x:c r="K167" s="3" t="n">
        <x:v>14.66</x:v>
      </x:c>
      <x:c r="L167" s="4" t="n">
        <x:v>0.0077</x:v>
      </x:c>
      <x:c r="M167" s="4" t="n">
        <x:v>0.9464</x:v>
      </x:c>
    </x:row>
    <x:row r="168" ht="20" customHeight="1">
      <x:c r="A168" s="1" t="n">
        <x:v>46266</x:v>
      </x:c>
      <x:c r="B168" t="str">
        <x:v>한국 생산법인</x:v>
      </x:c>
      <x:c r="C168" t="str">
        <x:v>인도</x:v>
      </x:c>
      <x:c r="D168" t="str">
        <x:v>전자제품</x:v>
      </x:c>
      <x:c r="E168" t="str">
        <x:v>무선 이어폰</x:v>
      </x:c>
      <x:c r="F168" t="str">
        <x:v>온라인몰</x:v>
      </x:c>
      <x:c r="G168" s="2" t="n">
        <x:v>185</x:v>
      </x:c>
      <x:c r="H168" s="3" t="n">
        <x:v>55.12</x:v>
      </x:c>
      <x:c r="I168" s="3" t="n">
        <x:f>ROUND(G168*H168,2)</x:f>
        <x:v>10197.2</x:v>
      </x:c>
      <x:c r="J168" s="3" t="n">
        <x:v>1062.16</x:v>
      </x:c>
      <x:c r="K168" s="3" t="n">
        <x:v>1015.88</x:v>
      </x:c>
      <x:c r="L168" s="4" t="n">
        <x:v>0.0153</x:v>
      </x:c>
      <x:c r="M168" s="4" t="n">
        <x:v>0.9499</x:v>
      </x:c>
    </x:row>
    <x:row r="169" ht="20" customHeight="1">
      <x:c r="A169" s="1" t="n">
        <x:v>46268</x:v>
      </x:c>
      <x:c r="B169" t="str">
        <x:v>태국 생산법인</x:v>
      </x:c>
      <x:c r="C169" t="str">
        <x:v>일본</x:v>
      </x:c>
      <x:c r="D169" t="str">
        <x:v>주방용품</x:v>
      </x:c>
      <x:c r="E169" t="str">
        <x:v>스테인리스 냄비</x:v>
      </x:c>
      <x:c r="F169" t="str">
        <x:v>해외 대리점</x:v>
      </x:c>
      <x:c r="G169" s="2" t="n">
        <x:v>122</x:v>
      </x:c>
      <x:c r="H169" s="3" t="n">
        <x:v>56.12</x:v>
      </x:c>
      <x:c r="I169" s="3" t="n">
        <x:f>ROUND(G169*H169,2)</x:f>
        <x:v>6846.64</x:v>
      </x:c>
      <x:c r="J169" s="3" t="n">
        <x:v>1044.48</x:v>
      </x:c>
      <x:c r="K169" s="3" t="n">
        <x:v>279.02</x:v>
      </x:c>
      <x:c r="L169" s="4" t="n">
        <x:v>0.0315</x:v>
      </x:c>
      <x:c r="M169" s="4" t="n">
        <x:v>0.8846</x:v>
      </x:c>
    </x:row>
    <x:row r="170" ht="20" customHeight="1">
      <x:c r="A170" s="1" t="n">
        <x:v>46268</x:v>
      </x:c>
      <x:c r="B170" t="str">
        <x:v>중국 생산법인</x:v>
      </x:c>
      <x:c r="C170" t="str">
        <x:v>호주</x:v>
      </x:c>
      <x:c r="D170" t="str">
        <x:v>주방용품</x:v>
      </x:c>
      <x:c r="E170" t="str">
        <x:v>스테인리스 냄비</x:v>
      </x:c>
      <x:c r="F170" t="str">
        <x:v>온라인몰</x:v>
      </x:c>
      <x:c r="G170" s="2" t="n">
        <x:v>235</x:v>
      </x:c>
      <x:c r="H170" s="3" t="n">
        <x:v>61.14</x:v>
      </x:c>
      <x:c r="I170" s="3" t="n">
        <x:f>ROUND(G170*H170,2)</x:f>
        <x:v>14367.9</x:v>
      </x:c>
      <x:c r="J170" s="3" t="n">
        <x:v>4043.28</x:v>
      </x:c>
      <x:c r="K170" s="3" t="n">
        <x:v>947.19</x:v>
      </x:c>
      <x:c r="L170" s="4" t="n">
        <x:v>0.0033</x:v>
      </x:c>
      <x:c r="M170" s="4" t="n">
        <x:v>0.8938</x:v>
      </x:c>
    </x:row>
    <x:row r="171" ht="20" customHeight="1">
      <x:c r="A171" s="1" t="n">
        <x:v>46268</x:v>
      </x:c>
      <x:c r="B171" t="str">
        <x:v>중국 생산법인</x:v>
      </x:c>
      <x:c r="C171" t="str">
        <x:v>베트남</x:v>
      </x:c>
      <x:c r="D171" t="str">
        <x:v>생활용품</x:v>
      </x:c>
      <x:c r="E171" t="str">
        <x:v>수납함</x:v>
      </x:c>
      <x:c r="F171" t="str">
        <x:v>해외 대리점</x:v>
      </x:c>
      <x:c r="G171" s="2" t="n">
        <x:v>252</x:v>
      </x:c>
      <x:c r="H171" s="3" t="n">
        <x:v>15.61</x:v>
      </x:c>
      <x:c r="I171" s="3" t="n">
        <x:f>ROUND(G171*H171,2)</x:f>
        <x:v>3933.72</x:v>
      </x:c>
      <x:c r="J171" s="3" t="n">
        <x:v>926.66</x:v>
      </x:c>
      <x:c r="K171" s="3" t="n">
        <x:v>172.39</x:v>
      </x:c>
      <x:c r="L171" s="4" t="n">
        <x:v>0.0329</x:v>
      </x:c>
      <x:c r="M171" s="4" t="n">
        <x:v>0.979</x:v>
      </x:c>
    </x:row>
    <x:row r="172" ht="20" customHeight="1">
      <x:c r="A172" s="1" t="n">
        <x:v>46269</x:v>
      </x:c>
      <x:c r="B172" t="str">
        <x:v>한국 생산법인</x:v>
      </x:c>
      <x:c r="C172" t="str">
        <x:v>독일</x:v>
      </x:c>
      <x:c r="D172" t="str">
        <x:v>전자제품</x:v>
      </x:c>
      <x:c r="E172" t="str">
        <x:v>스마트워치</x:v>
      </x:c>
      <x:c r="F172" t="str">
        <x:v>오프라인 매장</x:v>
      </x:c>
      <x:c r="G172" s="2" t="n">
        <x:v>104</x:v>
      </x:c>
      <x:c r="H172" s="3" t="n">
        <x:v>138.15</x:v>
      </x:c>
      <x:c r="I172" s="3" t="n">
        <x:f>ROUND(G172*H172,2)</x:f>
        <x:v>14367.6</x:v>
      </x:c>
      <x:c r="J172" s="3" t="n">
        <x:v>2940.06</x:v>
      </x:c>
      <x:c r="K172" s="3" t="n">
        <x:v>301.93</x:v>
      </x:c>
      <x:c r="L172" s="4" t="n">
        <x:v>0.0109</x:v>
      </x:c>
      <x:c r="M172" s="4" t="n">
        <x:v>0.994</x:v>
      </x:c>
    </x:row>
    <x:row r="173" ht="20" customHeight="1">
      <x:c r="A173" s="1" t="n">
        <x:v>46271</x:v>
      </x:c>
      <x:c r="B173" t="str">
        <x:v>한국 생산법인</x:v>
      </x:c>
      <x:c r="C173" t="str">
        <x:v>싱가포르</x:v>
      </x:c>
      <x:c r="D173" t="str">
        <x:v>패션잡화</x:v>
      </x:c>
      <x:c r="E173" t="str">
        <x:v>지갑</x:v>
      </x:c>
      <x:c r="F173" t="str">
        <x:v>해외 대리점</x:v>
      </x:c>
      <x:c r="G173" s="2" t="n">
        <x:v>201</x:v>
      </x:c>
      <x:c r="H173" s="3" t="n">
        <x:v>30.89</x:v>
      </x:c>
      <x:c r="I173" s="3" t="n">
        <x:f>ROUND(G173*H173,2)</x:f>
        <x:v>6208.89</x:v>
      </x:c>
      <x:c r="J173" s="3" t="n">
        <x:v>1319.5</x:v>
      </x:c>
      <x:c r="K173" s="3" t="n">
        <x:v>194.44</x:v>
      </x:c>
      <x:c r="L173" s="4" t="n">
        <x:v>0.0259</x:v>
      </x:c>
      <x:c r="M173" s="4" t="n">
        <x:v>0.9741</x:v>
      </x:c>
    </x:row>
    <x:row r="174" ht="20" customHeight="1">
      <x:c r="A174" s="1" t="n">
        <x:v>46271</x:v>
      </x:c>
      <x:c r="B174" t="str">
        <x:v>한국 생산법인</x:v>
      </x:c>
      <x:c r="C174" t="str">
        <x:v>일본</x:v>
      </x:c>
      <x:c r="D174" t="str">
        <x:v>생활가전</x:v>
      </x:c>
      <x:c r="E174" t="str">
        <x:v>전기주전자</x:v>
      </x:c>
      <x:c r="F174" t="str">
        <x:v>해외 대리점</x:v>
      </x:c>
      <x:c r="G174" s="2" t="n">
        <x:v>256</x:v>
      </x:c>
      <x:c r="H174" s="3" t="n">
        <x:v>44.94</x:v>
      </x:c>
      <x:c r="I174" s="3" t="n">
        <x:f>ROUND(G174*H174,2)</x:f>
        <x:v>11504.64</x:v>
      </x:c>
      <x:c r="J174" s="3" t="n">
        <x:v>1992.47</x:v>
      </x:c>
      <x:c r="K174" s="3" t="n">
        <x:v>452.29</x:v>
      </x:c>
      <x:c r="L174" s="4" t="n">
        <x:v>0.0324</x:v>
      </x:c>
      <x:c r="M174" s="4" t="n">
        <x:v>0.9507</x:v>
      </x:c>
    </x:row>
    <x:row r="175" ht="20" customHeight="1">
      <x:c r="A175" s="1" t="n">
        <x:v>46272</x:v>
      </x:c>
      <x:c r="B175" t="str">
        <x:v>한국 생산법인</x:v>
      </x:c>
      <x:c r="C175" t="str">
        <x:v>영국</x:v>
      </x:c>
      <x:c r="D175" t="str">
        <x:v>전자제품</x:v>
      </x:c>
      <x:c r="E175" t="str">
        <x:v>블루투스 스피커</x:v>
      </x:c>
      <x:c r="F175" t="str">
        <x:v>B2B</x:v>
      </x:c>
      <x:c r="G175" s="2" t="n">
        <x:v>563</x:v>
      </x:c>
      <x:c r="H175" s="3" t="n">
        <x:v>73.49</x:v>
      </x:c>
      <x:c r="I175" s="3" t="n">
        <x:f>ROUND(G175*H175,2)</x:f>
        <x:v>41374.87</x:v>
      </x:c>
      <x:c r="J175" s="3" t="n">
        <x:v>11839.92</x:v>
      </x:c>
      <x:c r="K175" s="3" t="n">
        <x:v>1261.45</x:v>
      </x:c>
      <x:c r="L175" s="4" t="n">
        <x:v>0.0054</x:v>
      </x:c>
      <x:c r="M175" s="4" t="n">
        <x:v>0.9065</x:v>
      </x:c>
    </x:row>
    <x:row r="176" ht="20" customHeight="1">
      <x:c r="A176" s="1" t="n">
        <x:v>46272</x:v>
      </x:c>
      <x:c r="B176" t="str">
        <x:v>베트남 생산법인</x:v>
      </x:c>
      <x:c r="C176" t="str">
        <x:v>프랑스</x:v>
      </x:c>
      <x:c r="D176" t="str">
        <x:v>주방용품</x:v>
      </x:c>
      <x:c r="E176" t="str">
        <x:v>스테인리스 냄비</x:v>
      </x:c>
      <x:c r="F176" t="str">
        <x:v>온라인몰</x:v>
      </x:c>
      <x:c r="G176" s="2" t="n">
        <x:v>172</x:v>
      </x:c>
      <x:c r="H176" s="3" t="n">
        <x:v>57.16</x:v>
      </x:c>
      <x:c r="I176" s="3" t="n">
        <x:f>ROUND(G176*H176,2)</x:f>
        <x:v>9831.52</x:v>
      </x:c>
      <x:c r="J176" s="3" t="n">
        <x:v>1041.35</x:v>
      </x:c>
      <x:c r="K176" s="3" t="n">
        <x:v>909.44</x:v>
      </x:c>
      <x:c r="L176" s="4" t="n">
        <x:v>0.0258</x:v>
      </x:c>
      <x:c r="M176" s="4" t="n">
        <x:v>0.8941</x:v>
      </x:c>
    </x:row>
    <x:row r="177" ht="20" customHeight="1">
      <x:c r="A177" s="1" t="n">
        <x:v>46273</x:v>
      </x:c>
      <x:c r="B177" t="str">
        <x:v>한국 생산법인</x:v>
      </x:c>
      <x:c r="C177" t="str">
        <x:v>일본</x:v>
      </x:c>
      <x:c r="D177" t="str">
        <x:v>생활가전</x:v>
      </x:c>
      <x:c r="E177" t="str">
        <x:v>전기주전자</x:v>
      </x:c>
      <x:c r="F177" t="str">
        <x:v>온라인몰</x:v>
      </x:c>
      <x:c r="G177" s="2" t="n">
        <x:v>299</x:v>
      </x:c>
      <x:c r="H177" s="3" t="n">
        <x:v>38.13</x:v>
      </x:c>
      <x:c r="I177" s="3" t="n">
        <x:f>ROUND(G177*H177,2)</x:f>
        <x:v>11400.87</x:v>
      </x:c>
      <x:c r="J177" s="3" t="n">
        <x:v>2004.82</x:v>
      </x:c>
      <x:c r="K177" s="3" t="n">
        <x:v>928.72</x:v>
      </x:c>
      <x:c r="L177" s="4" t="n">
        <x:v>0.0322</x:v>
      </x:c>
      <x:c r="M177" s="4" t="n">
        <x:v>0.9034</x:v>
      </x:c>
    </x:row>
    <x:row r="178" ht="20" customHeight="1">
      <x:c r="A178" s="1" t="n">
        <x:v>46274</x:v>
      </x:c>
      <x:c r="B178" t="str">
        <x:v>중국 생산법인</x:v>
      </x:c>
      <x:c r="C178" t="str">
        <x:v>호주</x:v>
      </x:c>
      <x:c r="D178" t="str">
        <x:v>생활가전</x:v>
      </x:c>
      <x:c r="E178" t="str">
        <x:v>로봇청소기</x:v>
      </x:c>
      <x:c r="F178" t="str">
        <x:v>해외 대리점</x:v>
      </x:c>
      <x:c r="G178" s="2" t="n">
        <x:v>284</x:v>
      </x:c>
      <x:c r="H178" s="3" t="n">
        <x:v>267.5</x:v>
      </x:c>
      <x:c r="I178" s="3" t="n">
        <x:f>ROUND(G178*H178,2)</x:f>
        <x:v>75970</x:v>
      </x:c>
      <x:c r="J178" s="3" t="n">
        <x:v>14062.47</x:v>
      </x:c>
      <x:c r="K178" s="3" t="n">
        <x:v>1034.94</x:v>
      </x:c>
      <x:c r="L178" s="4" t="n">
        <x:v>0.0143</x:v>
      </x:c>
      <x:c r="M178" s="4" t="n">
        <x:v>0.9635</x:v>
      </x:c>
    </x:row>
    <x:row r="179" ht="20" customHeight="1">
      <x:c r="A179" s="1" t="n">
        <x:v>46274</x:v>
      </x:c>
      <x:c r="B179" t="str">
        <x:v>한국 생산법인</x:v>
      </x:c>
      <x:c r="C179" t="str">
        <x:v>인도</x:v>
      </x:c>
      <x:c r="D179" t="str">
        <x:v>생활가전</x:v>
      </x:c>
      <x:c r="E179" t="str">
        <x:v>공기청정기</x:v>
      </x:c>
      <x:c r="F179" t="str">
        <x:v>오프라인 매장</x:v>
      </x:c>
      <x:c r="G179" s="2" t="n">
        <x:v>237</x:v>
      </x:c>
      <x:c r="H179" s="3" t="n">
        <x:v>224.58</x:v>
      </x:c>
      <x:c r="I179" s="3" t="n">
        <x:f>ROUND(G179*H179,2)</x:f>
        <x:v>53225.46</x:v>
      </x:c>
      <x:c r="J179" s="3" t="n">
        <x:v>12318.72</x:v>
      </x:c>
      <x:c r="K179" s="3" t="n">
        <x:v>1879.59</x:v>
      </x:c>
      <x:c r="L179" s="4" t="n">
        <x:v>0.0102</x:v>
      </x:c>
      <x:c r="M179" s="4" t="n">
        <x:v>0.9463</x:v>
      </x:c>
    </x:row>
    <x:row r="180" ht="20" customHeight="1">
      <x:c r="A180" s="1" t="n">
        <x:v>46274</x:v>
      </x:c>
      <x:c r="B180" t="str">
        <x:v>베트남 생산법인</x:v>
      </x:c>
      <x:c r="C180" t="str">
        <x:v>호주</x:v>
      </x:c>
      <x:c r="D180" t="str">
        <x:v>패션잡화</x:v>
      </x:c>
      <x:c r="E180" t="str">
        <x:v>백팩</x:v>
      </x:c>
      <x:c r="F180" t="str">
        <x:v>B2B</x:v>
      </x:c>
      <x:c r="G180" s="2" t="n">
        <x:v>358</x:v>
      </x:c>
      <x:c r="H180" s="3" t="n">
        <x:v>39</x:v>
      </x:c>
      <x:c r="I180" s="3" t="n">
        <x:f>ROUND(G180*H180,2)</x:f>
        <x:v>13962</x:v>
      </x:c>
      <x:c r="J180" s="3" t="n">
        <x:v>4297.81</x:v>
      </x:c>
      <x:c r="K180" s="3" t="n">
        <x:v>469.27</x:v>
      </x:c>
      <x:c r="L180" s="4" t="n">
        <x:v>0.0314</x:v>
      </x:c>
      <x:c r="M180" s="4" t="n">
        <x:v>0.9563</x:v>
      </x:c>
    </x:row>
    <x:row r="181" ht="20" customHeight="1">
      <x:c r="A181" s="1" t="n">
        <x:v>46276</x:v>
      </x:c>
      <x:c r="B181" t="str">
        <x:v>베트남 생산법인</x:v>
      </x:c>
      <x:c r="C181" t="str">
        <x:v>일본</x:v>
      </x:c>
      <x:c r="D181" t="str">
        <x:v>생활용품</x:v>
      </x:c>
      <x:c r="E181" t="str">
        <x:v>LED 데스크 조명</x:v>
      </x:c>
      <x:c r="F181" t="str">
        <x:v>해외 대리점</x:v>
      </x:c>
      <x:c r="G181" s="2" t="n">
        <x:v>282</x:v>
      </x:c>
      <x:c r="H181" s="3" t="n">
        <x:v>31.06</x:v>
      </x:c>
      <x:c r="I181" s="3" t="n">
        <x:f>ROUND(G181*H181,2)</x:f>
        <x:v>8758.92</x:v>
      </x:c>
      <x:c r="J181" s="3" t="n">
        <x:v>1705.01</x:v>
      </x:c>
      <x:c r="K181" s="3" t="n">
        <x:v>101.57</x:v>
      </x:c>
      <x:c r="L181" s="4" t="n">
        <x:v>0.0322</x:v>
      </x:c>
      <x:c r="M181" s="4" t="n">
        <x:v>0.9826</x:v>
      </x:c>
    </x:row>
    <x:row r="182" ht="20" customHeight="1">
      <x:c r="A182" s="1" t="n">
        <x:v>46278</x:v>
      </x:c>
      <x:c r="B182" t="str">
        <x:v>한국 생산법인</x:v>
      </x:c>
      <x:c r="C182" t="str">
        <x:v>프랑스</x:v>
      </x:c>
      <x:c r="D182" t="str">
        <x:v>생활가전</x:v>
      </x:c>
      <x:c r="E182" t="str">
        <x:v>전기주전자</x:v>
      </x:c>
      <x:c r="F182" t="str">
        <x:v>온라인몰</x:v>
      </x:c>
      <x:c r="G182" s="2" t="n">
        <x:v>47</x:v>
      </x:c>
      <x:c r="H182" s="3" t="n">
        <x:v>34.63</x:v>
      </x:c>
      <x:c r="I182" s="3" t="n">
        <x:f>ROUND(G182*H182,2)</x:f>
        <x:v>1627.61</x:v>
      </x:c>
      <x:c r="J182" s="3" t="n">
        <x:v>204.04</x:v>
      </x:c>
      <x:c r="K182" s="3" t="n">
        <x:v>186.34</x:v>
      </x:c>
      <x:c r="L182" s="4" t="n">
        <x:v>0.0351</x:v>
      </x:c>
      <x:c r="M182" s="4" t="n">
        <x:v>0.8831</x:v>
      </x:c>
    </x:row>
    <x:row r="183" ht="20" customHeight="1">
      <x:c r="A183" s="1" t="n">
        <x:v>46278</x:v>
      </x:c>
      <x:c r="B183" t="str">
        <x:v>태국 생산법인</x:v>
      </x:c>
      <x:c r="C183" t="str">
        <x:v>영국</x:v>
      </x:c>
      <x:c r="D183" t="str">
        <x:v>주방용품</x:v>
      </x:c>
      <x:c r="E183" t="str">
        <x:v>밀폐용기 세트</x:v>
      </x:c>
      <x:c r="F183" t="str">
        <x:v>B2B</x:v>
      </x:c>
      <x:c r="G183" s="2" t="n">
        <x:v>486</x:v>
      </x:c>
      <x:c r="H183" s="3" t="n">
        <x:v>22.6</x:v>
      </x:c>
      <x:c r="I183" s="3" t="n">
        <x:f>ROUND(G183*H183,2)</x:f>
        <x:v>10983.6</x:v>
      </x:c>
      <x:c r="J183" s="3" t="n">
        <x:v>1998.78</x:v>
      </x:c>
      <x:c r="K183" s="3" t="n">
        <x:v>147.81</x:v>
      </x:c>
      <x:c r="L183" s="4" t="n">
        <x:v>0.0149</x:v>
      </x:c>
      <x:c r="M183" s="4" t="n">
        <x:v>0.9282</x:v>
      </x:c>
    </x:row>
    <x:row r="184" ht="20" customHeight="1">
      <x:c r="A184" s="1" t="n">
        <x:v>46279</x:v>
      </x:c>
      <x:c r="B184" t="str">
        <x:v>한국 생산법인</x:v>
      </x:c>
      <x:c r="C184" t="str">
        <x:v>싱가포르</x:v>
      </x:c>
      <x:c r="D184" t="str">
        <x:v>전자제품</x:v>
      </x:c>
      <x:c r="E184" t="str">
        <x:v>스마트워치</x:v>
      </x:c>
      <x:c r="F184" t="str">
        <x:v>B2B</x:v>
      </x:c>
      <x:c r="G184" s="2" t="n">
        <x:v>631</x:v>
      </x:c>
      <x:c r="H184" s="3" t="n">
        <x:v>133.08</x:v>
      </x:c>
      <x:c r="I184" s="3" t="n">
        <x:f>ROUND(G184*H184,2)</x:f>
        <x:v>83973.48</x:v>
      </x:c>
      <x:c r="J184" s="3" t="n">
        <x:v>18666.22</x:v>
      </x:c>
      <x:c r="K184" s="3" t="n">
        <x:v>1820.61</x:v>
      </x:c>
      <x:c r="L184" s="4" t="n">
        <x:v>0.0254</x:v>
      </x:c>
      <x:c r="M184" s="4" t="n">
        <x:v>0.9018</x:v>
      </x:c>
    </x:row>
    <x:row r="185" ht="20" customHeight="1">
      <x:c r="A185" s="1" t="n">
        <x:v>46281</x:v>
      </x:c>
      <x:c r="B185" t="str">
        <x:v>중국 생산법인</x:v>
      </x:c>
      <x:c r="C185" t="str">
        <x:v>싱가포르</x:v>
      </x:c>
      <x:c r="D185" t="str">
        <x:v>생활용품</x:v>
      </x:c>
      <x:c r="E185" t="str">
        <x:v>수납함</x:v>
      </x:c>
      <x:c r="F185" t="str">
        <x:v>도매</x:v>
      </x:c>
      <x:c r="G185" s="2" t="n">
        <x:v>931</x:v>
      </x:c>
      <x:c r="H185" s="3" t="n">
        <x:v>14.52</x:v>
      </x:c>
      <x:c r="I185" s="3" t="n">
        <x:f>ROUND(G185*H185,2)</x:f>
        <x:v>13518.12</x:v>
      </x:c>
      <x:c r="J185" s="3" t="n">
        <x:v>3932.92</x:v>
      </x:c>
      <x:c r="K185" s="3" t="n">
        <x:v>298.4</x:v>
      </x:c>
      <x:c r="L185" s="4" t="n">
        <x:v>0.0173</x:v>
      </x:c>
      <x:c r="M185" s="4" t="n">
        <x:v>0.923</x:v>
      </x:c>
    </x:row>
    <x:row r="186" ht="20" customHeight="1">
      <x:c r="A186" s="1" t="n">
        <x:v>46282</x:v>
      </x:c>
      <x:c r="B186" t="str">
        <x:v>한국 생산법인</x:v>
      </x:c>
      <x:c r="C186" t="str">
        <x:v>일본</x:v>
      </x:c>
      <x:c r="D186" t="str">
        <x:v>패션잡화</x:v>
      </x:c>
      <x:c r="E186" t="str">
        <x:v>여행용 캐리어</x:v>
      </x:c>
      <x:c r="F186" t="str">
        <x:v>B2B</x:v>
      </x:c>
      <x:c r="G186" s="2" t="n">
        <x:v>460</x:v>
      </x:c>
      <x:c r="H186" s="3" t="n">
        <x:v>98.62</x:v>
      </x:c>
      <x:c r="I186" s="3" t="n">
        <x:f>ROUND(G186*H186,2)</x:f>
        <x:v>45365.2</x:v>
      </x:c>
      <x:c r="J186" s="3" t="n">
        <x:v>9870.75</x:v>
      </x:c>
      <x:c r="K186" s="3" t="n">
        <x:v>664.26</x:v>
      </x:c>
      <x:c r="L186" s="4" t="n">
        <x:v>0.0284</x:v>
      </x:c>
      <x:c r="M186" s="4" t="n">
        <x:v>0.9462</x:v>
      </x:c>
    </x:row>
    <x:row r="187" ht="20" customHeight="1">
      <x:c r="A187" s="1" t="n">
        <x:v>46283</x:v>
      </x:c>
      <x:c r="B187" t="str">
        <x:v>태국 생산법인</x:v>
      </x:c>
      <x:c r="C187" t="str">
        <x:v>일본</x:v>
      </x:c>
      <x:c r="D187" t="str">
        <x:v>패션잡화</x:v>
      </x:c>
      <x:c r="E187" t="str">
        <x:v>지갑</x:v>
      </x:c>
      <x:c r="F187" t="str">
        <x:v>오프라인 매장</x:v>
      </x:c>
      <x:c r="G187" s="2" t="n">
        <x:v>121</x:v>
      </x:c>
      <x:c r="H187" s="3" t="n">
        <x:v>30.84</x:v>
      </x:c>
      <x:c r="I187" s="3" t="n">
        <x:f>ROUND(G187*H187,2)</x:f>
        <x:v>3731.64</x:v>
      </x:c>
      <x:c r="J187" s="3" t="n">
        <x:v>701.28</x:v>
      </x:c>
      <x:c r="K187" s="3" t="n">
        <x:v>120.52</x:v>
      </x:c>
      <x:c r="L187" s="4" t="n">
        <x:v>0.0114</x:v>
      </x:c>
      <x:c r="M187" s="4" t="n">
        <x:v>0.9481</x:v>
      </x:c>
    </x:row>
    <x:row r="188" ht="20" customHeight="1">
      <x:c r="A188" s="1" t="n">
        <x:v>46286</x:v>
      </x:c>
      <x:c r="B188" t="str">
        <x:v>중국 생산법인</x:v>
      </x:c>
      <x:c r="C188" t="str">
        <x:v>프랑스</x:v>
      </x:c>
      <x:c r="D188" t="str">
        <x:v>전자제품</x:v>
      </x:c>
      <x:c r="E188" t="str">
        <x:v>무선 이어폰</x:v>
      </x:c>
      <x:c r="F188" t="str">
        <x:v>B2B</x:v>
      </x:c>
      <x:c r="G188" s="2" t="n">
        <x:v>942</x:v>
      </x:c>
      <x:c r="H188" s="3" t="n">
        <x:v>46.8</x:v>
      </x:c>
      <x:c r="I188" s="3" t="n">
        <x:f>ROUND(G188*H188,2)</x:f>
        <x:v>44085.6</x:v>
      </x:c>
      <x:c r="J188" s="3" t="n">
        <x:v>10963.35</x:v>
      </x:c>
      <x:c r="K188" s="3" t="n">
        <x:v>557.25</x:v>
      </x:c>
      <x:c r="L188" s="4" t="n">
        <x:v>0.0255</x:v>
      </x:c>
      <x:c r="M188" s="4" t="n">
        <x:v>0.881</x:v>
      </x:c>
    </x:row>
    <x:row r="189" ht="20" customHeight="1">
      <x:c r="A189" s="1" t="n">
        <x:v>46288</x:v>
      </x:c>
      <x:c r="B189" t="str">
        <x:v>태국 생산법인</x:v>
      </x:c>
      <x:c r="C189" t="str">
        <x:v>싱가포르</x:v>
      </x:c>
      <x:c r="D189" t="str">
        <x:v>주방용품</x:v>
      </x:c>
      <x:c r="E189" t="str">
        <x:v>텀블러</x:v>
      </x:c>
      <x:c r="F189" t="str">
        <x:v>도매</x:v>
      </x:c>
      <x:c r="G189" s="2" t="n">
        <x:v>554</x:v>
      </x:c>
      <x:c r="H189" s="3" t="n">
        <x:v>18.57</x:v>
      </x:c>
      <x:c r="I189" s="3" t="n">
        <x:f>ROUND(G189*H189,2)</x:f>
        <x:v>10287.78</x:v>
      </x:c>
      <x:c r="J189" s="3" t="n">
        <x:v>3334.14</x:v>
      </x:c>
      <x:c r="K189" s="3" t="n">
        <x:v>340.14</x:v>
      </x:c>
      <x:c r="L189" s="4" t="n">
        <x:v>0.0362</x:v>
      </x:c>
      <x:c r="M189" s="4" t="n">
        <x:v>0.9248</x:v>
      </x:c>
    </x:row>
    <x:row r="190" ht="20" customHeight="1">
      <x:c r="A190" s="1" t="n">
        <x:v>46288</x:v>
      </x:c>
      <x:c r="B190" t="str">
        <x:v>태국 생산법인</x:v>
      </x:c>
      <x:c r="C190" t="str">
        <x:v>미국</x:v>
      </x:c>
      <x:c r="D190" t="str">
        <x:v>생활가전</x:v>
      </x:c>
      <x:c r="E190" t="str">
        <x:v>전기주전자</x:v>
      </x:c>
      <x:c r="F190" t="str">
        <x:v>B2B</x:v>
      </x:c>
      <x:c r="G190" s="2" t="n">
        <x:v>410</x:v>
      </x:c>
      <x:c r="H190" s="3" t="n">
        <x:v>36.47</x:v>
      </x:c>
      <x:c r="I190" s="3" t="n">
        <x:f>ROUND(G190*H190,2)</x:f>
        <x:v>14952.7</x:v>
      </x:c>
      <x:c r="J190" s="3" t="n">
        <x:v>2559.34</x:v>
      </x:c>
      <x:c r="K190" s="3" t="n">
        <x:v>374.34</x:v>
      </x:c>
      <x:c r="L190" s="4" t="n">
        <x:v>0.0059</x:v>
      </x:c>
      <x:c r="M190" s="4" t="n">
        <x:v>0.9616</x:v>
      </x:c>
    </x:row>
    <x:row r="191" ht="20" customHeight="1">
      <x:c r="A191" s="1" t="n">
        <x:v>46288</x:v>
      </x:c>
      <x:c r="B191" t="str">
        <x:v>한국 생산법인</x:v>
      </x:c>
      <x:c r="C191" t="str">
        <x:v>캐나다</x:v>
      </x:c>
      <x:c r="D191" t="str">
        <x:v>생활가전</x:v>
      </x:c>
      <x:c r="E191" t="str">
        <x:v>로봇청소기</x:v>
      </x:c>
      <x:c r="F191" t="str">
        <x:v>오프라인 매장</x:v>
      </x:c>
      <x:c r="G191" s="2" t="n">
        <x:v>90</x:v>
      </x:c>
      <x:c r="H191" s="3" t="n">
        <x:v>331.6</x:v>
      </x:c>
      <x:c r="I191" s="3" t="n">
        <x:f>ROUND(G191*H191,2)</x:f>
        <x:v>29844</x:v>
      </x:c>
      <x:c r="J191" s="3" t="n">
        <x:v>8708.95</x:v>
      </x:c>
      <x:c r="K191" s="3" t="n">
        <x:v>1120.03</x:v>
      </x:c>
      <x:c r="L191" s="4" t="n">
        <x:v>0.0326</x:v>
      </x:c>
      <x:c r="M191" s="4" t="n">
        <x:v>0.9768</x:v>
      </x:c>
    </x:row>
    <x:row r="192" ht="20" customHeight="1">
      <x:c r="A192" s="1" t="n">
        <x:v>46289</x:v>
      </x:c>
      <x:c r="B192" t="str">
        <x:v>중국 생산법인</x:v>
      </x:c>
      <x:c r="C192" t="str">
        <x:v>미국</x:v>
      </x:c>
      <x:c r="D192" t="str">
        <x:v>생활가전</x:v>
      </x:c>
      <x:c r="E192" t="str">
        <x:v>공기청정기</x:v>
      </x:c>
      <x:c r="F192" t="str">
        <x:v>오프라인 매장</x:v>
      </x:c>
      <x:c r="G192" s="2" t="n">
        <x:v>258</x:v>
      </x:c>
      <x:c r="H192" s="3" t="n">
        <x:v>191.48</x:v>
      </x:c>
      <x:c r="I192" s="3" t="n">
        <x:f>ROUND(G192*H192,2)</x:f>
        <x:v>49401.84</x:v>
      </x:c>
      <x:c r="J192" s="3" t="n">
        <x:v>8343.11</x:v>
      </x:c>
      <x:c r="K192" s="3" t="n">
        <x:v>2402.79</x:v>
      </x:c>
      <x:c r="L192" s="4" t="n">
        <x:v>0.0078</x:v>
      </x:c>
      <x:c r="M192" s="4" t="n">
        <x:v>0.8833</x:v>
      </x:c>
    </x:row>
    <x:row r="193" ht="20" customHeight="1">
      <x:c r="A193" s="1" t="n">
        <x:v>46289</x:v>
      </x:c>
      <x:c r="B193" t="str">
        <x:v>베트남 생산법인</x:v>
      </x:c>
      <x:c r="C193" t="str">
        <x:v>미국</x:v>
      </x:c>
      <x:c r="D193" t="str">
        <x:v>생활용품</x:v>
      </x:c>
      <x:c r="E193" t="str">
        <x:v>욕실 매트</x:v>
      </x:c>
      <x:c r="F193" t="str">
        <x:v>오프라인 매장</x:v>
      </x:c>
      <x:c r="G193" s="2" t="n">
        <x:v>44</x:v>
      </x:c>
      <x:c r="H193" s="3" t="n">
        <x:v>12.13</x:v>
      </x:c>
      <x:c r="I193" s="3" t="n">
        <x:f>ROUND(G193*H193,2)</x:f>
        <x:v>533.72</x:v>
      </x:c>
      <x:c r="J193" s="3" t="n">
        <x:v>98.72</x:v>
      </x:c>
      <x:c r="K193" s="3" t="n">
        <x:v>9.34</x:v>
      </x:c>
      <x:c r="L193" s="4" t="n">
        <x:v>0.0102</x:v>
      </x:c>
      <x:c r="M193" s="4" t="n">
        <x:v>0.9964</x:v>
      </x:c>
    </x:row>
    <x:row r="194" ht="20" customHeight="1">
      <x:c r="A194" s="1" t="n">
        <x:v>46290</x:v>
      </x:c>
      <x:c r="B194" t="str">
        <x:v>베트남 생산법인</x:v>
      </x:c>
      <x:c r="C194" t="str">
        <x:v>미국</x:v>
      </x:c>
      <x:c r="D194" t="str">
        <x:v>전자제품</x:v>
      </x:c>
      <x:c r="E194" t="str">
        <x:v>무선 이어폰</x:v>
      </x:c>
      <x:c r="F194" t="str">
        <x:v>도매</x:v>
      </x:c>
      <x:c r="G194" s="2" t="n">
        <x:v>257</x:v>
      </x:c>
      <x:c r="H194" s="3" t="n">
        <x:v>52.05</x:v>
      </x:c>
      <x:c r="I194" s="3" t="n">
        <x:f>ROUND(G194*H194,2)</x:f>
        <x:v>13376.85</x:v>
      </x:c>
      <x:c r="J194" s="3" t="n">
        <x:v>4015.62</x:v>
      </x:c>
      <x:c r="K194" s="3" t="n">
        <x:v>554.19</x:v>
      </x:c>
      <x:c r="L194" s="4" t="n">
        <x:v>0.009</x:v>
      </x:c>
      <x:c r="M194" s="4" t="n">
        <x:v>0.884</x:v>
      </x:c>
    </x:row>
    <x:row r="195" ht="20" customHeight="1">
      <x:c r="A195" s="1" t="n">
        <x:v>46292</x:v>
      </x:c>
      <x:c r="B195" t="str">
        <x:v>베트남 생산법인</x:v>
      </x:c>
      <x:c r="C195" t="str">
        <x:v>호주</x:v>
      </x:c>
      <x:c r="D195" t="str">
        <x:v>주방용품</x:v>
      </x:c>
      <x:c r="E195" t="str">
        <x:v>스테인리스 냄비</x:v>
      </x:c>
      <x:c r="F195" t="str">
        <x:v>온라인몰</x:v>
      </x:c>
      <x:c r="G195" s="2" t="n">
        <x:v>91</x:v>
      </x:c>
      <x:c r="H195" s="3" t="n">
        <x:v>48.09</x:v>
      </x:c>
      <x:c r="I195" s="3" t="n">
        <x:f>ROUND(G195*H195,2)</x:f>
        <x:v>4376.19</x:v>
      </x:c>
      <x:c r="J195" s="3" t="n">
        <x:v>1085.16</x:v>
      </x:c>
      <x:c r="K195" s="3" t="n">
        <x:v>381.39</x:v>
      </x:c>
      <x:c r="L195" s="4" t="n">
        <x:v>0.0345</x:v>
      </x:c>
      <x:c r="M195" s="4" t="n">
        <x:v>0.9187</x:v>
      </x:c>
    </x:row>
    <x:row r="196" ht="20" customHeight="1">
      <x:c r="A196" s="1" t="n">
        <x:v>46292</x:v>
      </x:c>
      <x:c r="B196" t="str">
        <x:v>한국 생산법인</x:v>
      </x:c>
      <x:c r="C196" t="str">
        <x:v>프랑스</x:v>
      </x:c>
      <x:c r="D196" t="str">
        <x:v>주방용품</x:v>
      </x:c>
      <x:c r="E196" t="str">
        <x:v>밀폐용기 세트</x:v>
      </x:c>
      <x:c r="F196" t="str">
        <x:v>온라인몰</x:v>
      </x:c>
      <x:c r="G196" s="2" t="n">
        <x:v>114</x:v>
      </x:c>
      <x:c r="H196" s="3" t="n">
        <x:v>25.61</x:v>
      </x:c>
      <x:c r="I196" s="3" t="n">
        <x:f>ROUND(G196*H196,2)</x:f>
        <x:v>2919.54</x:v>
      </x:c>
      <x:c r="J196" s="3" t="n">
        <x:v>547.73</x:v>
      </x:c>
      <x:c r="K196" s="3" t="n">
        <x:v>185.96</x:v>
      </x:c>
      <x:c r="L196" s="4" t="n">
        <x:v>0.0253</x:v>
      </x:c>
      <x:c r="M196" s="4" t="n">
        <x:v>0.8898</x:v>
      </x:c>
    </x:row>
    <x:row r="197" ht="20" customHeight="1">
      <x:c r="A197" s="1" t="n">
        <x:v>46292</x:v>
      </x:c>
      <x:c r="B197" t="str">
        <x:v>중국 생산법인</x:v>
      </x:c>
      <x:c r="C197" t="str">
        <x:v>미국</x:v>
      </x:c>
      <x:c r="D197" t="str">
        <x:v>주방용품</x:v>
      </x:c>
      <x:c r="E197" t="str">
        <x:v>텀블러</x:v>
      </x:c>
      <x:c r="F197" t="str">
        <x:v>도매</x:v>
      </x:c>
      <x:c r="G197" s="2" t="n">
        <x:v>911</x:v>
      </x:c>
      <x:c r="H197" s="3" t="n">
        <x:v>20.64</x:v>
      </x:c>
      <x:c r="I197" s="3" t="n">
        <x:f>ROUND(G197*H197,2)</x:f>
        <x:v>18803.04</x:v>
      </x:c>
      <x:c r="J197" s="3" t="n">
        <x:v>6127.74</x:v>
      </x:c>
      <x:c r="K197" s="3" t="n">
        <x:v>358.88</x:v>
      </x:c>
      <x:c r="L197" s="4" t="n">
        <x:v>0.003</x:v>
      </x:c>
      <x:c r="M197" s="4" t="n">
        <x:v>0.9141</x:v>
      </x:c>
    </x:row>
    <x:row r="198" ht="20" customHeight="1">
      <x:c r="A198" s="1" t="n">
        <x:v>46297</x:v>
      </x:c>
      <x:c r="B198" t="str">
        <x:v>베트남 생산법인</x:v>
      </x:c>
      <x:c r="C198" t="str">
        <x:v>미국</x:v>
      </x:c>
      <x:c r="D198" t="str">
        <x:v>패션잡화</x:v>
      </x:c>
      <x:c r="E198" t="str">
        <x:v>여행용 캐리어</x:v>
      </x:c>
      <x:c r="F198" t="str">
        <x:v>도매</x:v>
      </x:c>
      <x:c r="G198" s="2" t="n">
        <x:v>577</x:v>
      </x:c>
      <x:c r="H198" s="3" t="n">
        <x:v>112.99</x:v>
      </x:c>
      <x:c r="I198" s="3" t="n">
        <x:f>ROUND(G198*H198,2)</x:f>
        <x:v>65195.23</x:v>
      </x:c>
      <x:c r="J198" s="3" t="n">
        <x:v>21244.96</x:v>
      </x:c>
      <x:c r="K198" s="3" t="n">
        <x:v>2741.49</x:v>
      </x:c>
      <x:c r="L198" s="4" t="n">
        <x:v>0.0354</x:v>
      </x:c>
      <x:c r="M198" s="4" t="n">
        <x:v>0.8939</x:v>
      </x:c>
    </x:row>
    <x:row r="199" ht="20" customHeight="1">
      <x:c r="A199" s="1" t="n">
        <x:v>46298</x:v>
      </x:c>
      <x:c r="B199" t="str">
        <x:v>베트남 생산법인</x:v>
      </x:c>
      <x:c r="C199" t="str">
        <x:v>호주</x:v>
      </x:c>
      <x:c r="D199" t="str">
        <x:v>주방용품</x:v>
      </x:c>
      <x:c r="E199" t="str">
        <x:v>텀블러</x:v>
      </x:c>
      <x:c r="F199" t="str">
        <x:v>온라인몰</x:v>
      </x:c>
      <x:c r="G199" s="2" t="n">
        <x:v>120</x:v>
      </x:c>
      <x:c r="H199" s="3" t="n">
        <x:v>21.18</x:v>
      </x:c>
      <x:c r="I199" s="3" t="n">
        <x:f>ROUND(G199*H199,2)</x:f>
        <x:v>2541.6</x:v>
      </x:c>
      <x:c r="J199" s="3" t="n">
        <x:v>456.52</x:v>
      </x:c>
      <x:c r="K199" s="3" t="n">
        <x:v>240.99</x:v>
      </x:c>
      <x:c r="L199" s="4" t="n">
        <x:v>0.0213</x:v>
      </x:c>
      <x:c r="M199" s="4" t="n">
        <x:v>0.8938</x:v>
      </x:c>
    </x:row>
    <x:row r="200" ht="20" customHeight="1">
      <x:c r="A200" s="1" t="n">
        <x:v>46298</x:v>
      </x:c>
      <x:c r="B200" t="str">
        <x:v>중국 생산법인</x:v>
      </x:c>
      <x:c r="C200" t="str">
        <x:v>인도</x:v>
      </x:c>
      <x:c r="D200" t="str">
        <x:v>주방용품</x:v>
      </x:c>
      <x:c r="E200" t="str">
        <x:v>스테인리스 냄비</x:v>
      </x:c>
      <x:c r="F200" t="str">
        <x:v>B2B</x:v>
      </x:c>
      <x:c r="G200" s="2" t="n">
        <x:v>271</x:v>
      </x:c>
      <x:c r="H200" s="3" t="n">
        <x:v>49.52</x:v>
      </x:c>
      <x:c r="I200" s="3" t="n">
        <x:f>ROUND(G200*H200,2)</x:f>
        <x:v>13419.92</x:v>
      </x:c>
      <x:c r="J200" s="3" t="n">
        <x:v>2118.73</x:v>
      </x:c>
      <x:c r="K200" s="3" t="n">
        <x:v>632.73</x:v>
      </x:c>
      <x:c r="L200" s="4" t="n">
        <x:v>0.0359</x:v>
      </x:c>
      <x:c r="M200" s="4" t="n">
        <x:v>0.9019</x:v>
      </x:c>
    </x:row>
    <x:row r="201" ht="20" customHeight="1">
      <x:c r="A201" s="1" t="n">
        <x:v>46300</x:v>
      </x:c>
      <x:c r="B201" t="str">
        <x:v>한국 생산법인</x:v>
      </x:c>
      <x:c r="C201" t="str">
        <x:v>프랑스</x:v>
      </x:c>
      <x:c r="D201" t="str">
        <x:v>생활가전</x:v>
      </x:c>
      <x:c r="E201" t="str">
        <x:v>로봇청소기</x:v>
      </x:c>
      <x:c r="F201" t="str">
        <x:v>오프라인 매장</x:v>
      </x:c>
      <x:c r="G201" s="2" t="n">
        <x:v>31</x:v>
      </x:c>
      <x:c r="H201" s="3" t="n">
        <x:v>260.78</x:v>
      </x:c>
      <x:c r="I201" s="3" t="n">
        <x:f>ROUND(G201*H201,2)</x:f>
        <x:v>8084.18</x:v>
      </x:c>
      <x:c r="J201" s="3" t="n">
        <x:v>1277.68</x:v>
      </x:c>
      <x:c r="K201" s="3" t="n">
        <x:v>206.74</x:v>
      </x:c>
      <x:c r="L201" s="4" t="n">
        <x:v>0.0151</x:v>
      </x:c>
      <x:c r="M201" s="4" t="n">
        <x:v>0.9474</x:v>
      </x:c>
    </x:row>
  </x:sheetData>
  <x:pageMargins left="0.7" right="0.7" top="0.75" bottom="0.75" header="0.3" footer="0.3"/>
</x:worksheet>
</file>
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unarianmetal\Desktop\Test\"/>
    </mc:Choice>
  </mc:AlternateContent>
  <xr:revisionPtr revIDLastSave="0" documentId="13_ncr:1_{78D06549-7660-46A7-ABCE-5FC4423714CF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결과" sheetId="1" r:id="rId1"/>
    <sheet name="설정" sheetId="2" r:id="rId2"/>
    <sheet name="Nb2O5 입력" sheetId="3" r:id="rId3"/>
    <sheet name="2층 입력" sheetId="4" r:id="rId4"/>
    <sheet name="굴절률" sheetId="5" r:id="rId5"/>
    <sheet name="TMM 계산표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" i="3" l="1"/>
  <c r="AX6" i="3" s="1"/>
  <c r="D12" i="1" s="1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B18" i="4"/>
  <c r="AW18" i="4"/>
  <c r="AX18" i="4" s="1"/>
  <c r="J24" i="1" s="1"/>
  <c r="AU18" i="4"/>
  <c r="AV18" i="4" s="1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B17" i="4"/>
  <c r="AW17" i="4"/>
  <c r="AX17" i="4" s="1"/>
  <c r="J23" i="1" s="1"/>
  <c r="AU17" i="4"/>
  <c r="AV17" i="4" s="1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B16" i="4"/>
  <c r="M22" i="1" s="1"/>
  <c r="AW16" i="4"/>
  <c r="AX16" i="4" s="1"/>
  <c r="J22" i="1" s="1"/>
  <c r="AU16" i="4"/>
  <c r="AV16" i="4" s="1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B15" i="4"/>
  <c r="M21" i="1" s="1"/>
  <c r="AW15" i="4"/>
  <c r="AX15" i="4" s="1"/>
  <c r="J21" i="1" s="1"/>
  <c r="AU15" i="4"/>
  <c r="AV15" i="4" s="1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B14" i="4"/>
  <c r="M20" i="1" s="1"/>
  <c r="AW14" i="4"/>
  <c r="AX14" i="4" s="1"/>
  <c r="J20" i="1" s="1"/>
  <c r="AU14" i="4"/>
  <c r="AV14" i="4" s="1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B13" i="4"/>
  <c r="M19" i="1" s="1"/>
  <c r="AW13" i="4"/>
  <c r="AX13" i="4" s="1"/>
  <c r="J19" i="1" s="1"/>
  <c r="AU13" i="4"/>
  <c r="AV13" i="4" s="1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B12" i="4"/>
  <c r="M18" i="1" s="1"/>
  <c r="AW12" i="4"/>
  <c r="AX12" i="4" s="1"/>
  <c r="J18" i="1" s="1"/>
  <c r="AU12" i="4"/>
  <c r="AV12" i="4" s="1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B11" i="4"/>
  <c r="M17" i="1" s="1"/>
  <c r="AW11" i="4"/>
  <c r="AX11" i="4" s="1"/>
  <c r="J17" i="1" s="1"/>
  <c r="AU11" i="4"/>
  <c r="AV11" i="4" s="1"/>
  <c r="CQ10" i="4"/>
  <c r="CP10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B10" i="4"/>
  <c r="M16" i="1" s="1"/>
  <c r="AW10" i="4"/>
  <c r="AX10" i="4" s="1"/>
  <c r="J16" i="1" s="1"/>
  <c r="AU10" i="4"/>
  <c r="AV10" i="4" s="1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B9" i="4"/>
  <c r="M15" i="1" s="1"/>
  <c r="AW9" i="4"/>
  <c r="AX9" i="4" s="1"/>
  <c r="J15" i="1" s="1"/>
  <c r="AU9" i="4"/>
  <c r="AV9" i="4" s="1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B8" i="4"/>
  <c r="M14" i="1" s="1"/>
  <c r="AW8" i="4"/>
  <c r="AX8" i="4" s="1"/>
  <c r="J14" i="1" s="1"/>
  <c r="AU8" i="4"/>
  <c r="AV8" i="4" s="1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B7" i="4"/>
  <c r="M13" i="1" s="1"/>
  <c r="AW7" i="4"/>
  <c r="AX7" i="4" s="1"/>
  <c r="J13" i="1" s="1"/>
  <c r="AU7" i="4"/>
  <c r="AV7" i="4" s="1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B6" i="4"/>
  <c r="M12" i="1" s="1"/>
  <c r="AW6" i="4"/>
  <c r="AX6" i="4" s="1"/>
  <c r="J12" i="1" s="1"/>
  <c r="AU6" i="4"/>
  <c r="AV6" i="4" s="1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AW17" i="3"/>
  <c r="AX17" i="3" s="1"/>
  <c r="D23" i="1" s="1"/>
  <c r="AU17" i="3"/>
  <c r="AV17" i="3" s="1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AW16" i="3"/>
  <c r="AX16" i="3" s="1"/>
  <c r="D22" i="1" s="1"/>
  <c r="AU16" i="3"/>
  <c r="AV16" i="3" s="1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AW15" i="3"/>
  <c r="AX15" i="3" s="1"/>
  <c r="D21" i="1" s="1"/>
  <c r="AU15" i="3"/>
  <c r="AV15" i="3" s="1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AW14" i="3"/>
  <c r="AX14" i="3" s="1"/>
  <c r="D20" i="1" s="1"/>
  <c r="AU14" i="3"/>
  <c r="AV14" i="3" s="1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AW13" i="3"/>
  <c r="AX13" i="3" s="1"/>
  <c r="D19" i="1" s="1"/>
  <c r="AU13" i="3"/>
  <c r="AV13" i="3" s="1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AW12" i="3"/>
  <c r="AX12" i="3" s="1"/>
  <c r="D18" i="1" s="1"/>
  <c r="AU12" i="3"/>
  <c r="AV12" i="3" s="1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AW11" i="3"/>
  <c r="AX11" i="3" s="1"/>
  <c r="D17" i="1" s="1"/>
  <c r="AU11" i="3"/>
  <c r="AV11" i="3" s="1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AW10" i="3"/>
  <c r="AX10" i="3" s="1"/>
  <c r="D16" i="1" s="1"/>
  <c r="AU10" i="3"/>
  <c r="AV10" i="3" s="1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AW9" i="3"/>
  <c r="AX9" i="3" s="1"/>
  <c r="D15" i="1" s="1"/>
  <c r="AU9" i="3"/>
  <c r="AV9" i="3" s="1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AW8" i="3"/>
  <c r="AX8" i="3" s="1"/>
  <c r="D14" i="1" s="1"/>
  <c r="AU8" i="3"/>
  <c r="AV8" i="3" s="1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AW7" i="3"/>
  <c r="AX7" i="3" s="1"/>
  <c r="D13" i="1" s="1"/>
  <c r="AU7" i="3"/>
  <c r="AV7" i="3" s="1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AU6" i="3"/>
  <c r="AV6" i="3" s="1"/>
  <c r="M24" i="1"/>
  <c r="B24" i="1"/>
  <c r="A24" i="1"/>
  <c r="M23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AZ18" i="4" l="1"/>
  <c r="I24" i="1"/>
  <c r="AZ17" i="4"/>
  <c r="I23" i="1"/>
  <c r="AZ16" i="4"/>
  <c r="I22" i="1"/>
  <c r="AZ15" i="4"/>
  <c r="I21" i="1"/>
  <c r="AZ14" i="4"/>
  <c r="I20" i="1"/>
  <c r="AZ13" i="4"/>
  <c r="I19" i="1"/>
  <c r="AZ12" i="4"/>
  <c r="I18" i="1"/>
  <c r="AZ11" i="4"/>
  <c r="I17" i="1"/>
  <c r="AZ10" i="4"/>
  <c r="I16" i="1"/>
  <c r="AZ9" i="4"/>
  <c r="I15" i="1"/>
  <c r="AZ8" i="4"/>
  <c r="I14" i="1"/>
  <c r="I13" i="1"/>
  <c r="AZ7" i="4"/>
  <c r="AZ6" i="4"/>
  <c r="I12" i="1"/>
  <c r="AU18" i="3"/>
  <c r="AV18" i="3" s="1"/>
  <c r="AW18" i="3"/>
  <c r="AX18" i="3" s="1"/>
  <c r="D24" i="1" s="1"/>
  <c r="AZ17" i="3"/>
  <c r="C23" i="1"/>
  <c r="AZ16" i="3"/>
  <c r="C22" i="1"/>
  <c r="AZ15" i="3"/>
  <c r="C21" i="1"/>
  <c r="AZ14" i="3"/>
  <c r="C20" i="1"/>
  <c r="AZ13" i="3"/>
  <c r="C19" i="1"/>
  <c r="AZ12" i="3"/>
  <c r="C18" i="1"/>
  <c r="AZ11" i="3"/>
  <c r="C17" i="1"/>
  <c r="AZ10" i="3"/>
  <c r="C16" i="1"/>
  <c r="AZ9" i="3"/>
  <c r="C15" i="1"/>
  <c r="AZ8" i="3"/>
  <c r="C14" i="1"/>
  <c r="AZ7" i="3"/>
  <c r="C13" i="1"/>
  <c r="AZ6" i="3"/>
  <c r="C12" i="1"/>
  <c r="BA18" i="4" l="1"/>
  <c r="L24" i="1" s="1"/>
  <c r="BC18" i="4"/>
  <c r="N24" i="1" s="1"/>
  <c r="BD18" i="4"/>
  <c r="O24" i="1" s="1"/>
  <c r="K24" i="1"/>
  <c r="BA17" i="4"/>
  <c r="L23" i="1" s="1"/>
  <c r="BC17" i="4"/>
  <c r="N23" i="1" s="1"/>
  <c r="BD17" i="4"/>
  <c r="O23" i="1" s="1"/>
  <c r="K23" i="1"/>
  <c r="BA16" i="4"/>
  <c r="L22" i="1" s="1"/>
  <c r="BC16" i="4"/>
  <c r="N22" i="1" s="1"/>
  <c r="BD16" i="4"/>
  <c r="O22" i="1" s="1"/>
  <c r="K22" i="1"/>
  <c r="BA15" i="4"/>
  <c r="L21" i="1" s="1"/>
  <c r="BC15" i="4"/>
  <c r="N21" i="1" s="1"/>
  <c r="BD15" i="4"/>
  <c r="O21" i="1" s="1"/>
  <c r="K21" i="1"/>
  <c r="BA14" i="4"/>
  <c r="L20" i="1" s="1"/>
  <c r="BC14" i="4"/>
  <c r="N20" i="1" s="1"/>
  <c r="BD14" i="4"/>
  <c r="O20" i="1" s="1"/>
  <c r="K20" i="1"/>
  <c r="BA13" i="4"/>
  <c r="L19" i="1" s="1"/>
  <c r="BC13" i="4"/>
  <c r="N19" i="1" s="1"/>
  <c r="BD13" i="4"/>
  <c r="O19" i="1" s="1"/>
  <c r="K19" i="1"/>
  <c r="BA12" i="4"/>
  <c r="L18" i="1" s="1"/>
  <c r="BC12" i="4"/>
  <c r="N18" i="1" s="1"/>
  <c r="BD12" i="4"/>
  <c r="O18" i="1" s="1"/>
  <c r="K18" i="1"/>
  <c r="BA11" i="4"/>
  <c r="L17" i="1" s="1"/>
  <c r="BC11" i="4"/>
  <c r="N17" i="1" s="1"/>
  <c r="BD11" i="4"/>
  <c r="O17" i="1" s="1"/>
  <c r="K17" i="1"/>
  <c r="BA10" i="4"/>
  <c r="L16" i="1" s="1"/>
  <c r="BC10" i="4"/>
  <c r="N16" i="1" s="1"/>
  <c r="BD10" i="4"/>
  <c r="O16" i="1" s="1"/>
  <c r="K16" i="1"/>
  <c r="BA9" i="4"/>
  <c r="L15" i="1" s="1"/>
  <c r="BC9" i="4"/>
  <c r="N15" i="1" s="1"/>
  <c r="BD9" i="4"/>
  <c r="O15" i="1" s="1"/>
  <c r="K15" i="1"/>
  <c r="BA8" i="4"/>
  <c r="L14" i="1" s="1"/>
  <c r="BC8" i="4"/>
  <c r="N14" i="1" s="1"/>
  <c r="BD8" i="4"/>
  <c r="O14" i="1" s="1"/>
  <c r="K14" i="1"/>
  <c r="BA7" i="4"/>
  <c r="L13" i="1" s="1"/>
  <c r="BC7" i="4"/>
  <c r="N13" i="1" s="1"/>
  <c r="BD7" i="4"/>
  <c r="O13" i="1" s="1"/>
  <c r="K13" i="1"/>
  <c r="BA6" i="4"/>
  <c r="L12" i="1" s="1"/>
  <c r="BC6" i="4"/>
  <c r="N12" i="1" s="1"/>
  <c r="BD6" i="4"/>
  <c r="O12" i="1" s="1"/>
  <c r="K12" i="1"/>
  <c r="AZ18" i="3"/>
  <c r="C24" i="1"/>
  <c r="BA17" i="3"/>
  <c r="BD17" i="3"/>
  <c r="H23" i="1" s="1"/>
  <c r="E23" i="1"/>
  <c r="BA16" i="3"/>
  <c r="BD16" i="3"/>
  <c r="H22" i="1" s="1"/>
  <c r="E22" i="1"/>
  <c r="BA15" i="3"/>
  <c r="BD15" i="3"/>
  <c r="H21" i="1" s="1"/>
  <c r="E21" i="1"/>
  <c r="BA14" i="3"/>
  <c r="BD14" i="3"/>
  <c r="H20" i="1" s="1"/>
  <c r="E20" i="1"/>
  <c r="BA13" i="3"/>
  <c r="BD13" i="3"/>
  <c r="H19" i="1" s="1"/>
  <c r="E19" i="1"/>
  <c r="BA12" i="3"/>
  <c r="BD12" i="3"/>
  <c r="H18" i="1" s="1"/>
  <c r="E18" i="1"/>
  <c r="BA11" i="3"/>
  <c r="BD11" i="3"/>
  <c r="H17" i="1" s="1"/>
  <c r="E17" i="1"/>
  <c r="BA10" i="3"/>
  <c r="BD10" i="3"/>
  <c r="H16" i="1" s="1"/>
  <c r="E16" i="1"/>
  <c r="BA9" i="3"/>
  <c r="BD9" i="3"/>
  <c r="H15" i="1" s="1"/>
  <c r="E15" i="1"/>
  <c r="BA8" i="3"/>
  <c r="BD8" i="3"/>
  <c r="H14" i="1" s="1"/>
  <c r="E14" i="1"/>
  <c r="BA7" i="3"/>
  <c r="BD7" i="3"/>
  <c r="H13" i="1" s="1"/>
  <c r="E13" i="1"/>
  <c r="BA6" i="3"/>
  <c r="BD6" i="3"/>
  <c r="H12" i="1" s="1"/>
  <c r="E12" i="1"/>
  <c r="E5" i="1" l="1"/>
  <c r="E6" i="1"/>
  <c r="E7" i="1"/>
  <c r="E8" i="1"/>
  <c r="E9" i="1"/>
  <c r="BA18" i="3"/>
  <c r="BD18" i="3"/>
  <c r="H24" i="1" s="1"/>
  <c r="E24" i="1"/>
  <c r="BB17" i="3"/>
  <c r="BC17" i="3" s="1"/>
  <c r="G23" i="1" s="1"/>
  <c r="F23" i="1"/>
  <c r="BB16" i="3"/>
  <c r="BC16" i="3" s="1"/>
  <c r="G22" i="1" s="1"/>
  <c r="F22" i="1"/>
  <c r="BB15" i="3"/>
  <c r="BC15" i="3" s="1"/>
  <c r="G21" i="1" s="1"/>
  <c r="F21" i="1"/>
  <c r="BB14" i="3"/>
  <c r="BC14" i="3" s="1"/>
  <c r="G20" i="1" s="1"/>
  <c r="F20" i="1"/>
  <c r="BB13" i="3"/>
  <c r="BC13" i="3" s="1"/>
  <c r="G19" i="1" s="1"/>
  <c r="F19" i="1"/>
  <c r="BB12" i="3"/>
  <c r="BC12" i="3" s="1"/>
  <c r="G18" i="1" s="1"/>
  <c r="F18" i="1"/>
  <c r="BB11" i="3"/>
  <c r="BC11" i="3" s="1"/>
  <c r="G17" i="1" s="1"/>
  <c r="F17" i="1"/>
  <c r="BB10" i="3"/>
  <c r="BC10" i="3" s="1"/>
  <c r="G16" i="1" s="1"/>
  <c r="F16" i="1"/>
  <c r="BB9" i="3"/>
  <c r="BC9" i="3" s="1"/>
  <c r="G15" i="1" s="1"/>
  <c r="F15" i="1"/>
  <c r="BB8" i="3"/>
  <c r="BC8" i="3" s="1"/>
  <c r="G14" i="1" s="1"/>
  <c r="F14" i="1"/>
  <c r="BB7" i="3"/>
  <c r="BC7" i="3" s="1"/>
  <c r="G13" i="1" s="1"/>
  <c r="F13" i="1"/>
  <c r="BB6" i="3"/>
  <c r="BC6" i="3" s="1"/>
  <c r="G12" i="1" s="1"/>
  <c r="F12" i="1"/>
  <c r="BB18" i="3" l="1"/>
  <c r="BC18" i="3" s="1"/>
  <c r="G24" i="1" s="1"/>
  <c r="B5" i="1" s="1"/>
  <c r="F24" i="1"/>
  <c r="B6" i="1"/>
  <c r="B8" i="1"/>
  <c r="B7" i="1"/>
  <c r="B9" i="1"/>
</calcChain>
</file>

<file path=xl/sharedStrings.xml><?xml version="1.0" encoding="utf-8"?>
<sst xmlns="http://schemas.openxmlformats.org/spreadsheetml/2006/main" count="179" uniqueCount="121">
  <si>
    <t>반사율 극값 기반 두께 추정</t>
  </si>
  <si>
    <t>Nb2O5 단층 두께와 Nb2O5/SiO2 적층의 SiO2 TMM 역산 두께를 13개 위치에서 계산합니다.</t>
  </si>
  <si>
    <t>Nb2O5 (1L)</t>
  </si>
  <si>
    <t>값</t>
  </si>
  <si>
    <t>SiO2 TMM 역산</t>
  </si>
  <si>
    <t>평균 (nm)</t>
  </si>
  <si>
    <t>최소 (nm)</t>
  </si>
  <si>
    <t>최대 (nm)</t>
  </si>
  <si>
    <t>P-P (nm)</t>
  </si>
  <si>
    <t>± 균일도</t>
  </si>
  <si>
    <t>시료</t>
  </si>
  <si>
    <t>위치(mm)</t>
  </si>
  <si>
    <t>Nb 최소 λ</t>
  </si>
  <si>
    <t>Nb 최대 λ</t>
  </si>
  <si>
    <t>Nb 사용 λ</t>
  </si>
  <si>
    <t>Nb n</t>
  </si>
  <si>
    <t>Nb 두께(nm)</t>
  </si>
  <si>
    <t>Nb 상태</t>
  </si>
  <si>
    <t>2L 최소 λ</t>
  </si>
  <si>
    <t>2L 최대 λ</t>
  </si>
  <si>
    <t>2L 사용 λ</t>
  </si>
  <si>
    <t>SiO2 n</t>
  </si>
  <si>
    <t>하부 Nb2O5(nm)</t>
  </si>
  <si>
    <t>SiO2 TMM 두께(nm)</t>
  </si>
  <si>
    <t>2L 상태</t>
  </si>
  <si>
    <t>계산 설정</t>
  </si>
  <si>
    <t>노란색 셀을 조정하면 13개 위치의 결과가 즉시 다시 계산됩니다.</t>
  </si>
  <si>
    <t>계산 대상</t>
  </si>
  <si>
    <t>광학 모델</t>
  </si>
  <si>
    <t>극값</t>
  </si>
  <si>
    <t>차수 p</t>
  </si>
  <si>
    <t>검색 시작(nm)</t>
  </si>
  <si>
    <t>검색 끝(nm)</t>
  </si>
  <si>
    <t>입사각 θ0(°)</t>
  </si>
  <si>
    <t>air/Nb2O5/PET · 위상반전 1회</t>
  </si>
  <si>
    <t>최소</t>
  </si>
  <si>
    <t>SiO2 (2L)</t>
  </si>
  <si>
    <t>air/SiO2/Nb2O5/PET · TMM 역산</t>
  </si>
  <si>
    <t>계산식</t>
  </si>
  <si>
    <t>Nb2O5</t>
  </si>
  <si>
    <t>최소 d=pλ/(2ncosθf), 최대 d=(2p-1)λ/(4ncosθf)</t>
  </si>
  <si>
    <t>하부 Nb2O5 두께와 PET를 포함한 TMM 반사율 최소 파장→SiO2 두께 역산(차수 p 미사용)</t>
  </si>
  <si>
    <t>굴절각</t>
  </si>
  <si>
    <t>θf=asin(sinθ0/n). 기본 θ0=0°이며 필요 시 설정에서 변경</t>
  </si>
  <si>
    <t>사용 방법</t>
  </si>
  <si>
    <t>1. 각 입력 시트의 A:AT 노란색 영역에 CM-36dG 13개 행을 붙여넣습니다.</t>
  </si>
  <si>
    <t>2. 설정 C16:C28에 2층 시료의 위치별 하부 Nb2O5 두께(8–15 nm)를 입력합니다.</t>
  </si>
  <si>
    <t>3. 평탄부·경계값·잘못 선택된 극값은 AY열의 수동 파장으로 보정합니다.</t>
  </si>
  <si>
    <t>4. 결과 시트에서 13개 위치의 파장, 굴절률, 두께와 균일도를 확인합니다.</t>
  </si>
  <si>
    <t>5. 2층 SiO2는 TMM 계산이며 차수 p와 입사각 설정을 사용하지 않습니다.</t>
  </si>
  <si>
    <t>노란색은 입력 셀입니다. 수식 셀은 직접 덮어쓰지 마세요.</t>
  </si>
  <si>
    <t>가정 및 한계</t>
  </si>
  <si>
    <t>단층식</t>
  </si>
  <si>
    <t>첨부 굴절률의 실수부 n만 사용한 광학 두께 기반 추정입니다.</t>
  </si>
  <si>
    <t>2층 TMM</t>
  </si>
  <si>
    <t>Air/SiO2/Nb2O5/PET 구조의 정상입사 TMM으로 계산한 최저 반사율 파장과 측정 파장이 일치하는 SiO2 두께를 역산합니다.</t>
  </si>
  <si>
    <t>간섭 차수</t>
  </si>
  <si>
    <t>한 개 극값만으로 차수 p를 고유하게 정할 수 없습니다. 알려진 목표 두께 또는 공정 조건과 함께 선택하십시오.</t>
  </si>
  <si>
    <t>측정 각도</t>
  </si>
  <si>
    <t>기본값은 정상입사 0°입니다. CM-36dG d:8의 8°는 관찰각이므로 입사각으로 자동 적용하지 않았습니다.</t>
  </si>
  <si>
    <t>극값 처리</t>
  </si>
  <si>
    <t>설정한 검색 구간의 전역 최소/최대를 사용하며, 동일한 극값이 여러 파장에 있으면 그 파장의 평균을 사용합니다. 원본 분해능은 10 nm입니다.</t>
  </si>
  <si>
    <t>데이터 가정</t>
  </si>
  <si>
    <t>TMM은 굴절률 실수부 n, 정상입사, 투명·비흡수 막, 반무한 PET를 가정합니다. PET 후면 반사와 k는 포함하지 않습니다.</t>
  </si>
  <si>
    <t>Nb2O5 (1L) 반사율 입력</t>
  </si>
  <si>
    <t>CM-36dG 원본 13개 행(A:AT)을 노란색 영역에 붙여넣으면 극값과 두께가 자동 계산됩니다.</t>
  </si>
  <si>
    <t>Data Name</t>
  </si>
  <si>
    <t>L*(D65)</t>
  </si>
  <si>
    <t>a*(D65)</t>
  </si>
  <si>
    <t>b*(D65)</t>
  </si>
  <si>
    <t>Y(D65)</t>
  </si>
  <si>
    <t>Group Traits</t>
  </si>
  <si>
    <t>최소 R(%)</t>
  </si>
  <si>
    <t>최소 λ(nm)</t>
  </si>
  <si>
    <t>최대 R(%)</t>
  </si>
  <si>
    <t>최대 λ(nm)</t>
  </si>
  <si>
    <t>수동 λ(nm)</t>
  </si>
  <si>
    <t>사용 λ(nm)</t>
  </si>
  <si>
    <t>굴절률 n</t>
  </si>
  <si>
    <t>cosθf</t>
  </si>
  <si>
    <t>Nb2O5 추정 두께(nm)</t>
  </si>
  <si>
    <t>상태</t>
  </si>
  <si>
    <t>Nb2O5 균일도_01</t>
  </si>
  <si>
    <t>SCI</t>
  </si>
  <si>
    <t>Nb2O5 균일도_02</t>
  </si>
  <si>
    <t>Nb2O5 균일도_03</t>
  </si>
  <si>
    <t>Nb2O5 균일도_04</t>
  </si>
  <si>
    <t>Nb2O5 균일도_05</t>
  </si>
  <si>
    <t>Nb2O5 균일도_06</t>
  </si>
  <si>
    <t>Nb2O5 균일도_07</t>
  </si>
  <si>
    <t>Nb2O5 균일도_08</t>
  </si>
  <si>
    <t>Nb2O5 균일도_09</t>
  </si>
  <si>
    <t>Nb2O5 균일도_10</t>
  </si>
  <si>
    <t>Nb2O5 균일도_11</t>
  </si>
  <si>
    <t>Nb2O5 균일도_12</t>
  </si>
  <si>
    <t>Nb2O5 균일도_13</t>
  </si>
  <si>
    <t>참고: 원본의 13-1 재측정 행은 13개 본 위치 결과에서 제외했습니다.</t>
  </si>
  <si>
    <t>Nb2O5 (1L) / SiO2 (2L) 반사율 입력</t>
  </si>
  <si>
    <t>SiO2 균일도_01</t>
  </si>
  <si>
    <t>SiO2 균일도_02</t>
  </si>
  <si>
    <t>SiO2 균일도_03</t>
  </si>
  <si>
    <t>SiO2 균일도_04</t>
  </si>
  <si>
    <t>SiO2 균일도_05</t>
  </si>
  <si>
    <t>SiO2 균일도_06</t>
  </si>
  <si>
    <t>SiO2 균일도_07</t>
  </si>
  <si>
    <t>SiO2 균일도_08</t>
  </si>
  <si>
    <t>SiO2 균일도_09</t>
  </si>
  <si>
    <t>SiO2 균일도_10</t>
  </si>
  <si>
    <t>SiO2 균일도_11</t>
  </si>
  <si>
    <t>SiO2 균일도_12</t>
  </si>
  <si>
    <t>SiO2 균일도_13</t>
  </si>
  <si>
    <t>파장별 굴절률</t>
  </si>
  <si>
    <t>출처: 굴절률.xlsx (PET_TOYOBO, Nb2O5, SiO2 시트). 파장 단위는 문맥상 nm로 표기했습니다.</t>
  </si>
  <si>
    <t>파장(nm)</t>
  </si>
  <si>
    <t>PET_TOYOBO n</t>
  </si>
  <si>
    <t>Nb2O5 n</t>
  </si>
  <si>
    <t>10 nm 격자 사이 파장은 인접 두 값의 선형 보간을 사용하며 360–740 nm 밖은 계산하지 않습니다.</t>
  </si>
  <si>
    <t>2층 SiO2 TMM 역산 보정표</t>
  </si>
  <si>
    <t>Air/SiO2/Nb2O5/PET, 정상입사, k=0. 각 파장이 반사율 최소가 되는 SiO2 두께(nm)입니다.</t>
  </si>
  <si>
    <t>최저 파장(nm)</t>
  </si>
  <si>
    <t>Nb2O5 8–15 nm 사이의 입력은 인접한 TMM 곡선 사이를 선형 보간합니다. 굴절률 데이터를 변경하면 이 보정표를 재생성해야 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</si>
</sst>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0"/>
    <numFmt numFmtId="178" formatCode="0&quot;nm&quot;"/>
    <numFmt numFmtId="179" formatCode="0.000"/>
  </numFmts>
  <fonts count="9">
    <font>
      <sz val="11"/>
      <name val="Carlito"/>
    </font>
    <font>
      <b/>
      <sz val="15"/>
      <color rgb="FF1F4E78"/>
      <name val="Arial"/>
      <family val="2"/>
    </font>
    <font>
      <i/>
      <sz val="9"/>
      <color rgb="FF5F6B7A"/>
      <name val="Arial"/>
      <family val="2"/>
    </font>
    <font>
      <b/>
      <sz val="10"/>
      <color rgb="FF1F4E78"/>
      <name val="Arial"/>
      <family val="2"/>
    </font>
    <font>
      <sz val="10"/>
      <color rgb="FF1F2937"/>
      <name val="Arial"/>
      <family val="2"/>
    </font>
    <font>
      <b/>
      <sz val="10"/>
      <color rgb="FFFFFFFF"/>
      <name val="Arial"/>
      <family val="2"/>
    </font>
    <font>
      <sz val="8"/>
      <color rgb="FF5F6B7A"/>
      <name val="Arial"/>
      <family val="2"/>
    </font>
    <font>
      <sz val="11"/>
      <name val="Carlito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 style="thin">
        <color rgb="FF5B9BD5"/>
      </left>
      <right/>
      <top style="thin">
        <color rgb="FF5B9BD5"/>
      </top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 style="thin">
        <color rgb="FF5B9BD5"/>
      </bottom>
      <diagonal/>
    </border>
    <border>
      <left/>
      <right/>
      <top/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FFFFFF"/>
      </right>
      <top/>
      <bottom style="thin">
        <color rgb="FF1F4E78"/>
      </bottom>
      <diagonal/>
    </border>
    <border>
      <left style="thin">
        <color rgb="FFFFFFFF"/>
      </left>
      <right style="thin">
        <color rgb="FFFFFFFF"/>
      </right>
      <top/>
      <bottom style="thin">
        <color rgb="FF1F4E78"/>
      </bottom>
      <diagonal/>
    </border>
    <border>
      <left style="thin">
        <color rgb="FFFFFFFF"/>
      </left>
      <right/>
      <top/>
      <bottom style="thin">
        <color rgb="FF1F4E78"/>
      </bottom>
      <diagonal/>
    </border>
    <border>
      <left/>
      <right/>
      <top style="thin">
        <color rgb="FF5B9BD5"/>
      </top>
      <bottom style="thin">
        <color rgb="FF5B9BD5"/>
      </bottom>
      <diagonal/>
    </border>
  </borders>
  <cellStyleXfs count="2">
    <xf numFmtId="0" fontId="0" fillId="0" borderId="0"/>
    <xf numFmtId="0" fontId="7" fillId="0" borderId="0"/>
  </cellStyleXfs>
  <cellXfs count="44">
    <xf numFmtId="0" fontId="0" fillId="0" borderId="0" xfId="0"/>
    <xf numFmtId="0" fontId="1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2" fontId="4" fillId="0" borderId="4" xfId="1" applyNumberFormat="1" applyFont="1" applyBorder="1" applyAlignment="1">
      <alignment vertical="center"/>
    </xf>
    <xf numFmtId="2" fontId="4" fillId="0" borderId="5" xfId="1" applyNumberFormat="1" applyFont="1" applyBorder="1" applyAlignment="1">
      <alignment vertical="center"/>
    </xf>
    <xf numFmtId="10" fontId="4" fillId="0" borderId="5" xfId="1" applyNumberFormat="1" applyFont="1" applyBorder="1" applyAlignment="1">
      <alignment vertical="center"/>
    </xf>
    <xf numFmtId="0" fontId="5" fillId="3" borderId="6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1" fontId="4" fillId="0" borderId="4" xfId="1" applyNumberFormat="1" applyFont="1" applyBorder="1" applyAlignment="1">
      <alignment horizontal="right" vertical="center"/>
    </xf>
    <xf numFmtId="176" fontId="4" fillId="0" borderId="4" xfId="1" applyNumberFormat="1" applyFont="1" applyBorder="1" applyAlignment="1">
      <alignment horizontal="right" vertical="center"/>
    </xf>
    <xf numFmtId="177" fontId="4" fillId="0" borderId="4" xfId="1" applyNumberFormat="1" applyFont="1" applyBorder="1" applyAlignment="1">
      <alignment horizontal="right" vertical="center"/>
    </xf>
    <xf numFmtId="2" fontId="4" fillId="0" borderId="4" xfId="1" applyNumberFormat="1" applyFont="1" applyBorder="1" applyAlignment="1">
      <alignment horizontal="right" vertical="center"/>
    </xf>
    <xf numFmtId="1" fontId="4" fillId="0" borderId="5" xfId="1" applyNumberFormat="1" applyFont="1" applyBorder="1" applyAlignment="1">
      <alignment horizontal="right" vertical="center"/>
    </xf>
    <xf numFmtId="176" fontId="4" fillId="0" borderId="5" xfId="1" applyNumberFormat="1" applyFont="1" applyBorder="1" applyAlignment="1">
      <alignment horizontal="right" vertical="center"/>
    </xf>
    <xf numFmtId="177" fontId="4" fillId="0" borderId="5" xfId="1" applyNumberFormat="1" applyFont="1" applyBorder="1" applyAlignment="1">
      <alignment horizontal="right" vertical="center"/>
    </xf>
    <xf numFmtId="2" fontId="4" fillId="0" borderId="5" xfId="1" applyNumberFormat="1" applyFont="1" applyBorder="1" applyAlignment="1">
      <alignment horizontal="right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4" borderId="4" xfId="1" applyFont="1" applyFill="1" applyBorder="1" applyAlignment="1">
      <alignment vertical="center"/>
    </xf>
    <xf numFmtId="0" fontId="4" fillId="4" borderId="5" xfId="1" applyFont="1" applyFill="1" applyBorder="1" applyAlignment="1">
      <alignment vertical="center"/>
    </xf>
    <xf numFmtId="0" fontId="4" fillId="4" borderId="4" xfId="1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vertical="center"/>
    </xf>
    <xf numFmtId="0" fontId="4" fillId="0" borderId="4" xfId="1" applyFont="1" applyBorder="1" applyAlignment="1">
      <alignment vertical="center" wrapText="1"/>
    </xf>
    <xf numFmtId="0" fontId="4" fillId="0" borderId="5" xfId="1" applyFont="1" applyBorder="1" applyAlignment="1">
      <alignment vertical="center" wrapText="1"/>
    </xf>
    <xf numFmtId="1" fontId="4" fillId="4" borderId="4" xfId="1" applyNumberFormat="1" applyFont="1" applyFill="1" applyBorder="1" applyAlignment="1">
      <alignment horizontal="right" vertical="center"/>
    </xf>
    <xf numFmtId="176" fontId="4" fillId="4" borderId="4" xfId="1" applyNumberFormat="1" applyFont="1" applyFill="1" applyBorder="1" applyAlignment="1">
      <alignment horizontal="right" vertical="center"/>
    </xf>
    <xf numFmtId="1" fontId="4" fillId="4" borderId="5" xfId="1" applyNumberFormat="1" applyFont="1" applyFill="1" applyBorder="1" applyAlignment="1">
      <alignment horizontal="right" vertical="center"/>
    </xf>
    <xf numFmtId="176" fontId="4" fillId="4" borderId="5" xfId="1" applyNumberFormat="1" applyFont="1" applyFill="1" applyBorder="1" applyAlignment="1">
      <alignment horizontal="right" vertical="center"/>
    </xf>
    <xf numFmtId="0" fontId="4" fillId="0" borderId="0" xfId="1" applyFont="1" applyAlignment="1">
      <alignment vertical="center" wrapText="1"/>
    </xf>
    <xf numFmtId="178" fontId="5" fillId="3" borderId="7" xfId="1" applyNumberFormat="1" applyFont="1" applyFill="1" applyBorder="1" applyAlignment="1">
      <alignment horizontal="center" vertical="center" wrapText="1"/>
    </xf>
    <xf numFmtId="2" fontId="4" fillId="4" borderId="4" xfId="1" applyNumberFormat="1" applyFont="1" applyFill="1" applyBorder="1" applyAlignment="1">
      <alignment vertical="center"/>
    </xf>
    <xf numFmtId="2" fontId="4" fillId="4" borderId="5" xfId="1" applyNumberFormat="1" applyFont="1" applyFill="1" applyBorder="1" applyAlignment="1">
      <alignment vertical="center"/>
    </xf>
    <xf numFmtId="2" fontId="6" fillId="5" borderId="0" xfId="1" applyNumberFormat="1" applyFont="1" applyFill="1" applyAlignment="1">
      <alignment vertical="center"/>
    </xf>
    <xf numFmtId="0" fontId="2" fillId="0" borderId="0" xfId="1" applyFont="1" applyAlignment="1">
      <alignment vertical="center"/>
    </xf>
    <xf numFmtId="179" fontId="4" fillId="0" borderId="4" xfId="1" applyNumberFormat="1" applyFont="1" applyBorder="1" applyAlignment="1">
      <alignment horizontal="right" vertical="center"/>
    </xf>
    <xf numFmtId="179" fontId="4" fillId="0" borderId="5" xfId="1" applyNumberFormat="1" applyFont="1" applyBorder="1" applyAlignment="1">
      <alignment horizontal="right" vertical="center"/>
    </xf>
  </cellXfs>
  <cellStyles count="2">
    <cellStyle name="Normal" xfId="1" xr:uid="{00000000-0005-0000-0000-000000000000}"/>
    <cellStyle name="표준" xfId="0" builtinId="0"/>
  </cellStyles>
  <dxfs count="12">
    <dxf>
      <font>
        <color rgb="FF38761D"/>
      </font>
      <fill>
        <patternFill patternType="solid">
          <bgColor rgb="FFE2F0D9"/>
        </patternFill>
      </fill>
    </dxf>
    <dxf>
      <font>
        <b/>
        <color rgb="FF8A5A00"/>
      </font>
      <fill>
        <patternFill patternType="solid">
          <bgColor rgb="FFFFF4CE"/>
        </patternFill>
      </fill>
    </dxf>
    <dxf>
      <font>
        <b/>
        <color rgb="FFB91C1C"/>
      </font>
      <fill>
        <patternFill patternType="solid">
          <bgColor rgb="FFFCE8E6"/>
        </patternFill>
      </fill>
    </dxf>
    <dxf>
      <font>
        <color rgb="FF38761D"/>
      </font>
      <fill>
        <patternFill patternType="solid">
          <bgColor rgb="FFE2F0D9"/>
        </patternFill>
      </fill>
    </dxf>
    <dxf>
      <font>
        <b/>
        <color rgb="FF8A5A00"/>
      </font>
      <fill>
        <patternFill patternType="solid">
          <bgColor rgb="FFFFF4CE"/>
        </patternFill>
      </fill>
    </dxf>
    <dxf>
      <font>
        <b/>
        <color rgb="FFB91C1C"/>
      </font>
      <fill>
        <patternFill patternType="solid">
          <bgColor rgb="FFFCE8E6"/>
        </patternFill>
      </fill>
    </dxf>
    <dxf>
      <font>
        <color rgb="FF38761D"/>
      </font>
      <fill>
        <patternFill patternType="solid">
          <bgColor rgb="FFE2F0D9"/>
        </patternFill>
      </fill>
    </dxf>
    <dxf>
      <font>
        <b/>
        <color rgb="FF8A5A00"/>
      </font>
      <fill>
        <patternFill patternType="solid">
          <bgColor rgb="FFFFF4CE"/>
        </patternFill>
      </fill>
    </dxf>
    <dxf>
      <font>
        <b/>
        <color rgb="FFB91C1C"/>
      </font>
      <fill>
        <patternFill patternType="solid">
          <bgColor rgb="FFFCE8E6"/>
        </patternFill>
      </fill>
    </dxf>
    <dxf>
      <font>
        <color rgb="FF38761D"/>
      </font>
      <fill>
        <patternFill patternType="solid">
          <bgColor rgb="FFE2F0D9"/>
        </patternFill>
      </fill>
    </dxf>
    <dxf>
      <font>
        <b/>
        <color rgb="FF8A5A00"/>
      </font>
      <fill>
        <patternFill patternType="solid">
          <bgColor rgb="FFFFF4CE"/>
        </patternFill>
      </fill>
    </dxf>
    <dxf>
      <font>
        <b/>
        <color rgb="FFB91C1C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 sz="900">
                <a:latin typeface="Arial"/>
                <a:ea typeface="Arial"/>
                <a:cs typeface="Arial"/>
              </a:rPr>
              <a:t>위치별 추정 두께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Nb 두께(nm)</c:v>
          </c:tx>
          <c:marker>
            <c:symbol val="none"/>
          </c:marker>
          <c:cat>
            <c:numRef>
              <c:f>결과!$B$12:$B$24</c:f>
              <c:numCache>
                <c:formatCode>0</c:formatCode>
                <c:ptCount val="13"/>
                <c:pt idx="0">
                  <c:v>50</c:v>
                </c:pt>
                <c:pt idx="1">
                  <c:v>150</c:v>
                </c:pt>
                <c:pt idx="2">
                  <c:v>250</c:v>
                </c:pt>
                <c:pt idx="3">
                  <c:v>350</c:v>
                </c:pt>
                <c:pt idx="4">
                  <c:v>450</c:v>
                </c:pt>
                <c:pt idx="5">
                  <c:v>550</c:v>
                </c:pt>
                <c:pt idx="6">
                  <c:v>650</c:v>
                </c:pt>
                <c:pt idx="7">
                  <c:v>750</c:v>
                </c:pt>
                <c:pt idx="8">
                  <c:v>850</c:v>
                </c:pt>
                <c:pt idx="9">
                  <c:v>950</c:v>
                </c:pt>
                <c:pt idx="10">
                  <c:v>1050</c:v>
                </c:pt>
                <c:pt idx="11">
                  <c:v>1150</c:v>
                </c:pt>
                <c:pt idx="12">
                  <c:v>1250</c:v>
                </c:pt>
              </c:numCache>
            </c:numRef>
          </c:cat>
          <c:val>
            <c:numRef>
              <c:f>결과!$G$12:$G$24</c:f>
              <c:numCache>
                <c:formatCode>0.00</c:formatCode>
                <c:ptCount val="13"/>
                <c:pt idx="0">
                  <c:v>99.306544512573893</c:v>
                </c:pt>
                <c:pt idx="1">
                  <c:v>106.57799377584517</c:v>
                </c:pt>
                <c:pt idx="2">
                  <c:v>108.97622181575753</c:v>
                </c:pt>
                <c:pt idx="3">
                  <c:v>111.36429831925574</c:v>
                </c:pt>
                <c:pt idx="4">
                  <c:v>113.7431807743979</c:v>
                </c:pt>
                <c:pt idx="5">
                  <c:v>111.36429831925574</c:v>
                </c:pt>
                <c:pt idx="6">
                  <c:v>111.36429831925574</c:v>
                </c:pt>
                <c:pt idx="7">
                  <c:v>108.97622181575753</c:v>
                </c:pt>
                <c:pt idx="8">
                  <c:v>104.16755244517384</c:v>
                </c:pt>
                <c:pt idx="9">
                  <c:v>99.306544512573893</c:v>
                </c:pt>
                <c:pt idx="10">
                  <c:v>96.851892401758491</c:v>
                </c:pt>
                <c:pt idx="11">
                  <c:v>94.377611113907477</c:v>
                </c:pt>
                <c:pt idx="12">
                  <c:v>94.377611113907477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11-4A0F-AA16-40D711E99931}"/>
            </c:ext>
          </c:extLst>
        </c:ser>
        <c:ser>
          <c:idx val="1"/>
          <c:order val="1"/>
          <c:tx>
            <c:v>SiO2 TMM 두께(nm)</c:v>
          </c:tx>
          <c:marker>
            <c:symbol val="none"/>
          </c:marker>
          <c:cat>
            <c:numRef>
              <c:f>결과!$B$12:$B$24</c:f>
              <c:numCache>
                <c:formatCode>0</c:formatCode>
                <c:ptCount val="13"/>
                <c:pt idx="0">
                  <c:v>50</c:v>
                </c:pt>
                <c:pt idx="1">
                  <c:v>150</c:v>
                </c:pt>
                <c:pt idx="2">
                  <c:v>250</c:v>
                </c:pt>
                <c:pt idx="3">
                  <c:v>350</c:v>
                </c:pt>
                <c:pt idx="4">
                  <c:v>450</c:v>
                </c:pt>
                <c:pt idx="5">
                  <c:v>550</c:v>
                </c:pt>
                <c:pt idx="6">
                  <c:v>650</c:v>
                </c:pt>
                <c:pt idx="7">
                  <c:v>750</c:v>
                </c:pt>
                <c:pt idx="8">
                  <c:v>850</c:v>
                </c:pt>
                <c:pt idx="9">
                  <c:v>950</c:v>
                </c:pt>
                <c:pt idx="10">
                  <c:v>1050</c:v>
                </c:pt>
                <c:pt idx="11">
                  <c:v>1150</c:v>
                </c:pt>
                <c:pt idx="12">
                  <c:v>1250</c:v>
                </c:pt>
              </c:numCache>
            </c:numRef>
          </c:cat>
          <c:val>
            <c:numRef>
              <c:f>결과!$N$12:$N$24</c:f>
              <c:numCache>
                <c:formatCode>0.00</c:formatCode>
                <c:ptCount val="13"/>
                <c:pt idx="0">
                  <c:v>95.324239424523086</c:v>
                </c:pt>
                <c:pt idx="1">
                  <c:v>99.152109440161894</c:v>
                </c:pt>
                <c:pt idx="2">
                  <c:v>97.243999683510566</c:v>
                </c:pt>
                <c:pt idx="3">
                  <c:v>96.286802851041898</c:v>
                </c:pt>
                <c:pt idx="4">
                  <c:v>96.286802851041898</c:v>
                </c:pt>
                <c:pt idx="5">
                  <c:v>96.286802851041898</c:v>
                </c:pt>
                <c:pt idx="6">
                  <c:v>96.286802851041898</c:v>
                </c:pt>
                <c:pt idx="7">
                  <c:v>94.359263123580774</c:v>
                </c:pt>
                <c:pt idx="8">
                  <c:v>94.359263123580774</c:v>
                </c:pt>
                <c:pt idx="9">
                  <c:v>96.286802851041898</c:v>
                </c:pt>
                <c:pt idx="10">
                  <c:v>96.286802851041898</c:v>
                </c:pt>
                <c:pt idx="11">
                  <c:v>96.286802851041898</c:v>
                </c:pt>
                <c:pt idx="12">
                  <c:v>96.286802851041898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11-4A0F-AA16-40D711E99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ko-KR" altLang="en-US"/>
                  <a:t>위치 </a:t>
                </a:r>
                <a:r>
                  <a:rPr lang="en-US" altLang="ko-KR"/>
                  <a:t>(</a:t>
                </a:r>
                <a:r>
                  <a:rPr lang="en-US"/>
                  <a:t>mm)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ko-KR" altLang="en-US"/>
                  <a:t>두께 </a:t>
                </a:r>
                <a:r>
                  <a:rPr lang="en-US" altLang="ko-KR"/>
                  <a:t>(</a:t>
                </a:r>
                <a:r>
                  <a:rPr lang="en-US"/>
                  <a:t>nm)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ko-KR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15</xdr:col>
      <xdr:colOff>0</xdr:colOff>
      <xdr:row>46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O24"/>
  <sheetViews>
    <sheetView showGridLines="0" workbookViewId="0"/>
  </sheetViews>
  <sheetFormatPr defaultRowHeight="13.8"/>
  <cols>
    <col min="1" max="1" width="8" customWidth="1"/>
    <col min="2" max="2" width="11" customWidth="1"/>
    <col min="3" max="7" width="12" customWidth="1"/>
    <col min="8" max="8" width="18" customWidth="1"/>
    <col min="9" max="13" width="13" customWidth="1"/>
    <col min="14" max="15" width="18" customWidth="1"/>
  </cols>
  <sheetData>
    <row r="2" spans="1:15" ht="24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3" t="s">
        <v>2</v>
      </c>
      <c r="B4" s="4" t="s">
        <v>3</v>
      </c>
      <c r="D4" s="3" t="s">
        <v>4</v>
      </c>
      <c r="E4" s="4" t="s">
        <v>3</v>
      </c>
    </row>
    <row r="5" spans="1:15">
      <c r="A5" s="6" t="s">
        <v>5</v>
      </c>
      <c r="B5" s="8">
        <f>IF(COUNT(G12:G24)=0,"",AVERAGE(G12:G24))</f>
        <v>104.67340532610928</v>
      </c>
      <c r="D5" s="6" t="s">
        <v>5</v>
      </c>
      <c r="E5" s="8">
        <f>IF(COUNT(N12:N24)=0,"",AVERAGE(N12:N24))</f>
        <v>96.210253661822492</v>
      </c>
    </row>
    <row r="6" spans="1:15">
      <c r="A6" s="7" t="s">
        <v>6</v>
      </c>
      <c r="B6" s="9">
        <f>IF(COUNT(G12:G24)=0,"",MIN(G12:G24))</f>
        <v>94.377611113907477</v>
      </c>
      <c r="D6" s="7" t="s">
        <v>6</v>
      </c>
      <c r="E6" s="9">
        <f>IF(COUNT(N12:N24)=0,"",MIN(N12:N24))</f>
        <v>94.359263123580774</v>
      </c>
    </row>
    <row r="7" spans="1:15">
      <c r="A7" s="7" t="s">
        <v>7</v>
      </c>
      <c r="B7" s="9">
        <f>IF(COUNT(G12:G24)=0,"",MAX(G12:G24))</f>
        <v>113.7431807743979</v>
      </c>
      <c r="D7" s="7" t="s">
        <v>7</v>
      </c>
      <c r="E7" s="9">
        <f>IF(COUNT(N12:N24)=0,"",MAX(N12:N24))</f>
        <v>99.152109440161894</v>
      </c>
    </row>
    <row r="8" spans="1:15">
      <c r="A8" s="7" t="s">
        <v>8</v>
      </c>
      <c r="B8" s="9">
        <f>IF(COUNT(G12:G24)=0,"",MAX(G12:G24)-MIN(G12:G24))</f>
        <v>19.365569660490422</v>
      </c>
      <c r="D8" s="7" t="s">
        <v>8</v>
      </c>
      <c r="E8" s="9">
        <f>IF(COUNT(N12:N24)=0,"",MAX(N12:N24)-MIN(N12:N24))</f>
        <v>4.7928463165811195</v>
      </c>
    </row>
    <row r="9" spans="1:15">
      <c r="A9" s="7" t="s">
        <v>9</v>
      </c>
      <c r="B9" s="10">
        <f>IF(COUNT(G12:G24)=0,"",(MAX(G12:G24)-MIN(G12:G24))/(2*AVERAGE(G12:G24)))</f>
        <v>9.2504727443217902E-2</v>
      </c>
      <c r="D9" s="7" t="s">
        <v>9</v>
      </c>
      <c r="E9" s="10">
        <f>IF(COUNT(N12:N24)=0,"",(MAX(N12:N24)-MIN(N12:N24))/(2*AVERAGE(N12:N24)))</f>
        <v>2.4908188754121249E-2</v>
      </c>
    </row>
    <row r="11" spans="1:15" ht="26.4">
      <c r="A11" s="11" t="s">
        <v>10</v>
      </c>
      <c r="B11" s="12" t="s">
        <v>11</v>
      </c>
      <c r="C11" s="12" t="s">
        <v>12</v>
      </c>
      <c r="D11" s="12" t="s">
        <v>13</v>
      </c>
      <c r="E11" s="12" t="s">
        <v>14</v>
      </c>
      <c r="F11" s="12" t="s">
        <v>15</v>
      </c>
      <c r="G11" s="12" t="s">
        <v>16</v>
      </c>
      <c r="H11" s="12" t="s">
        <v>17</v>
      </c>
      <c r="I11" s="12" t="s">
        <v>18</v>
      </c>
      <c r="J11" s="12" t="s">
        <v>19</v>
      </c>
      <c r="K11" s="12" t="s">
        <v>20</v>
      </c>
      <c r="L11" s="12" t="s">
        <v>21</v>
      </c>
      <c r="M11" s="12" t="s">
        <v>22</v>
      </c>
      <c r="N11" s="12" t="s">
        <v>23</v>
      </c>
      <c r="O11" s="13" t="s">
        <v>24</v>
      </c>
    </row>
    <row r="12" spans="1:15">
      <c r="A12" s="14">
        <f>'Nb2O5 입력'!A6</f>
        <v>1</v>
      </c>
      <c r="B12" s="14">
        <f>설정!B16</f>
        <v>50</v>
      </c>
      <c r="C12" s="15">
        <f>'Nb2O5 입력'!AV6</f>
        <v>470</v>
      </c>
      <c r="D12" s="15">
        <f>'Nb2O5 입력'!AX6</f>
        <v>600</v>
      </c>
      <c r="E12" s="15">
        <f>'Nb2O5 입력'!AZ6</f>
        <v>470</v>
      </c>
      <c r="F12" s="16">
        <f>'Nb2O5 입력'!BA6</f>
        <v>2.3664100000000001</v>
      </c>
      <c r="G12" s="17">
        <f>'Nb2O5 입력'!BC6</f>
        <v>99.306544512573893</v>
      </c>
      <c r="H12" s="22" t="str">
        <f>'Nb2O5 입력'!BD6</f>
        <v>완료</v>
      </c>
      <c r="I12" s="15">
        <f>'2층 입력'!AV6</f>
        <v>475</v>
      </c>
      <c r="J12" s="15">
        <f>'2층 입력'!AX6</f>
        <v>550</v>
      </c>
      <c r="K12" s="15">
        <f>'2층 입력'!AZ6</f>
        <v>475</v>
      </c>
      <c r="L12" s="16">
        <f>'2층 입력'!BA6</f>
        <v>1.47085</v>
      </c>
      <c r="M12" s="17">
        <f>'2층 입력'!BB6</f>
        <v>10</v>
      </c>
      <c r="N12" s="17">
        <f>'2층 입력'!BC6</f>
        <v>95.324239424523086</v>
      </c>
      <c r="O12" s="22" t="str">
        <f>'2층 입력'!BD6</f>
        <v>완료</v>
      </c>
    </row>
    <row r="13" spans="1:15">
      <c r="A13" s="18">
        <f>'Nb2O5 입력'!A7</f>
        <v>2</v>
      </c>
      <c r="B13" s="18">
        <f>설정!B17</f>
        <v>150</v>
      </c>
      <c r="C13" s="19">
        <f>'Nb2O5 입력'!AV7</f>
        <v>500</v>
      </c>
      <c r="D13" s="19">
        <f>'Nb2O5 입력'!AX7</f>
        <v>430</v>
      </c>
      <c r="E13" s="19">
        <f>'Nb2O5 입력'!AZ7</f>
        <v>500</v>
      </c>
      <c r="F13" s="20">
        <f>'Nb2O5 입력'!BA7</f>
        <v>2.3456999999999999</v>
      </c>
      <c r="G13" s="21">
        <f>'Nb2O5 입력'!BC7</f>
        <v>106.57799377584517</v>
      </c>
      <c r="H13" s="23" t="str">
        <f>'Nb2O5 입력'!BD7</f>
        <v>완료</v>
      </c>
      <c r="I13" s="19">
        <f>'2층 입력'!AV7</f>
        <v>495</v>
      </c>
      <c r="J13" s="19">
        <f>'2층 입력'!AX7</f>
        <v>430</v>
      </c>
      <c r="K13" s="19">
        <f>'2층 입력'!AZ7</f>
        <v>495</v>
      </c>
      <c r="L13" s="20">
        <f>'2층 입력'!BA7</f>
        <v>1.4702500000000001</v>
      </c>
      <c r="M13" s="21">
        <f>'2층 입력'!BB7</f>
        <v>10</v>
      </c>
      <c r="N13" s="21">
        <f>'2층 입력'!BC7</f>
        <v>99.152109440161894</v>
      </c>
      <c r="O13" s="23" t="str">
        <f>'2층 입력'!BD7</f>
        <v>완료</v>
      </c>
    </row>
    <row r="14" spans="1:15">
      <c r="A14" s="18">
        <f>'Nb2O5 입력'!A8</f>
        <v>3</v>
      </c>
      <c r="B14" s="18">
        <f>설정!B18</f>
        <v>250</v>
      </c>
      <c r="C14" s="19">
        <f>'Nb2O5 입력'!AV8</f>
        <v>510</v>
      </c>
      <c r="D14" s="19">
        <f>'Nb2O5 입력'!AX8</f>
        <v>430</v>
      </c>
      <c r="E14" s="19">
        <f>'Nb2O5 입력'!AZ8</f>
        <v>510</v>
      </c>
      <c r="F14" s="20">
        <f>'Nb2O5 입력'!BA8</f>
        <v>2.33996</v>
      </c>
      <c r="G14" s="21">
        <f>'Nb2O5 입력'!BC8</f>
        <v>108.97622181575753</v>
      </c>
      <c r="H14" s="23" t="str">
        <f>'Nb2O5 입력'!BD8</f>
        <v>완료</v>
      </c>
      <c r="I14" s="19">
        <f>'2층 입력'!AV8</f>
        <v>485</v>
      </c>
      <c r="J14" s="19">
        <f>'2층 입력'!AX8</f>
        <v>430</v>
      </c>
      <c r="K14" s="19">
        <f>'2층 입력'!AZ8</f>
        <v>485</v>
      </c>
      <c r="L14" s="20">
        <f>'2층 입력'!BA8</f>
        <v>1.4705400000000002</v>
      </c>
      <c r="M14" s="21">
        <f>'2층 입력'!BB8</f>
        <v>10</v>
      </c>
      <c r="N14" s="21">
        <f>'2층 입력'!BC8</f>
        <v>97.243999683510566</v>
      </c>
      <c r="O14" s="23" t="str">
        <f>'2층 입력'!BD8</f>
        <v>완료</v>
      </c>
    </row>
    <row r="15" spans="1:15">
      <c r="A15" s="18">
        <f>'Nb2O5 입력'!A9</f>
        <v>4</v>
      </c>
      <c r="B15" s="18">
        <f>설정!B19</f>
        <v>350</v>
      </c>
      <c r="C15" s="19">
        <f>'Nb2O5 입력'!AV9</f>
        <v>520</v>
      </c>
      <c r="D15" s="19">
        <f>'Nb2O5 입력'!AX9</f>
        <v>430</v>
      </c>
      <c r="E15" s="19">
        <f>'Nb2O5 입력'!AZ9</f>
        <v>520</v>
      </c>
      <c r="F15" s="20">
        <f>'Nb2O5 입력'!BA9</f>
        <v>2.3346800000000001</v>
      </c>
      <c r="G15" s="21">
        <f>'Nb2O5 입력'!BC9</f>
        <v>111.36429831925574</v>
      </c>
      <c r="H15" s="23" t="str">
        <f>'Nb2O5 입력'!BD9</f>
        <v>완료</v>
      </c>
      <c r="I15" s="19">
        <f>'2층 입력'!AV9</f>
        <v>480</v>
      </c>
      <c r="J15" s="19">
        <f>'2층 입력'!AX9</f>
        <v>430</v>
      </c>
      <c r="K15" s="19">
        <f>'2층 입력'!AZ9</f>
        <v>480</v>
      </c>
      <c r="L15" s="20">
        <f>'2층 입력'!BA9</f>
        <v>1.4706900000000001</v>
      </c>
      <c r="M15" s="21">
        <f>'2층 입력'!BB9</f>
        <v>10</v>
      </c>
      <c r="N15" s="21">
        <f>'2층 입력'!BC9</f>
        <v>96.286802851041898</v>
      </c>
      <c r="O15" s="23" t="str">
        <f>'2층 입력'!BD9</f>
        <v>완료</v>
      </c>
    </row>
    <row r="16" spans="1:15">
      <c r="A16" s="18">
        <f>'Nb2O5 입력'!A10</f>
        <v>5</v>
      </c>
      <c r="B16" s="18">
        <f>설정!B20</f>
        <v>450</v>
      </c>
      <c r="C16" s="19">
        <f>'Nb2O5 입력'!AV10</f>
        <v>530</v>
      </c>
      <c r="D16" s="19">
        <f>'Nb2O5 입력'!AX10</f>
        <v>430</v>
      </c>
      <c r="E16" s="19">
        <f>'Nb2O5 입력'!AZ10</f>
        <v>530</v>
      </c>
      <c r="F16" s="20">
        <f>'Nb2O5 입력'!BA10</f>
        <v>2.3298100000000002</v>
      </c>
      <c r="G16" s="21">
        <f>'Nb2O5 입력'!BC10</f>
        <v>113.7431807743979</v>
      </c>
      <c r="H16" s="23" t="str">
        <f>'Nb2O5 입력'!BD10</f>
        <v>완료</v>
      </c>
      <c r="I16" s="19">
        <f>'2층 입력'!AV10</f>
        <v>480</v>
      </c>
      <c r="J16" s="19">
        <f>'2층 입력'!AX10</f>
        <v>430</v>
      </c>
      <c r="K16" s="19">
        <f>'2층 입력'!AZ10</f>
        <v>480</v>
      </c>
      <c r="L16" s="20">
        <f>'2층 입력'!BA10</f>
        <v>1.4706900000000001</v>
      </c>
      <c r="M16" s="21">
        <f>'2층 입력'!BB10</f>
        <v>10</v>
      </c>
      <c r="N16" s="21">
        <f>'2층 입력'!BC10</f>
        <v>96.286802851041898</v>
      </c>
      <c r="O16" s="23" t="str">
        <f>'2층 입력'!BD10</f>
        <v>완료</v>
      </c>
    </row>
    <row r="17" spans="1:15">
      <c r="A17" s="18">
        <f>'Nb2O5 입력'!A11</f>
        <v>6</v>
      </c>
      <c r="B17" s="18">
        <f>설정!B21</f>
        <v>550</v>
      </c>
      <c r="C17" s="19">
        <f>'Nb2O5 입력'!AV11</f>
        <v>520</v>
      </c>
      <c r="D17" s="19">
        <f>'Nb2O5 입력'!AX11</f>
        <v>430</v>
      </c>
      <c r="E17" s="19">
        <f>'Nb2O5 입력'!AZ11</f>
        <v>520</v>
      </c>
      <c r="F17" s="20">
        <f>'Nb2O5 입력'!BA11</f>
        <v>2.3346800000000001</v>
      </c>
      <c r="G17" s="21">
        <f>'Nb2O5 입력'!BC11</f>
        <v>111.36429831925574</v>
      </c>
      <c r="H17" s="23" t="str">
        <f>'Nb2O5 입력'!BD11</f>
        <v>완료</v>
      </c>
      <c r="I17" s="19">
        <f>'2층 입력'!AV11</f>
        <v>480</v>
      </c>
      <c r="J17" s="19">
        <f>'2층 입력'!AX11</f>
        <v>430</v>
      </c>
      <c r="K17" s="19">
        <f>'2층 입력'!AZ11</f>
        <v>480</v>
      </c>
      <c r="L17" s="20">
        <f>'2층 입력'!BA11</f>
        <v>1.4706900000000001</v>
      </c>
      <c r="M17" s="21">
        <f>'2층 입력'!BB11</f>
        <v>10</v>
      </c>
      <c r="N17" s="21">
        <f>'2층 입력'!BC11</f>
        <v>96.286802851041898</v>
      </c>
      <c r="O17" s="23" t="str">
        <f>'2층 입력'!BD11</f>
        <v>완료</v>
      </c>
    </row>
    <row r="18" spans="1:15">
      <c r="A18" s="18">
        <f>'Nb2O5 입력'!A12</f>
        <v>7</v>
      </c>
      <c r="B18" s="18">
        <f>설정!B22</f>
        <v>650</v>
      </c>
      <c r="C18" s="19">
        <f>'Nb2O5 입력'!AV12</f>
        <v>520</v>
      </c>
      <c r="D18" s="19">
        <f>'Nb2O5 입력'!AX12</f>
        <v>430</v>
      </c>
      <c r="E18" s="19">
        <f>'Nb2O5 입력'!AZ12</f>
        <v>520</v>
      </c>
      <c r="F18" s="20">
        <f>'Nb2O5 입력'!BA12</f>
        <v>2.3346800000000001</v>
      </c>
      <c r="G18" s="21">
        <f>'Nb2O5 입력'!BC12</f>
        <v>111.36429831925574</v>
      </c>
      <c r="H18" s="23" t="str">
        <f>'Nb2O5 입력'!BD12</f>
        <v>완료</v>
      </c>
      <c r="I18" s="19">
        <f>'2층 입력'!AV12</f>
        <v>480</v>
      </c>
      <c r="J18" s="19">
        <f>'2층 입력'!AX12</f>
        <v>430</v>
      </c>
      <c r="K18" s="19">
        <f>'2층 입력'!AZ12</f>
        <v>480</v>
      </c>
      <c r="L18" s="20">
        <f>'2층 입력'!BA12</f>
        <v>1.4706900000000001</v>
      </c>
      <c r="M18" s="21">
        <f>'2층 입력'!BB12</f>
        <v>10</v>
      </c>
      <c r="N18" s="21">
        <f>'2층 입력'!BC12</f>
        <v>96.286802851041898</v>
      </c>
      <c r="O18" s="23" t="str">
        <f>'2층 입력'!BD12</f>
        <v>완료</v>
      </c>
    </row>
    <row r="19" spans="1:15">
      <c r="A19" s="18">
        <f>'Nb2O5 입력'!A13</f>
        <v>8</v>
      </c>
      <c r="B19" s="18">
        <f>설정!B23</f>
        <v>750</v>
      </c>
      <c r="C19" s="19">
        <f>'Nb2O5 입력'!AV13</f>
        <v>510</v>
      </c>
      <c r="D19" s="19">
        <f>'Nb2O5 입력'!AX13</f>
        <v>430</v>
      </c>
      <c r="E19" s="19">
        <f>'Nb2O5 입력'!AZ13</f>
        <v>510</v>
      </c>
      <c r="F19" s="20">
        <f>'Nb2O5 입력'!BA13</f>
        <v>2.33996</v>
      </c>
      <c r="G19" s="21">
        <f>'Nb2O5 입력'!BC13</f>
        <v>108.97622181575753</v>
      </c>
      <c r="H19" s="23" t="str">
        <f>'Nb2O5 입력'!BD13</f>
        <v>완료</v>
      </c>
      <c r="I19" s="19">
        <f>'2층 입력'!AV13</f>
        <v>470</v>
      </c>
      <c r="J19" s="19">
        <f>'2층 입력'!AX13</f>
        <v>550</v>
      </c>
      <c r="K19" s="19">
        <f>'2층 입력'!AZ13</f>
        <v>470</v>
      </c>
      <c r="L19" s="20">
        <f>'2층 입력'!BA13</f>
        <v>1.4710099999999999</v>
      </c>
      <c r="M19" s="21">
        <f>'2층 입력'!BB13</f>
        <v>10</v>
      </c>
      <c r="N19" s="21">
        <f>'2층 입력'!BC13</f>
        <v>94.359263123580774</v>
      </c>
      <c r="O19" s="23" t="str">
        <f>'2층 입력'!BD13</f>
        <v>완료</v>
      </c>
    </row>
    <row r="20" spans="1:15">
      <c r="A20" s="18">
        <f>'Nb2O5 입력'!A14</f>
        <v>9</v>
      </c>
      <c r="B20" s="18">
        <f>설정!B24</f>
        <v>850</v>
      </c>
      <c r="C20" s="19">
        <f>'Nb2O5 입력'!AV14</f>
        <v>490</v>
      </c>
      <c r="D20" s="19">
        <f>'Nb2O5 입력'!AX14</f>
        <v>600</v>
      </c>
      <c r="E20" s="19">
        <f>'Nb2O5 입력'!AZ14</f>
        <v>490</v>
      </c>
      <c r="F20" s="20">
        <f>'Nb2O5 입력'!BA14</f>
        <v>2.3519800000000002</v>
      </c>
      <c r="G20" s="21">
        <f>'Nb2O5 입력'!BC14</f>
        <v>104.16755244517384</v>
      </c>
      <c r="H20" s="23" t="str">
        <f>'Nb2O5 입력'!BD14</f>
        <v>완료</v>
      </c>
      <c r="I20" s="19">
        <f>'2층 입력'!AV14</f>
        <v>470</v>
      </c>
      <c r="J20" s="19">
        <f>'2층 입력'!AX14</f>
        <v>550</v>
      </c>
      <c r="K20" s="19">
        <f>'2층 입력'!AZ14</f>
        <v>470</v>
      </c>
      <c r="L20" s="20">
        <f>'2층 입력'!BA14</f>
        <v>1.4710099999999999</v>
      </c>
      <c r="M20" s="21">
        <f>'2층 입력'!BB14</f>
        <v>10</v>
      </c>
      <c r="N20" s="21">
        <f>'2층 입력'!BC14</f>
        <v>94.359263123580774</v>
      </c>
      <c r="O20" s="23" t="str">
        <f>'2층 입력'!BD14</f>
        <v>완료</v>
      </c>
    </row>
    <row r="21" spans="1:15">
      <c r="A21" s="18">
        <f>'Nb2O5 입력'!A15</f>
        <v>10</v>
      </c>
      <c r="B21" s="18">
        <f>설정!B25</f>
        <v>950</v>
      </c>
      <c r="C21" s="19">
        <f>'Nb2O5 입력'!AV15</f>
        <v>470</v>
      </c>
      <c r="D21" s="19">
        <f>'Nb2O5 입력'!AX15</f>
        <v>600</v>
      </c>
      <c r="E21" s="19">
        <f>'Nb2O5 입력'!AZ15</f>
        <v>470</v>
      </c>
      <c r="F21" s="20">
        <f>'Nb2O5 입력'!BA15</f>
        <v>2.3664100000000001</v>
      </c>
      <c r="G21" s="21">
        <f>'Nb2O5 입력'!BC15</f>
        <v>99.306544512573893</v>
      </c>
      <c r="H21" s="23" t="str">
        <f>'Nb2O5 입력'!BD15</f>
        <v>완료</v>
      </c>
      <c r="I21" s="19">
        <f>'2층 입력'!AV15</f>
        <v>480</v>
      </c>
      <c r="J21" s="19">
        <f>'2층 입력'!AX15</f>
        <v>430</v>
      </c>
      <c r="K21" s="19">
        <f>'2층 입력'!AZ15</f>
        <v>480</v>
      </c>
      <c r="L21" s="20">
        <f>'2층 입력'!BA15</f>
        <v>1.4706900000000001</v>
      </c>
      <c r="M21" s="21">
        <f>'2층 입력'!BB15</f>
        <v>10</v>
      </c>
      <c r="N21" s="21">
        <f>'2층 입력'!BC15</f>
        <v>96.286802851041898</v>
      </c>
      <c r="O21" s="23" t="str">
        <f>'2층 입력'!BD15</f>
        <v>완료</v>
      </c>
    </row>
    <row r="22" spans="1:15">
      <c r="A22" s="18">
        <f>'Nb2O5 입력'!A16</f>
        <v>11</v>
      </c>
      <c r="B22" s="18">
        <f>설정!B26</f>
        <v>1050</v>
      </c>
      <c r="C22" s="19">
        <f>'Nb2O5 입력'!AV16</f>
        <v>460</v>
      </c>
      <c r="D22" s="19">
        <f>'Nb2O5 입력'!AX16</f>
        <v>600</v>
      </c>
      <c r="E22" s="19">
        <f>'Nb2O5 입력'!AZ16</f>
        <v>460</v>
      </c>
      <c r="F22" s="20">
        <f>'Nb2O5 입력'!BA16</f>
        <v>2.3747600000000002</v>
      </c>
      <c r="G22" s="21">
        <f>'Nb2O5 입력'!BC16</f>
        <v>96.851892401758491</v>
      </c>
      <c r="H22" s="23" t="str">
        <f>'Nb2O5 입력'!BD16</f>
        <v>완료</v>
      </c>
      <c r="I22" s="19">
        <f>'2층 입력'!AV16</f>
        <v>480</v>
      </c>
      <c r="J22" s="19">
        <f>'2층 입력'!AX16</f>
        <v>430</v>
      </c>
      <c r="K22" s="19">
        <f>'2층 입력'!AZ16</f>
        <v>480</v>
      </c>
      <c r="L22" s="20">
        <f>'2층 입력'!BA16</f>
        <v>1.4706900000000001</v>
      </c>
      <c r="M22" s="21">
        <f>'2층 입력'!BB16</f>
        <v>10</v>
      </c>
      <c r="N22" s="21">
        <f>'2층 입력'!BC16</f>
        <v>96.286802851041898</v>
      </c>
      <c r="O22" s="23" t="str">
        <f>'2층 입력'!BD16</f>
        <v>완료</v>
      </c>
    </row>
    <row r="23" spans="1:15">
      <c r="A23" s="18">
        <f>'Nb2O5 입력'!A17</f>
        <v>12</v>
      </c>
      <c r="B23" s="18">
        <f>설정!B27</f>
        <v>1150</v>
      </c>
      <c r="C23" s="19">
        <f>'Nb2O5 입력'!AV17</f>
        <v>450</v>
      </c>
      <c r="D23" s="19">
        <f>'Nb2O5 입력'!AX17</f>
        <v>600</v>
      </c>
      <c r="E23" s="19">
        <f>'Nb2O5 입력'!AZ17</f>
        <v>450</v>
      </c>
      <c r="F23" s="20">
        <f>'Nb2O5 입력'!BA17</f>
        <v>2.3840400000000002</v>
      </c>
      <c r="G23" s="21">
        <f>'Nb2O5 입력'!BC17</f>
        <v>94.377611113907477</v>
      </c>
      <c r="H23" s="23" t="str">
        <f>'Nb2O5 입력'!BD17</f>
        <v>완료</v>
      </c>
      <c r="I23" s="19">
        <f>'2층 입력'!AV17</f>
        <v>480</v>
      </c>
      <c r="J23" s="19">
        <f>'2층 입력'!AX17</f>
        <v>430</v>
      </c>
      <c r="K23" s="19">
        <f>'2층 입력'!AZ17</f>
        <v>480</v>
      </c>
      <c r="L23" s="20">
        <f>'2층 입력'!BA17</f>
        <v>1.4706900000000001</v>
      </c>
      <c r="M23" s="21">
        <f>'2층 입력'!BB17</f>
        <v>10</v>
      </c>
      <c r="N23" s="21">
        <f>'2층 입력'!BC17</f>
        <v>96.286802851041898</v>
      </c>
      <c r="O23" s="23" t="str">
        <f>'2층 입력'!BD17</f>
        <v>완료</v>
      </c>
    </row>
    <row r="24" spans="1:15">
      <c r="A24" s="18">
        <f>'Nb2O5 입력'!A18</f>
        <v>13</v>
      </c>
      <c r="B24" s="18">
        <f>설정!B28</f>
        <v>1250</v>
      </c>
      <c r="C24" s="19">
        <f>'Nb2O5 입력'!AV18</f>
        <v>450</v>
      </c>
      <c r="D24" s="19">
        <f>'Nb2O5 입력'!AX18</f>
        <v>600</v>
      </c>
      <c r="E24" s="19">
        <f>'Nb2O5 입력'!AZ18</f>
        <v>450</v>
      </c>
      <c r="F24" s="20">
        <f>'Nb2O5 입력'!BA18</f>
        <v>2.3840400000000002</v>
      </c>
      <c r="G24" s="21">
        <f>'Nb2O5 입력'!BC18</f>
        <v>94.377611113907477</v>
      </c>
      <c r="H24" s="23" t="str">
        <f>'Nb2O5 입력'!BD18</f>
        <v>완료</v>
      </c>
      <c r="I24" s="19">
        <f>'2층 입력'!AV18</f>
        <v>480</v>
      </c>
      <c r="J24" s="19">
        <f>'2층 입력'!AX18</f>
        <v>430</v>
      </c>
      <c r="K24" s="19">
        <f>'2층 입력'!AZ18</f>
        <v>480</v>
      </c>
      <c r="L24" s="20">
        <f>'2층 입력'!BA18</f>
        <v>1.4706900000000001</v>
      </c>
      <c r="M24" s="21">
        <f>'2층 입력'!BB18</f>
        <v>10</v>
      </c>
      <c r="N24" s="21">
        <f>'2층 입력'!BC18</f>
        <v>96.286802851041898</v>
      </c>
      <c r="O24" s="23" t="str">
        <f>'2층 입력'!BD18</f>
        <v>완료</v>
      </c>
    </row>
  </sheetData>
  <phoneticPr fontId="8" type="noConversion"/>
  <conditionalFormatting sqref="H12:H24">
    <cfRule type="containsText" dxfId="11" priority="1" operator="containsText" text="오류"/>
    <cfRule type="containsText" dxfId="10" priority="3" operator="containsText" text="확인"/>
    <cfRule type="containsText" dxfId="9" priority="5" operator="containsText" text="완료"/>
  </conditionalFormatting>
  <conditionalFormatting sqref="O12:O24">
    <cfRule type="containsText" dxfId="8" priority="6" operator="containsText" text="오류"/>
    <cfRule type="containsText" dxfId="7" priority="8" operator="containsText" text="확인"/>
    <cfRule type="containsText" dxfId="6" priority="10" operator="containsText" text="완료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2:G38"/>
  <sheetViews>
    <sheetView showGridLines="0" workbookViewId="0"/>
  </sheetViews>
  <sheetFormatPr defaultRowHeight="13.8"/>
  <cols>
    <col min="1" max="1" width="18" customWidth="1"/>
    <col min="2" max="2" width="62" customWidth="1"/>
    <col min="3" max="3" width="12" customWidth="1"/>
    <col min="4" max="4" width="54" customWidth="1"/>
    <col min="5" max="7" width="15" customWidth="1"/>
  </cols>
  <sheetData>
    <row r="2" spans="1:7" ht="24" customHeight="1">
      <c r="A2" s="1" t="s">
        <v>25</v>
      </c>
      <c r="B2" s="1"/>
      <c r="C2" s="1"/>
      <c r="D2" s="1"/>
      <c r="E2" s="1"/>
      <c r="F2" s="1"/>
      <c r="G2" s="1"/>
    </row>
    <row r="3" spans="1:7">
      <c r="A3" s="2" t="s">
        <v>26</v>
      </c>
      <c r="B3" s="2"/>
      <c r="C3" s="2"/>
      <c r="D3" s="2"/>
      <c r="E3" s="2"/>
      <c r="F3" s="2"/>
      <c r="G3" s="2"/>
    </row>
    <row r="5" spans="1:7">
      <c r="A5" s="11" t="s">
        <v>27</v>
      </c>
      <c r="B5" s="12" t="s">
        <v>28</v>
      </c>
      <c r="C5" s="12" t="s">
        <v>29</v>
      </c>
      <c r="D5" s="12" t="s">
        <v>30</v>
      </c>
      <c r="E5" s="12" t="s">
        <v>31</v>
      </c>
      <c r="F5" s="12" t="s">
        <v>32</v>
      </c>
      <c r="G5" s="13" t="s">
        <v>33</v>
      </c>
    </row>
    <row r="7" spans="1:7">
      <c r="A7" s="6" t="s">
        <v>2</v>
      </c>
      <c r="B7" s="6" t="s">
        <v>34</v>
      </c>
      <c r="C7" s="26" t="s">
        <v>35</v>
      </c>
      <c r="D7" s="26">
        <v>1</v>
      </c>
      <c r="E7" s="26">
        <v>430</v>
      </c>
      <c r="F7" s="26">
        <v>600</v>
      </c>
      <c r="G7" s="26">
        <v>0</v>
      </c>
    </row>
    <row r="8" spans="1:7">
      <c r="A8" s="7" t="s">
        <v>36</v>
      </c>
      <c r="B8" s="7" t="s">
        <v>37</v>
      </c>
      <c r="C8" s="27" t="s">
        <v>35</v>
      </c>
      <c r="D8" s="27">
        <v>1</v>
      </c>
      <c r="E8" s="28">
        <v>430</v>
      </c>
      <c r="F8" s="28">
        <v>550</v>
      </c>
      <c r="G8" s="27">
        <v>0</v>
      </c>
    </row>
    <row r="10" spans="1:7">
      <c r="A10" s="3" t="s">
        <v>38</v>
      </c>
      <c r="B10" s="29"/>
      <c r="C10" s="29"/>
      <c r="D10" s="29"/>
      <c r="E10" s="29"/>
      <c r="F10" s="29"/>
      <c r="G10" s="4"/>
    </row>
    <row r="11" spans="1:7">
      <c r="A11" s="6" t="s">
        <v>39</v>
      </c>
      <c r="B11" s="30" t="s">
        <v>40</v>
      </c>
    </row>
    <row r="12" spans="1:7" ht="26.4">
      <c r="A12" s="7" t="s">
        <v>36</v>
      </c>
      <c r="B12" s="31" t="s">
        <v>41</v>
      </c>
    </row>
    <row r="13" spans="1:7">
      <c r="A13" s="7" t="s">
        <v>42</v>
      </c>
      <c r="B13" s="31" t="s">
        <v>43</v>
      </c>
    </row>
    <row r="15" spans="1:7" ht="26.4">
      <c r="A15" s="11" t="s">
        <v>10</v>
      </c>
      <c r="B15" s="12" t="s">
        <v>11</v>
      </c>
      <c r="C15" s="13" t="s">
        <v>22</v>
      </c>
      <c r="D15" s="3" t="s">
        <v>44</v>
      </c>
      <c r="E15" s="29"/>
      <c r="F15" s="29"/>
      <c r="G15" s="4"/>
    </row>
    <row r="16" spans="1:7" ht="31.95" customHeight="1">
      <c r="A16" s="14">
        <v>1</v>
      </c>
      <c r="B16" s="32">
        <v>50</v>
      </c>
      <c r="C16" s="33">
        <v>10</v>
      </c>
      <c r="D16" s="36" t="s">
        <v>45</v>
      </c>
      <c r="E16" s="5"/>
      <c r="F16" s="5"/>
      <c r="G16" s="5"/>
    </row>
    <row r="17" spans="1:7" ht="31.95" customHeight="1">
      <c r="A17" s="18">
        <v>2</v>
      </c>
      <c r="B17" s="34">
        <v>150</v>
      </c>
      <c r="C17" s="35">
        <v>10</v>
      </c>
      <c r="D17" s="36" t="s">
        <v>46</v>
      </c>
      <c r="E17" s="5"/>
      <c r="F17" s="5"/>
      <c r="G17" s="5"/>
    </row>
    <row r="18" spans="1:7" ht="31.95" customHeight="1">
      <c r="A18" s="18">
        <v>3</v>
      </c>
      <c r="B18" s="34">
        <v>250</v>
      </c>
      <c r="C18" s="35">
        <v>10</v>
      </c>
      <c r="D18" s="36" t="s">
        <v>47</v>
      </c>
      <c r="E18" s="5"/>
      <c r="F18" s="5"/>
      <c r="G18" s="5"/>
    </row>
    <row r="19" spans="1:7" ht="31.95" customHeight="1">
      <c r="A19" s="18">
        <v>4</v>
      </c>
      <c r="B19" s="34">
        <v>350</v>
      </c>
      <c r="C19" s="35">
        <v>10</v>
      </c>
      <c r="D19" s="36" t="s">
        <v>48</v>
      </c>
      <c r="E19" s="5"/>
      <c r="F19" s="5"/>
      <c r="G19" s="5"/>
    </row>
    <row r="20" spans="1:7" ht="31.95" customHeight="1">
      <c r="A20" s="18">
        <v>5</v>
      </c>
      <c r="B20" s="34">
        <v>450</v>
      </c>
      <c r="C20" s="35">
        <v>10</v>
      </c>
      <c r="D20" s="36" t="s">
        <v>49</v>
      </c>
      <c r="E20" s="5"/>
      <c r="F20" s="5"/>
      <c r="G20" s="5"/>
    </row>
    <row r="21" spans="1:7" ht="31.95" customHeight="1">
      <c r="A21" s="18">
        <v>6</v>
      </c>
      <c r="B21" s="34">
        <v>550</v>
      </c>
      <c r="C21" s="35">
        <v>10</v>
      </c>
      <c r="D21" s="36" t="s">
        <v>50</v>
      </c>
      <c r="E21" s="5"/>
      <c r="F21" s="5"/>
      <c r="G21" s="5"/>
    </row>
    <row r="22" spans="1:7">
      <c r="A22" s="18">
        <v>7</v>
      </c>
      <c r="B22" s="34">
        <v>650</v>
      </c>
      <c r="C22" s="35">
        <v>10</v>
      </c>
    </row>
    <row r="23" spans="1:7">
      <c r="A23" s="18">
        <v>8</v>
      </c>
      <c r="B23" s="34">
        <v>750</v>
      </c>
      <c r="C23" s="35">
        <v>10</v>
      </c>
    </row>
    <row r="24" spans="1:7">
      <c r="A24" s="18">
        <v>9</v>
      </c>
      <c r="B24" s="34">
        <v>850</v>
      </c>
      <c r="C24" s="35">
        <v>10</v>
      </c>
    </row>
    <row r="25" spans="1:7">
      <c r="A25" s="18">
        <v>10</v>
      </c>
      <c r="B25" s="34">
        <v>950</v>
      </c>
      <c r="C25" s="35">
        <v>10</v>
      </c>
    </row>
    <row r="26" spans="1:7">
      <c r="A26" s="18">
        <v>11</v>
      </c>
      <c r="B26" s="34">
        <v>1050</v>
      </c>
      <c r="C26" s="35">
        <v>10</v>
      </c>
    </row>
    <row r="27" spans="1:7">
      <c r="A27" s="18">
        <v>12</v>
      </c>
      <c r="B27" s="34">
        <v>1150</v>
      </c>
      <c r="C27" s="35">
        <v>10</v>
      </c>
    </row>
    <row r="28" spans="1:7">
      <c r="A28" s="18">
        <v>13</v>
      </c>
      <c r="B28" s="34">
        <v>1250</v>
      </c>
      <c r="C28" s="35">
        <v>10</v>
      </c>
    </row>
    <row r="32" spans="1:7">
      <c r="A32" s="3" t="s">
        <v>51</v>
      </c>
      <c r="B32" s="29"/>
      <c r="C32" s="29"/>
      <c r="D32" s="29"/>
      <c r="E32" s="29"/>
      <c r="F32" s="29"/>
      <c r="G32" s="4"/>
    </row>
    <row r="33" spans="1:2" ht="46.05" customHeight="1">
      <c r="A33" s="6" t="s">
        <v>52</v>
      </c>
      <c r="B33" s="30" t="s">
        <v>53</v>
      </c>
    </row>
    <row r="34" spans="1:2" ht="46.05" customHeight="1">
      <c r="A34" s="7" t="s">
        <v>54</v>
      </c>
      <c r="B34" s="31" t="s">
        <v>55</v>
      </c>
    </row>
    <row r="35" spans="1:2" ht="46.05" customHeight="1">
      <c r="A35" s="7" t="s">
        <v>56</v>
      </c>
      <c r="B35" s="31" t="s">
        <v>57</v>
      </c>
    </row>
    <row r="36" spans="1:2" ht="46.05" customHeight="1">
      <c r="A36" s="7" t="s">
        <v>58</v>
      </c>
      <c r="B36" s="31" t="s">
        <v>59</v>
      </c>
    </row>
    <row r="37" spans="1:2" ht="46.05" customHeight="1">
      <c r="A37" s="7" t="s">
        <v>60</v>
      </c>
      <c r="B37" s="31" t="s">
        <v>61</v>
      </c>
    </row>
    <row r="38" spans="1:2" ht="46.05" customHeight="1">
      <c r="A38" s="7" t="s">
        <v>62</v>
      </c>
      <c r="B38" s="31" t="s">
        <v>63</v>
      </c>
    </row>
  </sheetData>
  <phoneticPr fontId="8" type="noConversion"/>
  <dataValidations count="4">
    <dataValidation type="list" sqref="C7" xr:uid="{00000000-0002-0000-0100-000000000000}">
      <formula1>"최소,최대"</formula1>
    </dataValidation>
    <dataValidation type="whole" sqref="D7" xr:uid="{00000000-0002-0000-0100-000001000000}">
      <formula1>1</formula1>
      <formula2>10</formula2>
    </dataValidation>
    <dataValidation type="whole" sqref="G7" xr:uid="{00000000-0002-0000-0100-000003000000}">
      <formula1>0</formula1>
      <formula2>30</formula2>
    </dataValidation>
    <dataValidation type="decimal" sqref="C16:C28" xr:uid="{00000000-0002-0000-0100-000004000000}">
      <formula1>8</formula1>
      <formula2>15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2000000}">
          <x14:formula1>
            <xm:f>굴절률!$A$6:$A$44</xm:f>
          </x14:formula1>
          <xm:sqref>E7:F8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2:CQ20"/>
  <sheetViews>
    <sheetView showGridLines="0" workbookViewId="0">
      <pane xSplit="7" ySplit="5" topLeftCell="AZ6" activePane="bottomRight" state="frozen"/>
      <selection pane="topRight"/>
      <selection pane="bottomLeft"/>
      <selection pane="bottomRight" activeCell="BC6" sqref="BC6"/>
    </sheetView>
  </sheetViews>
  <sheetFormatPr defaultRowHeight="13.8"/>
  <cols>
    <col min="1" max="1" width="8" customWidth="1"/>
    <col min="2" max="2" width="21" customWidth="1"/>
    <col min="3" max="6" width="10" customWidth="1"/>
    <col min="7" max="7" width="12" customWidth="1"/>
    <col min="8" max="46" width="8" customWidth="1"/>
    <col min="47" max="52" width="12" customWidth="1"/>
    <col min="53" max="55" width="14" customWidth="1"/>
    <col min="56" max="56" width="18" customWidth="1"/>
    <col min="57" max="95" width="3" customWidth="1"/>
  </cols>
  <sheetData>
    <row r="2" spans="1:95" ht="24" customHeight="1">
      <c r="A2" s="1" t="s">
        <v>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95">
      <c r="A3" s="2" t="s">
        <v>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5" spans="1:95" ht="26.4">
      <c r="A5" s="11" t="s">
        <v>10</v>
      </c>
      <c r="B5" s="12" t="s">
        <v>66</v>
      </c>
      <c r="C5" s="12" t="s">
        <v>67</v>
      </c>
      <c r="D5" s="12" t="s">
        <v>68</v>
      </c>
      <c r="E5" s="12" t="s">
        <v>69</v>
      </c>
      <c r="F5" s="12" t="s">
        <v>70</v>
      </c>
      <c r="G5" s="12" t="s">
        <v>71</v>
      </c>
      <c r="H5" s="37">
        <v>360</v>
      </c>
      <c r="I5" s="37">
        <v>370</v>
      </c>
      <c r="J5" s="37">
        <v>380</v>
      </c>
      <c r="K5" s="37">
        <v>390</v>
      </c>
      <c r="L5" s="37">
        <v>400</v>
      </c>
      <c r="M5" s="37">
        <v>410</v>
      </c>
      <c r="N5" s="37">
        <v>420</v>
      </c>
      <c r="O5" s="37">
        <v>430</v>
      </c>
      <c r="P5" s="37">
        <v>440</v>
      </c>
      <c r="Q5" s="37">
        <v>450</v>
      </c>
      <c r="R5" s="37">
        <v>460</v>
      </c>
      <c r="S5" s="37">
        <v>470</v>
      </c>
      <c r="T5" s="37">
        <v>480</v>
      </c>
      <c r="U5" s="37">
        <v>490</v>
      </c>
      <c r="V5" s="37">
        <v>500</v>
      </c>
      <c r="W5" s="37">
        <v>510</v>
      </c>
      <c r="X5" s="37">
        <v>520</v>
      </c>
      <c r="Y5" s="37">
        <v>530</v>
      </c>
      <c r="Z5" s="37">
        <v>540</v>
      </c>
      <c r="AA5" s="37">
        <v>550</v>
      </c>
      <c r="AB5" s="37">
        <v>560</v>
      </c>
      <c r="AC5" s="37">
        <v>570</v>
      </c>
      <c r="AD5" s="37">
        <v>580</v>
      </c>
      <c r="AE5" s="37">
        <v>590</v>
      </c>
      <c r="AF5" s="37">
        <v>600</v>
      </c>
      <c r="AG5" s="37">
        <v>610</v>
      </c>
      <c r="AH5" s="37">
        <v>620</v>
      </c>
      <c r="AI5" s="37">
        <v>630</v>
      </c>
      <c r="AJ5" s="37">
        <v>640</v>
      </c>
      <c r="AK5" s="37">
        <v>650</v>
      </c>
      <c r="AL5" s="37">
        <v>660</v>
      </c>
      <c r="AM5" s="37">
        <v>670</v>
      </c>
      <c r="AN5" s="37">
        <v>680</v>
      </c>
      <c r="AO5" s="37">
        <v>690</v>
      </c>
      <c r="AP5" s="37">
        <v>700</v>
      </c>
      <c r="AQ5" s="37">
        <v>710</v>
      </c>
      <c r="AR5" s="37">
        <v>720</v>
      </c>
      <c r="AS5" s="37">
        <v>730</v>
      </c>
      <c r="AT5" s="37">
        <v>740</v>
      </c>
      <c r="AU5" s="12" t="s">
        <v>72</v>
      </c>
      <c r="AV5" s="12" t="s">
        <v>73</v>
      </c>
      <c r="AW5" s="12" t="s">
        <v>74</v>
      </c>
      <c r="AX5" s="12" t="s">
        <v>75</v>
      </c>
      <c r="AY5" s="12" t="s">
        <v>76</v>
      </c>
      <c r="AZ5" s="12" t="s">
        <v>77</v>
      </c>
      <c r="BA5" s="12" t="s">
        <v>78</v>
      </c>
      <c r="BB5" s="12" t="s">
        <v>79</v>
      </c>
      <c r="BC5" s="12" t="s">
        <v>80</v>
      </c>
      <c r="BD5" s="13" t="s">
        <v>81</v>
      </c>
      <c r="BE5" s="40">
        <v>360</v>
      </c>
      <c r="BF5" s="40">
        <v>370</v>
      </c>
      <c r="BG5" s="40">
        <v>380</v>
      </c>
      <c r="BH5" s="40">
        <v>390</v>
      </c>
      <c r="BI5" s="40">
        <v>400</v>
      </c>
      <c r="BJ5" s="40">
        <v>410</v>
      </c>
      <c r="BK5" s="40">
        <v>420</v>
      </c>
      <c r="BL5" s="40">
        <v>430</v>
      </c>
      <c r="BM5" s="40">
        <v>440</v>
      </c>
      <c r="BN5" s="40">
        <v>450</v>
      </c>
      <c r="BO5" s="40">
        <v>460</v>
      </c>
      <c r="BP5" s="40">
        <v>470</v>
      </c>
      <c r="BQ5" s="40">
        <v>480</v>
      </c>
      <c r="BR5" s="40">
        <v>490</v>
      </c>
      <c r="BS5" s="40">
        <v>500</v>
      </c>
      <c r="BT5" s="40">
        <v>510</v>
      </c>
      <c r="BU5" s="40">
        <v>520</v>
      </c>
      <c r="BV5" s="40">
        <v>530</v>
      </c>
      <c r="BW5" s="40">
        <v>540</v>
      </c>
      <c r="BX5" s="40">
        <v>550</v>
      </c>
      <c r="BY5" s="40">
        <v>560</v>
      </c>
      <c r="BZ5" s="40">
        <v>570</v>
      </c>
      <c r="CA5" s="40">
        <v>580</v>
      </c>
      <c r="CB5" s="40">
        <v>590</v>
      </c>
      <c r="CC5" s="40">
        <v>600</v>
      </c>
      <c r="CD5" s="40">
        <v>610</v>
      </c>
      <c r="CE5" s="40">
        <v>620</v>
      </c>
      <c r="CF5" s="40">
        <v>630</v>
      </c>
      <c r="CG5" s="40">
        <v>640</v>
      </c>
      <c r="CH5" s="40">
        <v>650</v>
      </c>
      <c r="CI5" s="40">
        <v>660</v>
      </c>
      <c r="CJ5" s="40">
        <v>670</v>
      </c>
      <c r="CK5" s="40">
        <v>680</v>
      </c>
      <c r="CL5" s="40">
        <v>690</v>
      </c>
      <c r="CM5" s="40">
        <v>700</v>
      </c>
      <c r="CN5" s="40">
        <v>710</v>
      </c>
      <c r="CO5" s="40">
        <v>720</v>
      </c>
      <c r="CP5" s="40">
        <v>730</v>
      </c>
      <c r="CQ5" s="40">
        <v>740</v>
      </c>
    </row>
    <row r="6" spans="1:95" ht="19.95" customHeight="1">
      <c r="A6" s="26">
        <v>1</v>
      </c>
      <c r="B6" s="24" t="s">
        <v>82</v>
      </c>
      <c r="C6" s="38">
        <v>49.66</v>
      </c>
      <c r="D6" s="38">
        <v>9.32</v>
      </c>
      <c r="E6" s="38">
        <v>9.15</v>
      </c>
      <c r="F6" s="38">
        <v>18.14</v>
      </c>
      <c r="G6" s="24" t="s">
        <v>83</v>
      </c>
      <c r="H6" s="38">
        <v>36.64</v>
      </c>
      <c r="I6" s="38">
        <v>33.94</v>
      </c>
      <c r="J6" s="38">
        <v>30.67</v>
      </c>
      <c r="K6" s="38">
        <v>27.27</v>
      </c>
      <c r="L6" s="38">
        <v>23.93</v>
      </c>
      <c r="M6" s="38">
        <v>20.79</v>
      </c>
      <c r="N6" s="38">
        <v>18.059999999999999</v>
      </c>
      <c r="O6" s="38">
        <v>15.96</v>
      </c>
      <c r="P6" s="38">
        <v>14.28</v>
      </c>
      <c r="Q6" s="38">
        <v>13.24</v>
      </c>
      <c r="R6" s="38">
        <v>12.54</v>
      </c>
      <c r="S6" s="38">
        <v>12.34</v>
      </c>
      <c r="T6" s="38">
        <v>12.48</v>
      </c>
      <c r="U6" s="38">
        <v>12.85</v>
      </c>
      <c r="V6" s="38">
        <v>13.51</v>
      </c>
      <c r="W6" s="38">
        <v>14.22</v>
      </c>
      <c r="X6" s="38">
        <v>15.1</v>
      </c>
      <c r="Y6" s="38">
        <v>15.99</v>
      </c>
      <c r="Z6" s="38">
        <v>16.97</v>
      </c>
      <c r="AA6" s="38">
        <v>17.899999999999999</v>
      </c>
      <c r="AB6" s="38">
        <v>18.86</v>
      </c>
      <c r="AC6" s="38">
        <v>19.78</v>
      </c>
      <c r="AD6" s="38">
        <v>20.64</v>
      </c>
      <c r="AE6" s="38">
        <v>21.49</v>
      </c>
      <c r="AF6" s="38">
        <v>22.28</v>
      </c>
      <c r="AG6" s="38">
        <v>23.02</v>
      </c>
      <c r="AH6" s="38">
        <v>23.73</v>
      </c>
      <c r="AI6" s="38">
        <v>24.33</v>
      </c>
      <c r="AJ6" s="38">
        <v>24.97</v>
      </c>
      <c r="AK6" s="38">
        <v>25.46</v>
      </c>
      <c r="AL6" s="38">
        <v>26</v>
      </c>
      <c r="AM6" s="38">
        <v>26.47</v>
      </c>
      <c r="AN6" s="38">
        <v>26.86</v>
      </c>
      <c r="AO6" s="38">
        <v>27.24</v>
      </c>
      <c r="AP6" s="38">
        <v>27.6</v>
      </c>
      <c r="AQ6" s="38">
        <v>27.91</v>
      </c>
      <c r="AR6" s="38">
        <v>28.11</v>
      </c>
      <c r="AS6" s="38">
        <v>28.44</v>
      </c>
      <c r="AT6" s="38">
        <v>28.64</v>
      </c>
      <c r="AU6" s="17">
        <f>IF(OR(설정!$E$7&gt;설정!$F$7,COUNT(H6:AT6)=0),"",MIN(BE6:CQ6))</f>
        <v>12.34</v>
      </c>
      <c r="AV6" s="17">
        <f t="shared" ref="AV6:AV18" si="0">IF(AU6="","",SUMIFS($BE$5:$CQ$5,BE6:CQ6,AU6)/COUNTIFS(BE6:CQ6,AU6))</f>
        <v>470</v>
      </c>
      <c r="AW6" s="17">
        <f>IF(OR(설정!$E$7&gt;설정!$F$7,COUNT(H6:AT6)=0),"",MAX(BE6:CQ6))</f>
        <v>22.28</v>
      </c>
      <c r="AX6" s="17">
        <f t="shared" ref="AX6:AX18" si="1">IF(AW6="","",SUMIFS($BE$5:$CQ$5,BE6:CQ6,AW6)/COUNTIFS(BE6:CQ6,AW6))</f>
        <v>600</v>
      </c>
      <c r="AY6" s="33"/>
      <c r="AZ6" s="15">
        <f>IF(AY6&lt;&gt;"",AY6,IF(설정!$C$7="최소",AV6,AX6))</f>
        <v>470</v>
      </c>
      <c r="BA6" s="16">
        <f>IF(AZ6="","",IF(OR(AZ6&lt;굴절률!$A$6,AZ6&gt;굴절률!$A$44),"",IF(COUNTIFS(굴절률!$A$6:$A$44,AZ6)&gt;0,INDEX(굴절률!$C$6:$C$44,MATCH(AZ6,굴절률!$A$6:$A$44,0)),INDEX(굴절률!$C$6:$C$44,MATCH(AZ6,굴절률!$A$6:$A$44,1))+(AZ6-INDEX(굴절률!$A$6:$A$44,MATCH(AZ6,굴절률!$A$6:$A$44,1)))*(INDEX(굴절률!$C$6:$C$44,MATCH(AZ6,굴절률!$A$6:$A$44,1)+1)-INDEX(굴절률!$C$6:$C$44,MATCH(AZ6,굴절률!$A$6:$A$44,1)))/(INDEX(굴절률!$A$6:$A$44,MATCH(AZ6,굴절률!$A$6:$A$44,1)+1)-INDEX(굴절률!$A$6:$A$44,MATCH(AZ6,굴절률!$A$6:$A$44,1))))))</f>
        <v>2.3664100000000001</v>
      </c>
      <c r="BB6" s="16">
        <f>IF(BA6="","",COS(ASIN(SIN(RADIANS(설정!$G$7))/BA6)))</f>
        <v>1</v>
      </c>
      <c r="BC6" s="17">
        <f>IF(OR(AZ6="",BA6="",BB6=""),"",IF(설정!$C$7="최소",설정!$D$7*AZ6/(2*BA6*BB6),(2*설정!$D$7-1)*AZ6/(4*BA6*BB6)))</f>
        <v>99.306544512573893</v>
      </c>
      <c r="BD6" s="22" t="str">
        <f>IF(COUNT(H6:AT6)=0,"입력 필요",IF(COUNT(H6:AT6)&lt;&gt;39,"데이터 점검",IF(OR(설정!$E$7&gt;설정!$F$7,설정!$E$7&lt;360,설정!$F$7&gt;740),"검색 범위 오류",IF(AY6&lt;&gt;"","수동 파장",IF(OR(AZ6=설정!$E$7,AZ6=설정!$F$7),"경계 극값 확인","완료")))))</f>
        <v>완료</v>
      </c>
      <c r="BE6" s="40" t="str">
        <f>IF(AND(BE$5&gt;=설정!$E$7,BE$5&lt;=설정!$F$7),H6,"")</f>
        <v/>
      </c>
      <c r="BF6" s="40" t="str">
        <f>IF(AND(BF$5&gt;=설정!$E$7,BF$5&lt;=설정!$F$7),I6,"")</f>
        <v/>
      </c>
      <c r="BG6" s="40" t="str">
        <f>IF(AND(BG$5&gt;=설정!$E$7,BG$5&lt;=설정!$F$7),J6,"")</f>
        <v/>
      </c>
      <c r="BH6" s="40" t="str">
        <f>IF(AND(BH$5&gt;=설정!$E$7,BH$5&lt;=설정!$F$7),K6,"")</f>
        <v/>
      </c>
      <c r="BI6" s="40" t="str">
        <f>IF(AND(BI$5&gt;=설정!$E$7,BI$5&lt;=설정!$F$7),L6,"")</f>
        <v/>
      </c>
      <c r="BJ6" s="40" t="str">
        <f>IF(AND(BJ$5&gt;=설정!$E$7,BJ$5&lt;=설정!$F$7),M6,"")</f>
        <v/>
      </c>
      <c r="BK6" s="40" t="str">
        <f>IF(AND(BK$5&gt;=설정!$E$7,BK$5&lt;=설정!$F$7),N6,"")</f>
        <v/>
      </c>
      <c r="BL6" s="40">
        <f>IF(AND(BL$5&gt;=설정!$E$7,BL$5&lt;=설정!$F$7),O6,"")</f>
        <v>15.96</v>
      </c>
      <c r="BM6" s="40">
        <f>IF(AND(BM$5&gt;=설정!$E$7,BM$5&lt;=설정!$F$7),P6,"")</f>
        <v>14.28</v>
      </c>
      <c r="BN6" s="40">
        <f>IF(AND(BN$5&gt;=설정!$E$7,BN$5&lt;=설정!$F$7),Q6,"")</f>
        <v>13.24</v>
      </c>
      <c r="BO6" s="40">
        <f>IF(AND(BO$5&gt;=설정!$E$7,BO$5&lt;=설정!$F$7),R6,"")</f>
        <v>12.54</v>
      </c>
      <c r="BP6" s="40">
        <f>IF(AND(BP$5&gt;=설정!$E$7,BP$5&lt;=설정!$F$7),S6,"")</f>
        <v>12.34</v>
      </c>
      <c r="BQ6" s="40">
        <f>IF(AND(BQ$5&gt;=설정!$E$7,BQ$5&lt;=설정!$F$7),T6,"")</f>
        <v>12.48</v>
      </c>
      <c r="BR6" s="40">
        <f>IF(AND(BR$5&gt;=설정!$E$7,BR$5&lt;=설정!$F$7),U6,"")</f>
        <v>12.85</v>
      </c>
      <c r="BS6" s="40">
        <f>IF(AND(BS$5&gt;=설정!$E$7,BS$5&lt;=설정!$F$7),V6,"")</f>
        <v>13.51</v>
      </c>
      <c r="BT6" s="40">
        <f>IF(AND(BT$5&gt;=설정!$E$7,BT$5&lt;=설정!$F$7),W6,"")</f>
        <v>14.22</v>
      </c>
      <c r="BU6" s="40">
        <f>IF(AND(BU$5&gt;=설정!$E$7,BU$5&lt;=설정!$F$7),X6,"")</f>
        <v>15.1</v>
      </c>
      <c r="BV6" s="40">
        <f>IF(AND(BV$5&gt;=설정!$E$7,BV$5&lt;=설정!$F$7),Y6,"")</f>
        <v>15.99</v>
      </c>
      <c r="BW6" s="40">
        <f>IF(AND(BW$5&gt;=설정!$E$7,BW$5&lt;=설정!$F$7),Z6,"")</f>
        <v>16.97</v>
      </c>
      <c r="BX6" s="40">
        <f>IF(AND(BX$5&gt;=설정!$E$7,BX$5&lt;=설정!$F$7),AA6,"")</f>
        <v>17.899999999999999</v>
      </c>
      <c r="BY6" s="40">
        <f>IF(AND(BY$5&gt;=설정!$E$7,BY$5&lt;=설정!$F$7),AB6,"")</f>
        <v>18.86</v>
      </c>
      <c r="BZ6" s="40">
        <f>IF(AND(BZ$5&gt;=설정!$E$7,BZ$5&lt;=설정!$F$7),AC6,"")</f>
        <v>19.78</v>
      </c>
      <c r="CA6" s="40">
        <f>IF(AND(CA$5&gt;=설정!$E$7,CA$5&lt;=설정!$F$7),AD6,"")</f>
        <v>20.64</v>
      </c>
      <c r="CB6" s="40">
        <f>IF(AND(CB$5&gt;=설정!$E$7,CB$5&lt;=설정!$F$7),AE6,"")</f>
        <v>21.49</v>
      </c>
      <c r="CC6" s="40">
        <f>IF(AND(CC$5&gt;=설정!$E$7,CC$5&lt;=설정!$F$7),AF6,"")</f>
        <v>22.28</v>
      </c>
      <c r="CD6" s="40" t="str">
        <f>IF(AND(CD$5&gt;=설정!$E$7,CD$5&lt;=설정!$F$7),AG6,"")</f>
        <v/>
      </c>
      <c r="CE6" s="40" t="str">
        <f>IF(AND(CE$5&gt;=설정!$E$7,CE$5&lt;=설정!$F$7),AH6,"")</f>
        <v/>
      </c>
      <c r="CF6" s="40" t="str">
        <f>IF(AND(CF$5&gt;=설정!$E$7,CF$5&lt;=설정!$F$7),AI6,"")</f>
        <v/>
      </c>
      <c r="CG6" s="40" t="str">
        <f>IF(AND(CG$5&gt;=설정!$E$7,CG$5&lt;=설정!$F$7),AJ6,"")</f>
        <v/>
      </c>
      <c r="CH6" s="40" t="str">
        <f>IF(AND(CH$5&gt;=설정!$E$7,CH$5&lt;=설정!$F$7),AK6,"")</f>
        <v/>
      </c>
      <c r="CI6" s="40" t="str">
        <f>IF(AND(CI$5&gt;=설정!$E$7,CI$5&lt;=설정!$F$7),AL6,"")</f>
        <v/>
      </c>
      <c r="CJ6" s="40" t="str">
        <f>IF(AND(CJ$5&gt;=설정!$E$7,CJ$5&lt;=설정!$F$7),AM6,"")</f>
        <v/>
      </c>
      <c r="CK6" s="40" t="str">
        <f>IF(AND(CK$5&gt;=설정!$E$7,CK$5&lt;=설정!$F$7),AN6,"")</f>
        <v/>
      </c>
      <c r="CL6" s="40" t="str">
        <f>IF(AND(CL$5&gt;=설정!$E$7,CL$5&lt;=설정!$F$7),AO6,"")</f>
        <v/>
      </c>
      <c r="CM6" s="40" t="str">
        <f>IF(AND(CM$5&gt;=설정!$E$7,CM$5&lt;=설정!$F$7),AP6,"")</f>
        <v/>
      </c>
      <c r="CN6" s="40" t="str">
        <f>IF(AND(CN$5&gt;=설정!$E$7,CN$5&lt;=설정!$F$7),AQ6,"")</f>
        <v/>
      </c>
      <c r="CO6" s="40" t="str">
        <f>IF(AND(CO$5&gt;=설정!$E$7,CO$5&lt;=설정!$F$7),AR6,"")</f>
        <v/>
      </c>
      <c r="CP6" s="40" t="str">
        <f>IF(AND(CP$5&gt;=설정!$E$7,CP$5&lt;=설정!$F$7),AS6,"")</f>
        <v/>
      </c>
      <c r="CQ6" s="40" t="str">
        <f>IF(AND(CQ$5&gt;=설정!$E$7,CQ$5&lt;=설정!$F$7),AT6,"")</f>
        <v/>
      </c>
    </row>
    <row r="7" spans="1:95" ht="19.95" customHeight="1">
      <c r="A7" s="28">
        <v>2</v>
      </c>
      <c r="B7" s="25" t="s">
        <v>84</v>
      </c>
      <c r="C7" s="39">
        <v>46.46</v>
      </c>
      <c r="D7" s="39">
        <v>13.28</v>
      </c>
      <c r="E7" s="39">
        <v>-3.63</v>
      </c>
      <c r="F7" s="39">
        <v>15.61</v>
      </c>
      <c r="G7" s="25" t="s">
        <v>83</v>
      </c>
      <c r="H7" s="39">
        <v>36.619999999999997</v>
      </c>
      <c r="I7" s="39">
        <v>36.53</v>
      </c>
      <c r="J7" s="39">
        <v>34.909999999999997</v>
      </c>
      <c r="K7" s="39">
        <v>32.6</v>
      </c>
      <c r="L7" s="39">
        <v>29.85</v>
      </c>
      <c r="M7" s="39">
        <v>26.9</v>
      </c>
      <c r="N7" s="39">
        <v>23.96</v>
      </c>
      <c r="O7" s="39">
        <v>21.23</v>
      </c>
      <c r="P7" s="39">
        <v>18.7</v>
      </c>
      <c r="Q7" s="39">
        <v>16.809999999999999</v>
      </c>
      <c r="R7" s="39">
        <v>15.03</v>
      </c>
      <c r="S7" s="39">
        <v>13.78</v>
      </c>
      <c r="T7" s="39">
        <v>12.94</v>
      </c>
      <c r="U7" s="39">
        <v>12.46</v>
      </c>
      <c r="V7" s="39">
        <v>12.32</v>
      </c>
      <c r="W7" s="39">
        <v>12.39</v>
      </c>
      <c r="X7" s="39">
        <v>12.73</v>
      </c>
      <c r="Y7" s="39">
        <v>13.24</v>
      </c>
      <c r="Z7" s="39">
        <v>13.9</v>
      </c>
      <c r="AA7" s="39">
        <v>14.61</v>
      </c>
      <c r="AB7" s="39">
        <v>15.44</v>
      </c>
      <c r="AC7" s="39">
        <v>16.3</v>
      </c>
      <c r="AD7" s="39">
        <v>17.16</v>
      </c>
      <c r="AE7" s="39">
        <v>18</v>
      </c>
      <c r="AF7" s="39">
        <v>18.86</v>
      </c>
      <c r="AG7" s="39">
        <v>19.690000000000001</v>
      </c>
      <c r="AH7" s="39">
        <v>20.5</v>
      </c>
      <c r="AI7" s="39">
        <v>21.21</v>
      </c>
      <c r="AJ7" s="39">
        <v>21.97</v>
      </c>
      <c r="AK7" s="39">
        <v>22.63</v>
      </c>
      <c r="AL7" s="39">
        <v>23.28</v>
      </c>
      <c r="AM7" s="39">
        <v>23.85</v>
      </c>
      <c r="AN7" s="39">
        <v>24.45</v>
      </c>
      <c r="AO7" s="39">
        <v>24.96</v>
      </c>
      <c r="AP7" s="39">
        <v>25.44</v>
      </c>
      <c r="AQ7" s="39">
        <v>25.89</v>
      </c>
      <c r="AR7" s="39">
        <v>26.19</v>
      </c>
      <c r="AS7" s="39">
        <v>26.64</v>
      </c>
      <c r="AT7" s="39">
        <v>27.02</v>
      </c>
      <c r="AU7" s="21">
        <f>IF(OR(설정!$E$7&gt;설정!$F$7,COUNT(H7:AT7)=0),"",MIN(BE7:CQ7))</f>
        <v>12.32</v>
      </c>
      <c r="AV7" s="21">
        <f t="shared" si="0"/>
        <v>500</v>
      </c>
      <c r="AW7" s="21">
        <f>IF(OR(설정!$E$7&gt;설정!$F$7,COUNT(H7:AT7)=0),"",MAX(BE7:CQ7))</f>
        <v>21.23</v>
      </c>
      <c r="AX7" s="21">
        <f t="shared" si="1"/>
        <v>430</v>
      </c>
      <c r="AY7" s="35"/>
      <c r="AZ7" s="19">
        <f>IF(AY7&lt;&gt;"",AY7,IF(설정!$C$7="최소",AV7,AX7))</f>
        <v>500</v>
      </c>
      <c r="BA7" s="20">
        <f>IF(AZ7="","",IF(OR(AZ7&lt;굴절률!$A$6,AZ7&gt;굴절률!$A$44),"",IF(COUNTIFS(굴절률!$A$6:$A$44,AZ7)&gt;0,INDEX(굴절률!$C$6:$C$44,MATCH(AZ7,굴절률!$A$6:$A$44,0)),INDEX(굴절률!$C$6:$C$44,MATCH(AZ7,굴절률!$A$6:$A$44,1))+(AZ7-INDEX(굴절률!$A$6:$A$44,MATCH(AZ7,굴절률!$A$6:$A$44,1)))*(INDEX(굴절률!$C$6:$C$44,MATCH(AZ7,굴절률!$A$6:$A$44,1)+1)-INDEX(굴절률!$C$6:$C$44,MATCH(AZ7,굴절률!$A$6:$A$44,1)))/(INDEX(굴절률!$A$6:$A$44,MATCH(AZ7,굴절률!$A$6:$A$44,1)+1)-INDEX(굴절률!$A$6:$A$44,MATCH(AZ7,굴절률!$A$6:$A$44,1))))))</f>
        <v>2.3456999999999999</v>
      </c>
      <c r="BB7" s="20">
        <f>IF(BA7="","",COS(ASIN(SIN(RADIANS(설정!$G$7))/BA7)))</f>
        <v>1</v>
      </c>
      <c r="BC7" s="21">
        <f>IF(OR(AZ7="",BA7="",BB7=""),"",IF(설정!$C$7="최소",설정!$D$7*AZ7/(2*BA7*BB7),(2*설정!$D$7-1)*AZ7/(4*BA7*BB7)))</f>
        <v>106.57799377584517</v>
      </c>
      <c r="BD7" s="23" t="str">
        <f>IF(COUNT(H7:AT7)=0,"입력 필요",IF(COUNT(H7:AT7)&lt;&gt;39,"데이터 점검",IF(OR(설정!$E$7&gt;설정!$F$7,설정!$E$7&lt;360,설정!$F$7&gt;740),"검색 범위 오류",IF(AY7&lt;&gt;"","수동 파장",IF(OR(AZ7=설정!$E$7,AZ7=설정!$F$7),"경계 극값 확인","완료")))))</f>
        <v>완료</v>
      </c>
      <c r="BE7" s="40" t="str">
        <f>IF(AND(BE$5&gt;=설정!$E$7,BE$5&lt;=설정!$F$7),H7,"")</f>
        <v/>
      </c>
      <c r="BF7" s="40" t="str">
        <f>IF(AND(BF$5&gt;=설정!$E$7,BF$5&lt;=설정!$F$7),I7,"")</f>
        <v/>
      </c>
      <c r="BG7" s="40" t="str">
        <f>IF(AND(BG$5&gt;=설정!$E$7,BG$5&lt;=설정!$F$7),J7,"")</f>
        <v/>
      </c>
      <c r="BH7" s="40" t="str">
        <f>IF(AND(BH$5&gt;=설정!$E$7,BH$5&lt;=설정!$F$7),K7,"")</f>
        <v/>
      </c>
      <c r="BI7" s="40" t="str">
        <f>IF(AND(BI$5&gt;=설정!$E$7,BI$5&lt;=설정!$F$7),L7,"")</f>
        <v/>
      </c>
      <c r="BJ7" s="40" t="str">
        <f>IF(AND(BJ$5&gt;=설정!$E$7,BJ$5&lt;=설정!$F$7),M7,"")</f>
        <v/>
      </c>
      <c r="BK7" s="40" t="str">
        <f>IF(AND(BK$5&gt;=설정!$E$7,BK$5&lt;=설정!$F$7),N7,"")</f>
        <v/>
      </c>
      <c r="BL7" s="40">
        <f>IF(AND(BL$5&gt;=설정!$E$7,BL$5&lt;=설정!$F$7),O7,"")</f>
        <v>21.23</v>
      </c>
      <c r="BM7" s="40">
        <f>IF(AND(BM$5&gt;=설정!$E$7,BM$5&lt;=설정!$F$7),P7,"")</f>
        <v>18.7</v>
      </c>
      <c r="BN7" s="40">
        <f>IF(AND(BN$5&gt;=설정!$E$7,BN$5&lt;=설정!$F$7),Q7,"")</f>
        <v>16.809999999999999</v>
      </c>
      <c r="BO7" s="40">
        <f>IF(AND(BO$5&gt;=설정!$E$7,BO$5&lt;=설정!$F$7),R7,"")</f>
        <v>15.03</v>
      </c>
      <c r="BP7" s="40">
        <f>IF(AND(BP$5&gt;=설정!$E$7,BP$5&lt;=설정!$F$7),S7,"")</f>
        <v>13.78</v>
      </c>
      <c r="BQ7" s="40">
        <f>IF(AND(BQ$5&gt;=설정!$E$7,BQ$5&lt;=설정!$F$7),T7,"")</f>
        <v>12.94</v>
      </c>
      <c r="BR7" s="40">
        <f>IF(AND(BR$5&gt;=설정!$E$7,BR$5&lt;=설정!$F$7),U7,"")</f>
        <v>12.46</v>
      </c>
      <c r="BS7" s="40">
        <f>IF(AND(BS$5&gt;=설정!$E$7,BS$5&lt;=설정!$F$7),V7,"")</f>
        <v>12.32</v>
      </c>
      <c r="BT7" s="40">
        <f>IF(AND(BT$5&gt;=설정!$E$7,BT$5&lt;=설정!$F$7),W7,"")</f>
        <v>12.39</v>
      </c>
      <c r="BU7" s="40">
        <f>IF(AND(BU$5&gt;=설정!$E$7,BU$5&lt;=설정!$F$7),X7,"")</f>
        <v>12.73</v>
      </c>
      <c r="BV7" s="40">
        <f>IF(AND(BV$5&gt;=설정!$E$7,BV$5&lt;=설정!$F$7),Y7,"")</f>
        <v>13.24</v>
      </c>
      <c r="BW7" s="40">
        <f>IF(AND(BW$5&gt;=설정!$E$7,BW$5&lt;=설정!$F$7),Z7,"")</f>
        <v>13.9</v>
      </c>
      <c r="BX7" s="40">
        <f>IF(AND(BX$5&gt;=설정!$E$7,BX$5&lt;=설정!$F$7),AA7,"")</f>
        <v>14.61</v>
      </c>
      <c r="BY7" s="40">
        <f>IF(AND(BY$5&gt;=설정!$E$7,BY$5&lt;=설정!$F$7),AB7,"")</f>
        <v>15.44</v>
      </c>
      <c r="BZ7" s="40">
        <f>IF(AND(BZ$5&gt;=설정!$E$7,BZ$5&lt;=설정!$F$7),AC7,"")</f>
        <v>16.3</v>
      </c>
      <c r="CA7" s="40">
        <f>IF(AND(CA$5&gt;=설정!$E$7,CA$5&lt;=설정!$F$7),AD7,"")</f>
        <v>17.16</v>
      </c>
      <c r="CB7" s="40">
        <f>IF(AND(CB$5&gt;=설정!$E$7,CB$5&lt;=설정!$F$7),AE7,"")</f>
        <v>18</v>
      </c>
      <c r="CC7" s="40">
        <f>IF(AND(CC$5&gt;=설정!$E$7,CC$5&lt;=설정!$F$7),AF7,"")</f>
        <v>18.86</v>
      </c>
      <c r="CD7" s="40" t="str">
        <f>IF(AND(CD$5&gt;=설정!$E$7,CD$5&lt;=설정!$F$7),AG7,"")</f>
        <v/>
      </c>
      <c r="CE7" s="40" t="str">
        <f>IF(AND(CE$5&gt;=설정!$E$7,CE$5&lt;=설정!$F$7),AH7,"")</f>
        <v/>
      </c>
      <c r="CF7" s="40" t="str">
        <f>IF(AND(CF$5&gt;=설정!$E$7,CF$5&lt;=설정!$F$7),AI7,"")</f>
        <v/>
      </c>
      <c r="CG7" s="40" t="str">
        <f>IF(AND(CG$5&gt;=설정!$E$7,CG$5&lt;=설정!$F$7),AJ7,"")</f>
        <v/>
      </c>
      <c r="CH7" s="40" t="str">
        <f>IF(AND(CH$5&gt;=설정!$E$7,CH$5&lt;=설정!$F$7),AK7,"")</f>
        <v/>
      </c>
      <c r="CI7" s="40" t="str">
        <f>IF(AND(CI$5&gt;=설정!$E$7,CI$5&lt;=설정!$F$7),AL7,"")</f>
        <v/>
      </c>
      <c r="CJ7" s="40" t="str">
        <f>IF(AND(CJ$5&gt;=설정!$E$7,CJ$5&lt;=설정!$F$7),AM7,"")</f>
        <v/>
      </c>
      <c r="CK7" s="40" t="str">
        <f>IF(AND(CK$5&gt;=설정!$E$7,CK$5&lt;=설정!$F$7),AN7,"")</f>
        <v/>
      </c>
      <c r="CL7" s="40" t="str">
        <f>IF(AND(CL$5&gt;=설정!$E$7,CL$5&lt;=설정!$F$7),AO7,"")</f>
        <v/>
      </c>
      <c r="CM7" s="40" t="str">
        <f>IF(AND(CM$5&gt;=설정!$E$7,CM$5&lt;=설정!$F$7),AP7,"")</f>
        <v/>
      </c>
      <c r="CN7" s="40" t="str">
        <f>IF(AND(CN$5&gt;=설정!$E$7,CN$5&lt;=설정!$F$7),AQ7,"")</f>
        <v/>
      </c>
      <c r="CO7" s="40" t="str">
        <f>IF(AND(CO$5&gt;=설정!$E$7,CO$5&lt;=설정!$F$7),AR7,"")</f>
        <v/>
      </c>
      <c r="CP7" s="40" t="str">
        <f>IF(AND(CP$5&gt;=설정!$E$7,CP$5&lt;=설정!$F$7),AS7,"")</f>
        <v/>
      </c>
      <c r="CQ7" s="40" t="str">
        <f>IF(AND(CQ$5&gt;=설정!$E$7,CQ$5&lt;=설정!$F$7),AT7,"")</f>
        <v/>
      </c>
    </row>
    <row r="8" spans="1:95" ht="19.95" customHeight="1">
      <c r="A8" s="28">
        <v>3</v>
      </c>
      <c r="B8" s="25" t="s">
        <v>85</v>
      </c>
      <c r="C8" s="39">
        <v>45.35</v>
      </c>
      <c r="D8" s="39">
        <v>14.16</v>
      </c>
      <c r="E8" s="39">
        <v>-9.52</v>
      </c>
      <c r="F8" s="39">
        <v>14.79</v>
      </c>
      <c r="G8" s="25" t="s">
        <v>83</v>
      </c>
      <c r="H8" s="39">
        <v>35.1</v>
      </c>
      <c r="I8" s="39">
        <v>36.369999999999997</v>
      </c>
      <c r="J8" s="39">
        <v>35.659999999999997</v>
      </c>
      <c r="K8" s="39">
        <v>34.11</v>
      </c>
      <c r="L8" s="39">
        <v>31.87</v>
      </c>
      <c r="M8" s="39">
        <v>29.2</v>
      </c>
      <c r="N8" s="39">
        <v>26.48</v>
      </c>
      <c r="O8" s="39">
        <v>23.82</v>
      </c>
      <c r="P8" s="39">
        <v>21.13</v>
      </c>
      <c r="Q8" s="39">
        <v>18.940000000000001</v>
      </c>
      <c r="R8" s="39">
        <v>16.850000000000001</v>
      </c>
      <c r="S8" s="39">
        <v>15.29</v>
      </c>
      <c r="T8" s="39">
        <v>13.95</v>
      </c>
      <c r="U8" s="39">
        <v>13.1</v>
      </c>
      <c r="V8" s="39">
        <v>12.52</v>
      </c>
      <c r="W8" s="39">
        <v>12.24</v>
      </c>
      <c r="X8" s="39">
        <v>12.27</v>
      </c>
      <c r="Y8" s="39">
        <v>12.5</v>
      </c>
      <c r="Z8" s="39">
        <v>12.93</v>
      </c>
      <c r="AA8" s="39">
        <v>13.46</v>
      </c>
      <c r="AB8" s="39">
        <v>14.13</v>
      </c>
      <c r="AC8" s="39">
        <v>14.88</v>
      </c>
      <c r="AD8" s="39">
        <v>15.67</v>
      </c>
      <c r="AE8" s="39">
        <v>16.47</v>
      </c>
      <c r="AF8" s="39">
        <v>17.32</v>
      </c>
      <c r="AG8" s="39">
        <v>18.14</v>
      </c>
      <c r="AH8" s="39">
        <v>18.940000000000001</v>
      </c>
      <c r="AI8" s="39">
        <v>19.690000000000001</v>
      </c>
      <c r="AJ8" s="39">
        <v>20.47</v>
      </c>
      <c r="AK8" s="39">
        <v>21.17</v>
      </c>
      <c r="AL8" s="39">
        <v>21.89</v>
      </c>
      <c r="AM8" s="39">
        <v>22.5</v>
      </c>
      <c r="AN8" s="39">
        <v>23.09</v>
      </c>
      <c r="AO8" s="39">
        <v>23.7</v>
      </c>
      <c r="AP8" s="39">
        <v>24.24</v>
      </c>
      <c r="AQ8" s="39">
        <v>24.75</v>
      </c>
      <c r="AR8" s="39">
        <v>25.14</v>
      </c>
      <c r="AS8" s="39">
        <v>25.63</v>
      </c>
      <c r="AT8" s="39">
        <v>26.04</v>
      </c>
      <c r="AU8" s="21">
        <f>IF(OR(설정!$E$7&gt;설정!$F$7,COUNT(H8:AT8)=0),"",MIN(BE8:CQ8))</f>
        <v>12.24</v>
      </c>
      <c r="AV8" s="21">
        <f t="shared" si="0"/>
        <v>510</v>
      </c>
      <c r="AW8" s="21">
        <f>IF(OR(설정!$E$7&gt;설정!$F$7,COUNT(H8:AT8)=0),"",MAX(BE8:CQ8))</f>
        <v>23.82</v>
      </c>
      <c r="AX8" s="21">
        <f t="shared" si="1"/>
        <v>430</v>
      </c>
      <c r="AY8" s="35"/>
      <c r="AZ8" s="19">
        <f>IF(AY8&lt;&gt;"",AY8,IF(설정!$C$7="최소",AV8,AX8))</f>
        <v>510</v>
      </c>
      <c r="BA8" s="20">
        <f>IF(AZ8="","",IF(OR(AZ8&lt;굴절률!$A$6,AZ8&gt;굴절률!$A$44),"",IF(COUNTIFS(굴절률!$A$6:$A$44,AZ8)&gt;0,INDEX(굴절률!$C$6:$C$44,MATCH(AZ8,굴절률!$A$6:$A$44,0)),INDEX(굴절률!$C$6:$C$44,MATCH(AZ8,굴절률!$A$6:$A$44,1))+(AZ8-INDEX(굴절률!$A$6:$A$44,MATCH(AZ8,굴절률!$A$6:$A$44,1)))*(INDEX(굴절률!$C$6:$C$44,MATCH(AZ8,굴절률!$A$6:$A$44,1)+1)-INDEX(굴절률!$C$6:$C$44,MATCH(AZ8,굴절률!$A$6:$A$44,1)))/(INDEX(굴절률!$A$6:$A$44,MATCH(AZ8,굴절률!$A$6:$A$44,1)+1)-INDEX(굴절률!$A$6:$A$44,MATCH(AZ8,굴절률!$A$6:$A$44,1))))))</f>
        <v>2.33996</v>
      </c>
      <c r="BB8" s="20">
        <f>IF(BA8="","",COS(ASIN(SIN(RADIANS(설정!$G$7))/BA8)))</f>
        <v>1</v>
      </c>
      <c r="BC8" s="21">
        <f>IF(OR(AZ8="",BA8="",BB8=""),"",IF(설정!$C$7="최소",설정!$D$7*AZ8/(2*BA8*BB8),(2*설정!$D$7-1)*AZ8/(4*BA8*BB8)))</f>
        <v>108.97622181575753</v>
      </c>
      <c r="BD8" s="23" t="str">
        <f>IF(COUNT(H8:AT8)=0,"입력 필요",IF(COUNT(H8:AT8)&lt;&gt;39,"데이터 점검",IF(OR(설정!$E$7&gt;설정!$F$7,설정!$E$7&lt;360,설정!$F$7&gt;740),"검색 범위 오류",IF(AY8&lt;&gt;"","수동 파장",IF(OR(AZ8=설정!$E$7,AZ8=설정!$F$7),"경계 극값 확인","완료")))))</f>
        <v>완료</v>
      </c>
      <c r="BE8" s="40" t="str">
        <f>IF(AND(BE$5&gt;=설정!$E$7,BE$5&lt;=설정!$F$7),H8,"")</f>
        <v/>
      </c>
      <c r="BF8" s="40" t="str">
        <f>IF(AND(BF$5&gt;=설정!$E$7,BF$5&lt;=설정!$F$7),I8,"")</f>
        <v/>
      </c>
      <c r="BG8" s="40" t="str">
        <f>IF(AND(BG$5&gt;=설정!$E$7,BG$5&lt;=설정!$F$7),J8,"")</f>
        <v/>
      </c>
      <c r="BH8" s="40" t="str">
        <f>IF(AND(BH$5&gt;=설정!$E$7,BH$5&lt;=설정!$F$7),K8,"")</f>
        <v/>
      </c>
      <c r="BI8" s="40" t="str">
        <f>IF(AND(BI$5&gt;=설정!$E$7,BI$5&lt;=설정!$F$7),L8,"")</f>
        <v/>
      </c>
      <c r="BJ8" s="40" t="str">
        <f>IF(AND(BJ$5&gt;=설정!$E$7,BJ$5&lt;=설정!$F$7),M8,"")</f>
        <v/>
      </c>
      <c r="BK8" s="40" t="str">
        <f>IF(AND(BK$5&gt;=설정!$E$7,BK$5&lt;=설정!$F$7),N8,"")</f>
        <v/>
      </c>
      <c r="BL8" s="40">
        <f>IF(AND(BL$5&gt;=설정!$E$7,BL$5&lt;=설정!$F$7),O8,"")</f>
        <v>23.82</v>
      </c>
      <c r="BM8" s="40">
        <f>IF(AND(BM$5&gt;=설정!$E$7,BM$5&lt;=설정!$F$7),P8,"")</f>
        <v>21.13</v>
      </c>
      <c r="BN8" s="40">
        <f>IF(AND(BN$5&gt;=설정!$E$7,BN$5&lt;=설정!$F$7),Q8,"")</f>
        <v>18.940000000000001</v>
      </c>
      <c r="BO8" s="40">
        <f>IF(AND(BO$5&gt;=설정!$E$7,BO$5&lt;=설정!$F$7),R8,"")</f>
        <v>16.850000000000001</v>
      </c>
      <c r="BP8" s="40">
        <f>IF(AND(BP$5&gt;=설정!$E$7,BP$5&lt;=설정!$F$7),S8,"")</f>
        <v>15.29</v>
      </c>
      <c r="BQ8" s="40">
        <f>IF(AND(BQ$5&gt;=설정!$E$7,BQ$5&lt;=설정!$F$7),T8,"")</f>
        <v>13.95</v>
      </c>
      <c r="BR8" s="40">
        <f>IF(AND(BR$5&gt;=설정!$E$7,BR$5&lt;=설정!$F$7),U8,"")</f>
        <v>13.1</v>
      </c>
      <c r="BS8" s="40">
        <f>IF(AND(BS$5&gt;=설정!$E$7,BS$5&lt;=설정!$F$7),V8,"")</f>
        <v>12.52</v>
      </c>
      <c r="BT8" s="40">
        <f>IF(AND(BT$5&gt;=설정!$E$7,BT$5&lt;=설정!$F$7),W8,"")</f>
        <v>12.24</v>
      </c>
      <c r="BU8" s="40">
        <f>IF(AND(BU$5&gt;=설정!$E$7,BU$5&lt;=설정!$F$7),X8,"")</f>
        <v>12.27</v>
      </c>
      <c r="BV8" s="40">
        <f>IF(AND(BV$5&gt;=설정!$E$7,BV$5&lt;=설정!$F$7),Y8,"")</f>
        <v>12.5</v>
      </c>
      <c r="BW8" s="40">
        <f>IF(AND(BW$5&gt;=설정!$E$7,BW$5&lt;=설정!$F$7),Z8,"")</f>
        <v>12.93</v>
      </c>
      <c r="BX8" s="40">
        <f>IF(AND(BX$5&gt;=설정!$E$7,BX$5&lt;=설정!$F$7),AA8,"")</f>
        <v>13.46</v>
      </c>
      <c r="BY8" s="40">
        <f>IF(AND(BY$5&gt;=설정!$E$7,BY$5&lt;=설정!$F$7),AB8,"")</f>
        <v>14.13</v>
      </c>
      <c r="BZ8" s="40">
        <f>IF(AND(BZ$5&gt;=설정!$E$7,BZ$5&lt;=설정!$F$7),AC8,"")</f>
        <v>14.88</v>
      </c>
      <c r="CA8" s="40">
        <f>IF(AND(CA$5&gt;=설정!$E$7,CA$5&lt;=설정!$F$7),AD8,"")</f>
        <v>15.67</v>
      </c>
      <c r="CB8" s="40">
        <f>IF(AND(CB$5&gt;=설정!$E$7,CB$5&lt;=설정!$F$7),AE8,"")</f>
        <v>16.47</v>
      </c>
      <c r="CC8" s="40">
        <f>IF(AND(CC$5&gt;=설정!$E$7,CC$5&lt;=설정!$F$7),AF8,"")</f>
        <v>17.32</v>
      </c>
      <c r="CD8" s="40" t="str">
        <f>IF(AND(CD$5&gt;=설정!$E$7,CD$5&lt;=설정!$F$7),AG8,"")</f>
        <v/>
      </c>
      <c r="CE8" s="40" t="str">
        <f>IF(AND(CE$5&gt;=설정!$E$7,CE$5&lt;=설정!$F$7),AH8,"")</f>
        <v/>
      </c>
      <c r="CF8" s="40" t="str">
        <f>IF(AND(CF$5&gt;=설정!$E$7,CF$5&lt;=설정!$F$7),AI8,"")</f>
        <v/>
      </c>
      <c r="CG8" s="40" t="str">
        <f>IF(AND(CG$5&gt;=설정!$E$7,CG$5&lt;=설정!$F$7),AJ8,"")</f>
        <v/>
      </c>
      <c r="CH8" s="40" t="str">
        <f>IF(AND(CH$5&gt;=설정!$E$7,CH$5&lt;=설정!$F$7),AK8,"")</f>
        <v/>
      </c>
      <c r="CI8" s="40" t="str">
        <f>IF(AND(CI$5&gt;=설정!$E$7,CI$5&lt;=설정!$F$7),AL8,"")</f>
        <v/>
      </c>
      <c r="CJ8" s="40" t="str">
        <f>IF(AND(CJ$5&gt;=설정!$E$7,CJ$5&lt;=설정!$F$7),AM8,"")</f>
        <v/>
      </c>
      <c r="CK8" s="40" t="str">
        <f>IF(AND(CK$5&gt;=설정!$E$7,CK$5&lt;=설정!$F$7),AN8,"")</f>
        <v/>
      </c>
      <c r="CL8" s="40" t="str">
        <f>IF(AND(CL$5&gt;=설정!$E$7,CL$5&lt;=설정!$F$7),AO8,"")</f>
        <v/>
      </c>
      <c r="CM8" s="40" t="str">
        <f>IF(AND(CM$5&gt;=설정!$E$7,CM$5&lt;=설정!$F$7),AP8,"")</f>
        <v/>
      </c>
      <c r="CN8" s="40" t="str">
        <f>IF(AND(CN$5&gt;=설정!$E$7,CN$5&lt;=설정!$F$7),AQ8,"")</f>
        <v/>
      </c>
      <c r="CO8" s="40" t="str">
        <f>IF(AND(CO$5&gt;=설정!$E$7,CO$5&lt;=설정!$F$7),AR8,"")</f>
        <v/>
      </c>
      <c r="CP8" s="40" t="str">
        <f>IF(AND(CP$5&gt;=설정!$E$7,CP$5&lt;=설정!$F$7),AS8,"")</f>
        <v/>
      </c>
      <c r="CQ8" s="40" t="str">
        <f>IF(AND(CQ$5&gt;=설정!$E$7,CQ$5&lt;=설정!$F$7),AT8,"")</f>
        <v/>
      </c>
    </row>
    <row r="9" spans="1:95" ht="19.95" customHeight="1">
      <c r="A9" s="28">
        <v>4</v>
      </c>
      <c r="B9" s="25" t="s">
        <v>86</v>
      </c>
      <c r="C9" s="39">
        <v>44.81</v>
      </c>
      <c r="D9" s="39">
        <v>14.26</v>
      </c>
      <c r="E9" s="39">
        <v>-13.04</v>
      </c>
      <c r="F9" s="39">
        <v>14.41</v>
      </c>
      <c r="G9" s="25" t="s">
        <v>83</v>
      </c>
      <c r="H9" s="39">
        <v>33.68</v>
      </c>
      <c r="I9" s="39">
        <v>35.85</v>
      </c>
      <c r="J9" s="39">
        <v>35.82</v>
      </c>
      <c r="K9" s="39">
        <v>34.78</v>
      </c>
      <c r="L9" s="39">
        <v>32.93</v>
      </c>
      <c r="M9" s="39">
        <v>30.54</v>
      </c>
      <c r="N9" s="39">
        <v>28.02</v>
      </c>
      <c r="O9" s="39">
        <v>25.4</v>
      </c>
      <c r="P9" s="39">
        <v>22.68</v>
      </c>
      <c r="Q9" s="39">
        <v>20.46</v>
      </c>
      <c r="R9" s="39">
        <v>18.21</v>
      </c>
      <c r="S9" s="39">
        <v>16.440000000000001</v>
      </c>
      <c r="T9" s="39">
        <v>14.85</v>
      </c>
      <c r="U9" s="39">
        <v>13.74</v>
      </c>
      <c r="V9" s="39">
        <v>12.92</v>
      </c>
      <c r="W9" s="39">
        <v>12.4</v>
      </c>
      <c r="X9" s="39">
        <v>12.19</v>
      </c>
      <c r="Y9" s="39">
        <v>12.24</v>
      </c>
      <c r="Z9" s="39">
        <v>12.5</v>
      </c>
      <c r="AA9" s="39">
        <v>12.89</v>
      </c>
      <c r="AB9" s="39">
        <v>13.43</v>
      </c>
      <c r="AC9" s="39">
        <v>14.08</v>
      </c>
      <c r="AD9" s="39">
        <v>14.8</v>
      </c>
      <c r="AE9" s="39">
        <v>15.55</v>
      </c>
      <c r="AF9" s="39">
        <v>16.350000000000001</v>
      </c>
      <c r="AG9" s="39">
        <v>17.14</v>
      </c>
      <c r="AH9" s="39">
        <v>17.96</v>
      </c>
      <c r="AI9" s="39">
        <v>18.690000000000001</v>
      </c>
      <c r="AJ9" s="39">
        <v>19.489999999999998</v>
      </c>
      <c r="AK9" s="39">
        <v>20.190000000000001</v>
      </c>
      <c r="AL9" s="39">
        <v>20.93</v>
      </c>
      <c r="AM9" s="39">
        <v>21.59</v>
      </c>
      <c r="AN9" s="39">
        <v>22.22</v>
      </c>
      <c r="AO9" s="39">
        <v>22.8</v>
      </c>
      <c r="AP9" s="39">
        <v>23.4</v>
      </c>
      <c r="AQ9" s="39">
        <v>23.94</v>
      </c>
      <c r="AR9" s="39">
        <v>24.36</v>
      </c>
      <c r="AS9" s="39">
        <v>24.89</v>
      </c>
      <c r="AT9" s="39">
        <v>25.29</v>
      </c>
      <c r="AU9" s="21">
        <f>IF(OR(설정!$E$7&gt;설정!$F$7,COUNT(H9:AT9)=0),"",MIN(BE9:CQ9))</f>
        <v>12.19</v>
      </c>
      <c r="AV9" s="21">
        <f t="shared" si="0"/>
        <v>520</v>
      </c>
      <c r="AW9" s="21">
        <f>IF(OR(설정!$E$7&gt;설정!$F$7,COUNT(H9:AT9)=0),"",MAX(BE9:CQ9))</f>
        <v>25.4</v>
      </c>
      <c r="AX9" s="21">
        <f t="shared" si="1"/>
        <v>430</v>
      </c>
      <c r="AY9" s="35"/>
      <c r="AZ9" s="19">
        <f>IF(AY9&lt;&gt;"",AY9,IF(설정!$C$7="최소",AV9,AX9))</f>
        <v>520</v>
      </c>
      <c r="BA9" s="20">
        <f>IF(AZ9="","",IF(OR(AZ9&lt;굴절률!$A$6,AZ9&gt;굴절률!$A$44),"",IF(COUNTIFS(굴절률!$A$6:$A$44,AZ9)&gt;0,INDEX(굴절률!$C$6:$C$44,MATCH(AZ9,굴절률!$A$6:$A$44,0)),INDEX(굴절률!$C$6:$C$44,MATCH(AZ9,굴절률!$A$6:$A$44,1))+(AZ9-INDEX(굴절률!$A$6:$A$44,MATCH(AZ9,굴절률!$A$6:$A$44,1)))*(INDEX(굴절률!$C$6:$C$44,MATCH(AZ9,굴절률!$A$6:$A$44,1)+1)-INDEX(굴절률!$C$6:$C$44,MATCH(AZ9,굴절률!$A$6:$A$44,1)))/(INDEX(굴절률!$A$6:$A$44,MATCH(AZ9,굴절률!$A$6:$A$44,1)+1)-INDEX(굴절률!$A$6:$A$44,MATCH(AZ9,굴절률!$A$6:$A$44,1))))))</f>
        <v>2.3346800000000001</v>
      </c>
      <c r="BB9" s="20">
        <f>IF(BA9="","",COS(ASIN(SIN(RADIANS(설정!$G$7))/BA9)))</f>
        <v>1</v>
      </c>
      <c r="BC9" s="21">
        <f>IF(OR(AZ9="",BA9="",BB9=""),"",IF(설정!$C$7="최소",설정!$D$7*AZ9/(2*BA9*BB9),(2*설정!$D$7-1)*AZ9/(4*BA9*BB9)))</f>
        <v>111.36429831925574</v>
      </c>
      <c r="BD9" s="23" t="str">
        <f>IF(COUNT(H9:AT9)=0,"입력 필요",IF(COUNT(H9:AT9)&lt;&gt;39,"데이터 점검",IF(OR(설정!$E$7&gt;설정!$F$7,설정!$E$7&lt;360,설정!$F$7&gt;740),"검색 범위 오류",IF(AY9&lt;&gt;"","수동 파장",IF(OR(AZ9=설정!$E$7,AZ9=설정!$F$7),"경계 극값 확인","완료")))))</f>
        <v>완료</v>
      </c>
      <c r="BE9" s="40" t="str">
        <f>IF(AND(BE$5&gt;=설정!$E$7,BE$5&lt;=설정!$F$7),H9,"")</f>
        <v/>
      </c>
      <c r="BF9" s="40" t="str">
        <f>IF(AND(BF$5&gt;=설정!$E$7,BF$5&lt;=설정!$F$7),I9,"")</f>
        <v/>
      </c>
      <c r="BG9" s="40" t="str">
        <f>IF(AND(BG$5&gt;=설정!$E$7,BG$5&lt;=설정!$F$7),J9,"")</f>
        <v/>
      </c>
      <c r="BH9" s="40" t="str">
        <f>IF(AND(BH$5&gt;=설정!$E$7,BH$5&lt;=설정!$F$7),K9,"")</f>
        <v/>
      </c>
      <c r="BI9" s="40" t="str">
        <f>IF(AND(BI$5&gt;=설정!$E$7,BI$5&lt;=설정!$F$7),L9,"")</f>
        <v/>
      </c>
      <c r="BJ9" s="40" t="str">
        <f>IF(AND(BJ$5&gt;=설정!$E$7,BJ$5&lt;=설정!$F$7),M9,"")</f>
        <v/>
      </c>
      <c r="BK9" s="40" t="str">
        <f>IF(AND(BK$5&gt;=설정!$E$7,BK$5&lt;=설정!$F$7),N9,"")</f>
        <v/>
      </c>
      <c r="BL9" s="40">
        <f>IF(AND(BL$5&gt;=설정!$E$7,BL$5&lt;=설정!$F$7),O9,"")</f>
        <v>25.4</v>
      </c>
      <c r="BM9" s="40">
        <f>IF(AND(BM$5&gt;=설정!$E$7,BM$5&lt;=설정!$F$7),P9,"")</f>
        <v>22.68</v>
      </c>
      <c r="BN9" s="40">
        <f>IF(AND(BN$5&gt;=설정!$E$7,BN$5&lt;=설정!$F$7),Q9,"")</f>
        <v>20.46</v>
      </c>
      <c r="BO9" s="40">
        <f>IF(AND(BO$5&gt;=설정!$E$7,BO$5&lt;=설정!$F$7),R9,"")</f>
        <v>18.21</v>
      </c>
      <c r="BP9" s="40">
        <f>IF(AND(BP$5&gt;=설정!$E$7,BP$5&lt;=설정!$F$7),S9,"")</f>
        <v>16.440000000000001</v>
      </c>
      <c r="BQ9" s="40">
        <f>IF(AND(BQ$5&gt;=설정!$E$7,BQ$5&lt;=설정!$F$7),T9,"")</f>
        <v>14.85</v>
      </c>
      <c r="BR9" s="40">
        <f>IF(AND(BR$5&gt;=설정!$E$7,BR$5&lt;=설정!$F$7),U9,"")</f>
        <v>13.74</v>
      </c>
      <c r="BS9" s="40">
        <f>IF(AND(BS$5&gt;=설정!$E$7,BS$5&lt;=설정!$F$7),V9,"")</f>
        <v>12.92</v>
      </c>
      <c r="BT9" s="40">
        <f>IF(AND(BT$5&gt;=설정!$E$7,BT$5&lt;=설정!$F$7),W9,"")</f>
        <v>12.4</v>
      </c>
      <c r="BU9" s="40">
        <f>IF(AND(BU$5&gt;=설정!$E$7,BU$5&lt;=설정!$F$7),X9,"")</f>
        <v>12.19</v>
      </c>
      <c r="BV9" s="40">
        <f>IF(AND(BV$5&gt;=설정!$E$7,BV$5&lt;=설정!$F$7),Y9,"")</f>
        <v>12.24</v>
      </c>
      <c r="BW9" s="40">
        <f>IF(AND(BW$5&gt;=설정!$E$7,BW$5&lt;=설정!$F$7),Z9,"")</f>
        <v>12.5</v>
      </c>
      <c r="BX9" s="40">
        <f>IF(AND(BX$5&gt;=설정!$E$7,BX$5&lt;=설정!$F$7),AA9,"")</f>
        <v>12.89</v>
      </c>
      <c r="BY9" s="40">
        <f>IF(AND(BY$5&gt;=설정!$E$7,BY$5&lt;=설정!$F$7),AB9,"")</f>
        <v>13.43</v>
      </c>
      <c r="BZ9" s="40">
        <f>IF(AND(BZ$5&gt;=설정!$E$7,BZ$5&lt;=설정!$F$7),AC9,"")</f>
        <v>14.08</v>
      </c>
      <c r="CA9" s="40">
        <f>IF(AND(CA$5&gt;=설정!$E$7,CA$5&lt;=설정!$F$7),AD9,"")</f>
        <v>14.8</v>
      </c>
      <c r="CB9" s="40">
        <f>IF(AND(CB$5&gt;=설정!$E$7,CB$5&lt;=설정!$F$7),AE9,"")</f>
        <v>15.55</v>
      </c>
      <c r="CC9" s="40">
        <f>IF(AND(CC$5&gt;=설정!$E$7,CC$5&lt;=설정!$F$7),AF9,"")</f>
        <v>16.350000000000001</v>
      </c>
      <c r="CD9" s="40" t="str">
        <f>IF(AND(CD$5&gt;=설정!$E$7,CD$5&lt;=설정!$F$7),AG9,"")</f>
        <v/>
      </c>
      <c r="CE9" s="40" t="str">
        <f>IF(AND(CE$5&gt;=설정!$E$7,CE$5&lt;=설정!$F$7),AH9,"")</f>
        <v/>
      </c>
      <c r="CF9" s="40" t="str">
        <f>IF(AND(CF$5&gt;=설정!$E$7,CF$5&lt;=설정!$F$7),AI9,"")</f>
        <v/>
      </c>
      <c r="CG9" s="40" t="str">
        <f>IF(AND(CG$5&gt;=설정!$E$7,CG$5&lt;=설정!$F$7),AJ9,"")</f>
        <v/>
      </c>
      <c r="CH9" s="40" t="str">
        <f>IF(AND(CH$5&gt;=설정!$E$7,CH$5&lt;=설정!$F$7),AK9,"")</f>
        <v/>
      </c>
      <c r="CI9" s="40" t="str">
        <f>IF(AND(CI$5&gt;=설정!$E$7,CI$5&lt;=설정!$F$7),AL9,"")</f>
        <v/>
      </c>
      <c r="CJ9" s="40" t="str">
        <f>IF(AND(CJ$5&gt;=설정!$E$7,CJ$5&lt;=설정!$F$7),AM9,"")</f>
        <v/>
      </c>
      <c r="CK9" s="40" t="str">
        <f>IF(AND(CK$5&gt;=설정!$E$7,CK$5&lt;=설정!$F$7),AN9,"")</f>
        <v/>
      </c>
      <c r="CL9" s="40" t="str">
        <f>IF(AND(CL$5&gt;=설정!$E$7,CL$5&lt;=설정!$F$7),AO9,"")</f>
        <v/>
      </c>
      <c r="CM9" s="40" t="str">
        <f>IF(AND(CM$5&gt;=설정!$E$7,CM$5&lt;=설정!$F$7),AP9,"")</f>
        <v/>
      </c>
      <c r="CN9" s="40" t="str">
        <f>IF(AND(CN$5&gt;=설정!$E$7,CN$5&lt;=설정!$F$7),AQ9,"")</f>
        <v/>
      </c>
      <c r="CO9" s="40" t="str">
        <f>IF(AND(CO$5&gt;=설정!$E$7,CO$5&lt;=설정!$F$7),AR9,"")</f>
        <v/>
      </c>
      <c r="CP9" s="40" t="str">
        <f>IF(AND(CP$5&gt;=설정!$E$7,CP$5&lt;=설정!$F$7),AS9,"")</f>
        <v/>
      </c>
      <c r="CQ9" s="40" t="str">
        <f>IF(AND(CQ$5&gt;=설정!$E$7,CQ$5&lt;=설정!$F$7),AT9,"")</f>
        <v/>
      </c>
    </row>
    <row r="10" spans="1:95" ht="19.95" customHeight="1">
      <c r="A10" s="28">
        <v>5</v>
      </c>
      <c r="B10" s="25" t="s">
        <v>87</v>
      </c>
      <c r="C10" s="39">
        <v>44.67</v>
      </c>
      <c r="D10" s="39">
        <v>14.13</v>
      </c>
      <c r="E10" s="39">
        <v>-14.66</v>
      </c>
      <c r="F10" s="39">
        <v>14.3</v>
      </c>
      <c r="G10" s="25" t="s">
        <v>83</v>
      </c>
      <c r="H10" s="39">
        <v>32.869999999999997</v>
      </c>
      <c r="I10" s="39">
        <v>35.49</v>
      </c>
      <c r="J10" s="39">
        <v>35.83</v>
      </c>
      <c r="K10" s="39">
        <v>35.04</v>
      </c>
      <c r="L10" s="39">
        <v>33.4</v>
      </c>
      <c r="M10" s="39">
        <v>31.17</v>
      </c>
      <c r="N10" s="39">
        <v>28.74</v>
      </c>
      <c r="O10" s="39">
        <v>26.23</v>
      </c>
      <c r="P10" s="39">
        <v>23.53</v>
      </c>
      <c r="Q10" s="39">
        <v>21.25</v>
      </c>
      <c r="R10" s="39">
        <v>18.95</v>
      </c>
      <c r="S10" s="39">
        <v>17.100000000000001</v>
      </c>
      <c r="T10" s="39">
        <v>15.43</v>
      </c>
      <c r="U10" s="39">
        <v>14.2</v>
      </c>
      <c r="V10" s="39">
        <v>13.23</v>
      </c>
      <c r="W10" s="39">
        <v>12.61</v>
      </c>
      <c r="X10" s="39">
        <v>12.28</v>
      </c>
      <c r="Y10" s="39">
        <v>12.22</v>
      </c>
      <c r="Z10" s="39">
        <v>12.38</v>
      </c>
      <c r="AA10" s="39">
        <v>12.68</v>
      </c>
      <c r="AB10" s="39">
        <v>13.16</v>
      </c>
      <c r="AC10" s="39">
        <v>13.76</v>
      </c>
      <c r="AD10" s="39">
        <v>14.43</v>
      </c>
      <c r="AE10" s="39">
        <v>15.16</v>
      </c>
      <c r="AF10" s="39">
        <v>15.93</v>
      </c>
      <c r="AG10" s="39">
        <v>16.72</v>
      </c>
      <c r="AH10" s="39">
        <v>17.510000000000002</v>
      </c>
      <c r="AI10" s="39">
        <v>18.239999999999998</v>
      </c>
      <c r="AJ10" s="39">
        <v>19.059999999999999</v>
      </c>
      <c r="AK10" s="39">
        <v>19.760000000000002</v>
      </c>
      <c r="AL10" s="39">
        <v>20.49</v>
      </c>
      <c r="AM10" s="39">
        <v>21.16</v>
      </c>
      <c r="AN10" s="39">
        <v>21.8</v>
      </c>
      <c r="AO10" s="39">
        <v>22.43</v>
      </c>
      <c r="AP10" s="39">
        <v>23</v>
      </c>
      <c r="AQ10" s="39">
        <v>23.55</v>
      </c>
      <c r="AR10" s="39">
        <v>23.97</v>
      </c>
      <c r="AS10" s="39">
        <v>24.55</v>
      </c>
      <c r="AT10" s="39">
        <v>25.02</v>
      </c>
      <c r="AU10" s="21">
        <f>IF(OR(설정!$E$7&gt;설정!$F$7,COUNT(H10:AT10)=0),"",MIN(BE10:CQ10))</f>
        <v>12.22</v>
      </c>
      <c r="AV10" s="21">
        <f t="shared" si="0"/>
        <v>530</v>
      </c>
      <c r="AW10" s="21">
        <f>IF(OR(설정!$E$7&gt;설정!$F$7,COUNT(H10:AT10)=0),"",MAX(BE10:CQ10))</f>
        <v>26.23</v>
      </c>
      <c r="AX10" s="21">
        <f t="shared" si="1"/>
        <v>430</v>
      </c>
      <c r="AY10" s="35"/>
      <c r="AZ10" s="19">
        <f>IF(AY10&lt;&gt;"",AY10,IF(설정!$C$7="최소",AV10,AX10))</f>
        <v>530</v>
      </c>
      <c r="BA10" s="20">
        <f>IF(AZ10="","",IF(OR(AZ10&lt;굴절률!$A$6,AZ10&gt;굴절률!$A$44),"",IF(COUNTIFS(굴절률!$A$6:$A$44,AZ10)&gt;0,INDEX(굴절률!$C$6:$C$44,MATCH(AZ10,굴절률!$A$6:$A$44,0)),INDEX(굴절률!$C$6:$C$44,MATCH(AZ10,굴절률!$A$6:$A$44,1))+(AZ10-INDEX(굴절률!$A$6:$A$44,MATCH(AZ10,굴절률!$A$6:$A$44,1)))*(INDEX(굴절률!$C$6:$C$44,MATCH(AZ10,굴절률!$A$6:$A$44,1)+1)-INDEX(굴절률!$C$6:$C$44,MATCH(AZ10,굴절률!$A$6:$A$44,1)))/(INDEX(굴절률!$A$6:$A$44,MATCH(AZ10,굴절률!$A$6:$A$44,1)+1)-INDEX(굴절률!$A$6:$A$44,MATCH(AZ10,굴절률!$A$6:$A$44,1))))))</f>
        <v>2.3298100000000002</v>
      </c>
      <c r="BB10" s="20">
        <f>IF(BA10="","",COS(ASIN(SIN(RADIANS(설정!$G$7))/BA10)))</f>
        <v>1</v>
      </c>
      <c r="BC10" s="21">
        <f>IF(OR(AZ10="",BA10="",BB10=""),"",IF(설정!$C$7="최소",설정!$D$7*AZ10/(2*BA10*BB10),(2*설정!$D$7-1)*AZ10/(4*BA10*BB10)))</f>
        <v>113.7431807743979</v>
      </c>
      <c r="BD10" s="23" t="str">
        <f>IF(COUNT(H10:AT10)=0,"입력 필요",IF(COUNT(H10:AT10)&lt;&gt;39,"데이터 점검",IF(OR(설정!$E$7&gt;설정!$F$7,설정!$E$7&lt;360,설정!$F$7&gt;740),"검색 범위 오류",IF(AY10&lt;&gt;"","수동 파장",IF(OR(AZ10=설정!$E$7,AZ10=설정!$F$7),"경계 극값 확인","완료")))))</f>
        <v>완료</v>
      </c>
      <c r="BE10" s="40" t="str">
        <f>IF(AND(BE$5&gt;=설정!$E$7,BE$5&lt;=설정!$F$7),H10,"")</f>
        <v/>
      </c>
      <c r="BF10" s="40" t="str">
        <f>IF(AND(BF$5&gt;=설정!$E$7,BF$5&lt;=설정!$F$7),I10,"")</f>
        <v/>
      </c>
      <c r="BG10" s="40" t="str">
        <f>IF(AND(BG$5&gt;=설정!$E$7,BG$5&lt;=설정!$F$7),J10,"")</f>
        <v/>
      </c>
      <c r="BH10" s="40" t="str">
        <f>IF(AND(BH$5&gt;=설정!$E$7,BH$5&lt;=설정!$F$7),K10,"")</f>
        <v/>
      </c>
      <c r="BI10" s="40" t="str">
        <f>IF(AND(BI$5&gt;=설정!$E$7,BI$5&lt;=설정!$F$7),L10,"")</f>
        <v/>
      </c>
      <c r="BJ10" s="40" t="str">
        <f>IF(AND(BJ$5&gt;=설정!$E$7,BJ$5&lt;=설정!$F$7),M10,"")</f>
        <v/>
      </c>
      <c r="BK10" s="40" t="str">
        <f>IF(AND(BK$5&gt;=설정!$E$7,BK$5&lt;=설정!$F$7),N10,"")</f>
        <v/>
      </c>
      <c r="BL10" s="40">
        <f>IF(AND(BL$5&gt;=설정!$E$7,BL$5&lt;=설정!$F$7),O10,"")</f>
        <v>26.23</v>
      </c>
      <c r="BM10" s="40">
        <f>IF(AND(BM$5&gt;=설정!$E$7,BM$5&lt;=설정!$F$7),P10,"")</f>
        <v>23.53</v>
      </c>
      <c r="BN10" s="40">
        <f>IF(AND(BN$5&gt;=설정!$E$7,BN$5&lt;=설정!$F$7),Q10,"")</f>
        <v>21.25</v>
      </c>
      <c r="BO10" s="40">
        <f>IF(AND(BO$5&gt;=설정!$E$7,BO$5&lt;=설정!$F$7),R10,"")</f>
        <v>18.95</v>
      </c>
      <c r="BP10" s="40">
        <f>IF(AND(BP$5&gt;=설정!$E$7,BP$5&lt;=설정!$F$7),S10,"")</f>
        <v>17.100000000000001</v>
      </c>
      <c r="BQ10" s="40">
        <f>IF(AND(BQ$5&gt;=설정!$E$7,BQ$5&lt;=설정!$F$7),T10,"")</f>
        <v>15.43</v>
      </c>
      <c r="BR10" s="40">
        <f>IF(AND(BR$5&gt;=설정!$E$7,BR$5&lt;=설정!$F$7),U10,"")</f>
        <v>14.2</v>
      </c>
      <c r="BS10" s="40">
        <f>IF(AND(BS$5&gt;=설정!$E$7,BS$5&lt;=설정!$F$7),V10,"")</f>
        <v>13.23</v>
      </c>
      <c r="BT10" s="40">
        <f>IF(AND(BT$5&gt;=설정!$E$7,BT$5&lt;=설정!$F$7),W10,"")</f>
        <v>12.61</v>
      </c>
      <c r="BU10" s="40">
        <f>IF(AND(BU$5&gt;=설정!$E$7,BU$5&lt;=설정!$F$7),X10,"")</f>
        <v>12.28</v>
      </c>
      <c r="BV10" s="40">
        <f>IF(AND(BV$5&gt;=설정!$E$7,BV$5&lt;=설정!$F$7),Y10,"")</f>
        <v>12.22</v>
      </c>
      <c r="BW10" s="40">
        <f>IF(AND(BW$5&gt;=설정!$E$7,BW$5&lt;=설정!$F$7),Z10,"")</f>
        <v>12.38</v>
      </c>
      <c r="BX10" s="40">
        <f>IF(AND(BX$5&gt;=설정!$E$7,BX$5&lt;=설정!$F$7),AA10,"")</f>
        <v>12.68</v>
      </c>
      <c r="BY10" s="40">
        <f>IF(AND(BY$5&gt;=설정!$E$7,BY$5&lt;=설정!$F$7),AB10,"")</f>
        <v>13.16</v>
      </c>
      <c r="BZ10" s="40">
        <f>IF(AND(BZ$5&gt;=설정!$E$7,BZ$5&lt;=설정!$F$7),AC10,"")</f>
        <v>13.76</v>
      </c>
      <c r="CA10" s="40">
        <f>IF(AND(CA$5&gt;=설정!$E$7,CA$5&lt;=설정!$F$7),AD10,"")</f>
        <v>14.43</v>
      </c>
      <c r="CB10" s="40">
        <f>IF(AND(CB$5&gt;=설정!$E$7,CB$5&lt;=설정!$F$7),AE10,"")</f>
        <v>15.16</v>
      </c>
      <c r="CC10" s="40">
        <f>IF(AND(CC$5&gt;=설정!$E$7,CC$5&lt;=설정!$F$7),AF10,"")</f>
        <v>15.93</v>
      </c>
      <c r="CD10" s="40" t="str">
        <f>IF(AND(CD$5&gt;=설정!$E$7,CD$5&lt;=설정!$F$7),AG10,"")</f>
        <v/>
      </c>
      <c r="CE10" s="40" t="str">
        <f>IF(AND(CE$5&gt;=설정!$E$7,CE$5&lt;=설정!$F$7),AH10,"")</f>
        <v/>
      </c>
      <c r="CF10" s="40" t="str">
        <f>IF(AND(CF$5&gt;=설정!$E$7,CF$5&lt;=설정!$F$7),AI10,"")</f>
        <v/>
      </c>
      <c r="CG10" s="40" t="str">
        <f>IF(AND(CG$5&gt;=설정!$E$7,CG$5&lt;=설정!$F$7),AJ10,"")</f>
        <v/>
      </c>
      <c r="CH10" s="40" t="str">
        <f>IF(AND(CH$5&gt;=설정!$E$7,CH$5&lt;=설정!$F$7),AK10,"")</f>
        <v/>
      </c>
      <c r="CI10" s="40" t="str">
        <f>IF(AND(CI$5&gt;=설정!$E$7,CI$5&lt;=설정!$F$7),AL10,"")</f>
        <v/>
      </c>
      <c r="CJ10" s="40" t="str">
        <f>IF(AND(CJ$5&gt;=설정!$E$7,CJ$5&lt;=설정!$F$7),AM10,"")</f>
        <v/>
      </c>
      <c r="CK10" s="40" t="str">
        <f>IF(AND(CK$5&gt;=설정!$E$7,CK$5&lt;=설정!$F$7),AN10,"")</f>
        <v/>
      </c>
      <c r="CL10" s="40" t="str">
        <f>IF(AND(CL$5&gt;=설정!$E$7,CL$5&lt;=설정!$F$7),AO10,"")</f>
        <v/>
      </c>
      <c r="CM10" s="40" t="str">
        <f>IF(AND(CM$5&gt;=설정!$E$7,CM$5&lt;=설정!$F$7),AP10,"")</f>
        <v/>
      </c>
      <c r="CN10" s="40" t="str">
        <f>IF(AND(CN$5&gt;=설정!$E$7,CN$5&lt;=설정!$F$7),AQ10,"")</f>
        <v/>
      </c>
      <c r="CO10" s="40" t="str">
        <f>IF(AND(CO$5&gt;=설정!$E$7,CO$5&lt;=설정!$F$7),AR10,"")</f>
        <v/>
      </c>
      <c r="CP10" s="40" t="str">
        <f>IF(AND(CP$5&gt;=설정!$E$7,CP$5&lt;=설정!$F$7),AS10,"")</f>
        <v/>
      </c>
      <c r="CQ10" s="40" t="str">
        <f>IF(AND(CQ$5&gt;=설정!$E$7,CQ$5&lt;=설정!$F$7),AT10,"")</f>
        <v/>
      </c>
    </row>
    <row r="11" spans="1:95" ht="19.95" customHeight="1">
      <c r="A11" s="28">
        <v>6</v>
      </c>
      <c r="B11" s="25" t="s">
        <v>88</v>
      </c>
      <c r="C11" s="39">
        <v>44.77</v>
      </c>
      <c r="D11" s="39">
        <v>14.18</v>
      </c>
      <c r="E11" s="39">
        <v>-13.36</v>
      </c>
      <c r="F11" s="39">
        <v>14.37</v>
      </c>
      <c r="G11" s="25" t="s">
        <v>83</v>
      </c>
      <c r="H11" s="39">
        <v>33.369999999999997</v>
      </c>
      <c r="I11" s="39">
        <v>35.659999999999997</v>
      </c>
      <c r="J11" s="39">
        <v>35.74</v>
      </c>
      <c r="K11" s="39">
        <v>34.729999999999997</v>
      </c>
      <c r="L11" s="39">
        <v>32.97</v>
      </c>
      <c r="M11" s="39">
        <v>30.64</v>
      </c>
      <c r="N11" s="39">
        <v>28.05</v>
      </c>
      <c r="O11" s="39">
        <v>25.53</v>
      </c>
      <c r="P11" s="39">
        <v>22.85</v>
      </c>
      <c r="Q11" s="39">
        <v>20.62</v>
      </c>
      <c r="R11" s="39">
        <v>18.34</v>
      </c>
      <c r="S11" s="39">
        <v>16.55</v>
      </c>
      <c r="T11" s="39">
        <v>14.94</v>
      </c>
      <c r="U11" s="39">
        <v>13.87</v>
      </c>
      <c r="V11" s="39">
        <v>12.99</v>
      </c>
      <c r="W11" s="39">
        <v>12.46</v>
      </c>
      <c r="X11" s="39">
        <v>12.22</v>
      </c>
      <c r="Y11" s="39">
        <v>12.24</v>
      </c>
      <c r="Z11" s="39">
        <v>12.45</v>
      </c>
      <c r="AA11" s="39">
        <v>12.83</v>
      </c>
      <c r="AB11" s="39">
        <v>13.37</v>
      </c>
      <c r="AC11" s="39">
        <v>14.01</v>
      </c>
      <c r="AD11" s="39">
        <v>14.71</v>
      </c>
      <c r="AE11" s="39">
        <v>15.46</v>
      </c>
      <c r="AF11" s="39">
        <v>16.239999999999998</v>
      </c>
      <c r="AG11" s="39">
        <v>17.04</v>
      </c>
      <c r="AH11" s="39">
        <v>17.809999999999999</v>
      </c>
      <c r="AI11" s="39">
        <v>18.579999999999998</v>
      </c>
      <c r="AJ11" s="39">
        <v>19.36</v>
      </c>
      <c r="AK11" s="39">
        <v>20.07</v>
      </c>
      <c r="AL11" s="39">
        <v>20.8</v>
      </c>
      <c r="AM11" s="39">
        <v>21.44</v>
      </c>
      <c r="AN11" s="39">
        <v>22.08</v>
      </c>
      <c r="AO11" s="39">
        <v>22.68</v>
      </c>
      <c r="AP11" s="39">
        <v>23.24</v>
      </c>
      <c r="AQ11" s="39">
        <v>23.79</v>
      </c>
      <c r="AR11" s="39">
        <v>24.21</v>
      </c>
      <c r="AS11" s="39">
        <v>24.72</v>
      </c>
      <c r="AT11" s="39">
        <v>25.21</v>
      </c>
      <c r="AU11" s="21">
        <f>IF(OR(설정!$E$7&gt;설정!$F$7,COUNT(H11:AT11)=0),"",MIN(BE11:CQ11))</f>
        <v>12.22</v>
      </c>
      <c r="AV11" s="21">
        <f t="shared" si="0"/>
        <v>520</v>
      </c>
      <c r="AW11" s="21">
        <f>IF(OR(설정!$E$7&gt;설정!$F$7,COUNT(H11:AT11)=0),"",MAX(BE11:CQ11))</f>
        <v>25.53</v>
      </c>
      <c r="AX11" s="21">
        <f t="shared" si="1"/>
        <v>430</v>
      </c>
      <c r="AY11" s="35"/>
      <c r="AZ11" s="19">
        <f>IF(AY11&lt;&gt;"",AY11,IF(설정!$C$7="최소",AV11,AX11))</f>
        <v>520</v>
      </c>
      <c r="BA11" s="20">
        <f>IF(AZ11="","",IF(OR(AZ11&lt;굴절률!$A$6,AZ11&gt;굴절률!$A$44),"",IF(COUNTIFS(굴절률!$A$6:$A$44,AZ11)&gt;0,INDEX(굴절률!$C$6:$C$44,MATCH(AZ11,굴절률!$A$6:$A$44,0)),INDEX(굴절률!$C$6:$C$44,MATCH(AZ11,굴절률!$A$6:$A$44,1))+(AZ11-INDEX(굴절률!$A$6:$A$44,MATCH(AZ11,굴절률!$A$6:$A$44,1)))*(INDEX(굴절률!$C$6:$C$44,MATCH(AZ11,굴절률!$A$6:$A$44,1)+1)-INDEX(굴절률!$C$6:$C$44,MATCH(AZ11,굴절률!$A$6:$A$44,1)))/(INDEX(굴절률!$A$6:$A$44,MATCH(AZ11,굴절률!$A$6:$A$44,1)+1)-INDEX(굴절률!$A$6:$A$44,MATCH(AZ11,굴절률!$A$6:$A$44,1))))))</f>
        <v>2.3346800000000001</v>
      </c>
      <c r="BB11" s="20">
        <f>IF(BA11="","",COS(ASIN(SIN(RADIANS(설정!$G$7))/BA11)))</f>
        <v>1</v>
      </c>
      <c r="BC11" s="21">
        <f>IF(OR(AZ11="",BA11="",BB11=""),"",IF(설정!$C$7="최소",설정!$D$7*AZ11/(2*BA11*BB11),(2*설정!$D$7-1)*AZ11/(4*BA11*BB11)))</f>
        <v>111.36429831925574</v>
      </c>
      <c r="BD11" s="23" t="str">
        <f>IF(COUNT(H11:AT11)=0,"입력 필요",IF(COUNT(H11:AT11)&lt;&gt;39,"데이터 점검",IF(OR(설정!$E$7&gt;설정!$F$7,설정!$E$7&lt;360,설정!$F$7&gt;740),"검색 범위 오류",IF(AY11&lt;&gt;"","수동 파장",IF(OR(AZ11=설정!$E$7,AZ11=설정!$F$7),"경계 극값 확인","완료")))))</f>
        <v>완료</v>
      </c>
      <c r="BE11" s="40" t="str">
        <f>IF(AND(BE$5&gt;=설정!$E$7,BE$5&lt;=설정!$F$7),H11,"")</f>
        <v/>
      </c>
      <c r="BF11" s="40" t="str">
        <f>IF(AND(BF$5&gt;=설정!$E$7,BF$5&lt;=설정!$F$7),I11,"")</f>
        <v/>
      </c>
      <c r="BG11" s="40" t="str">
        <f>IF(AND(BG$5&gt;=설정!$E$7,BG$5&lt;=설정!$F$7),J11,"")</f>
        <v/>
      </c>
      <c r="BH11" s="40" t="str">
        <f>IF(AND(BH$5&gt;=설정!$E$7,BH$5&lt;=설정!$F$7),K11,"")</f>
        <v/>
      </c>
      <c r="BI11" s="40" t="str">
        <f>IF(AND(BI$5&gt;=설정!$E$7,BI$5&lt;=설정!$F$7),L11,"")</f>
        <v/>
      </c>
      <c r="BJ11" s="40" t="str">
        <f>IF(AND(BJ$5&gt;=설정!$E$7,BJ$5&lt;=설정!$F$7),M11,"")</f>
        <v/>
      </c>
      <c r="BK11" s="40" t="str">
        <f>IF(AND(BK$5&gt;=설정!$E$7,BK$5&lt;=설정!$F$7),N11,"")</f>
        <v/>
      </c>
      <c r="BL11" s="40">
        <f>IF(AND(BL$5&gt;=설정!$E$7,BL$5&lt;=설정!$F$7),O11,"")</f>
        <v>25.53</v>
      </c>
      <c r="BM11" s="40">
        <f>IF(AND(BM$5&gt;=설정!$E$7,BM$5&lt;=설정!$F$7),P11,"")</f>
        <v>22.85</v>
      </c>
      <c r="BN11" s="40">
        <f>IF(AND(BN$5&gt;=설정!$E$7,BN$5&lt;=설정!$F$7),Q11,"")</f>
        <v>20.62</v>
      </c>
      <c r="BO11" s="40">
        <f>IF(AND(BO$5&gt;=설정!$E$7,BO$5&lt;=설정!$F$7),R11,"")</f>
        <v>18.34</v>
      </c>
      <c r="BP11" s="40">
        <f>IF(AND(BP$5&gt;=설정!$E$7,BP$5&lt;=설정!$F$7),S11,"")</f>
        <v>16.55</v>
      </c>
      <c r="BQ11" s="40">
        <f>IF(AND(BQ$5&gt;=설정!$E$7,BQ$5&lt;=설정!$F$7),T11,"")</f>
        <v>14.94</v>
      </c>
      <c r="BR11" s="40">
        <f>IF(AND(BR$5&gt;=설정!$E$7,BR$5&lt;=설정!$F$7),U11,"")</f>
        <v>13.87</v>
      </c>
      <c r="BS11" s="40">
        <f>IF(AND(BS$5&gt;=설정!$E$7,BS$5&lt;=설정!$F$7),V11,"")</f>
        <v>12.99</v>
      </c>
      <c r="BT11" s="40">
        <f>IF(AND(BT$5&gt;=설정!$E$7,BT$5&lt;=설정!$F$7),W11,"")</f>
        <v>12.46</v>
      </c>
      <c r="BU11" s="40">
        <f>IF(AND(BU$5&gt;=설정!$E$7,BU$5&lt;=설정!$F$7),X11,"")</f>
        <v>12.22</v>
      </c>
      <c r="BV11" s="40">
        <f>IF(AND(BV$5&gt;=설정!$E$7,BV$5&lt;=설정!$F$7),Y11,"")</f>
        <v>12.24</v>
      </c>
      <c r="BW11" s="40">
        <f>IF(AND(BW$5&gt;=설정!$E$7,BW$5&lt;=설정!$F$7),Z11,"")</f>
        <v>12.45</v>
      </c>
      <c r="BX11" s="40">
        <f>IF(AND(BX$5&gt;=설정!$E$7,BX$5&lt;=설정!$F$7),AA11,"")</f>
        <v>12.83</v>
      </c>
      <c r="BY11" s="40">
        <f>IF(AND(BY$5&gt;=설정!$E$7,BY$5&lt;=설정!$F$7),AB11,"")</f>
        <v>13.37</v>
      </c>
      <c r="BZ11" s="40">
        <f>IF(AND(BZ$5&gt;=설정!$E$7,BZ$5&lt;=설정!$F$7),AC11,"")</f>
        <v>14.01</v>
      </c>
      <c r="CA11" s="40">
        <f>IF(AND(CA$5&gt;=설정!$E$7,CA$5&lt;=설정!$F$7),AD11,"")</f>
        <v>14.71</v>
      </c>
      <c r="CB11" s="40">
        <f>IF(AND(CB$5&gt;=설정!$E$7,CB$5&lt;=설정!$F$7),AE11,"")</f>
        <v>15.46</v>
      </c>
      <c r="CC11" s="40">
        <f>IF(AND(CC$5&gt;=설정!$E$7,CC$5&lt;=설정!$F$7),AF11,"")</f>
        <v>16.239999999999998</v>
      </c>
      <c r="CD11" s="40" t="str">
        <f>IF(AND(CD$5&gt;=설정!$E$7,CD$5&lt;=설정!$F$7),AG11,"")</f>
        <v/>
      </c>
      <c r="CE11" s="40" t="str">
        <f>IF(AND(CE$5&gt;=설정!$E$7,CE$5&lt;=설정!$F$7),AH11,"")</f>
        <v/>
      </c>
      <c r="CF11" s="40" t="str">
        <f>IF(AND(CF$5&gt;=설정!$E$7,CF$5&lt;=설정!$F$7),AI11,"")</f>
        <v/>
      </c>
      <c r="CG11" s="40" t="str">
        <f>IF(AND(CG$5&gt;=설정!$E$7,CG$5&lt;=설정!$F$7),AJ11,"")</f>
        <v/>
      </c>
      <c r="CH11" s="40" t="str">
        <f>IF(AND(CH$5&gt;=설정!$E$7,CH$5&lt;=설정!$F$7),AK11,"")</f>
        <v/>
      </c>
      <c r="CI11" s="40" t="str">
        <f>IF(AND(CI$5&gt;=설정!$E$7,CI$5&lt;=설정!$F$7),AL11,"")</f>
        <v/>
      </c>
      <c r="CJ11" s="40" t="str">
        <f>IF(AND(CJ$5&gt;=설정!$E$7,CJ$5&lt;=설정!$F$7),AM11,"")</f>
        <v/>
      </c>
      <c r="CK11" s="40" t="str">
        <f>IF(AND(CK$5&gt;=설정!$E$7,CK$5&lt;=설정!$F$7),AN11,"")</f>
        <v/>
      </c>
      <c r="CL11" s="40" t="str">
        <f>IF(AND(CL$5&gt;=설정!$E$7,CL$5&lt;=설정!$F$7),AO11,"")</f>
        <v/>
      </c>
      <c r="CM11" s="40" t="str">
        <f>IF(AND(CM$5&gt;=설정!$E$7,CM$5&lt;=설정!$F$7),AP11,"")</f>
        <v/>
      </c>
      <c r="CN11" s="40" t="str">
        <f>IF(AND(CN$5&gt;=설정!$E$7,CN$5&lt;=설정!$F$7),AQ11,"")</f>
        <v/>
      </c>
      <c r="CO11" s="40" t="str">
        <f>IF(AND(CO$5&gt;=설정!$E$7,CO$5&lt;=설정!$F$7),AR11,"")</f>
        <v/>
      </c>
      <c r="CP11" s="40" t="str">
        <f>IF(AND(CP$5&gt;=설정!$E$7,CP$5&lt;=설정!$F$7),AS11,"")</f>
        <v/>
      </c>
      <c r="CQ11" s="40" t="str">
        <f>IF(AND(CQ$5&gt;=설정!$E$7,CQ$5&lt;=설정!$F$7),AT11,"")</f>
        <v/>
      </c>
    </row>
    <row r="12" spans="1:95" ht="19.95" customHeight="1">
      <c r="A12" s="28">
        <v>7</v>
      </c>
      <c r="B12" s="25" t="s">
        <v>89</v>
      </c>
      <c r="C12" s="39">
        <v>45.07</v>
      </c>
      <c r="D12" s="39">
        <v>14.16</v>
      </c>
      <c r="E12" s="39">
        <v>-10.45</v>
      </c>
      <c r="F12" s="39">
        <v>14.59</v>
      </c>
      <c r="G12" s="25" t="s">
        <v>83</v>
      </c>
      <c r="H12" s="39">
        <v>34.57</v>
      </c>
      <c r="I12" s="39">
        <v>36.08</v>
      </c>
      <c r="J12" s="39">
        <v>35.58</v>
      </c>
      <c r="K12" s="39">
        <v>34.14</v>
      </c>
      <c r="L12" s="39">
        <v>32.04</v>
      </c>
      <c r="M12" s="39">
        <v>29.44</v>
      </c>
      <c r="N12" s="39">
        <v>26.72</v>
      </c>
      <c r="O12" s="39">
        <v>24.12</v>
      </c>
      <c r="P12" s="39">
        <v>21.43</v>
      </c>
      <c r="Q12" s="39">
        <v>19.170000000000002</v>
      </c>
      <c r="R12" s="39">
        <v>17.13</v>
      </c>
      <c r="S12" s="39">
        <v>15.48</v>
      </c>
      <c r="T12" s="39">
        <v>14.08</v>
      </c>
      <c r="U12" s="39">
        <v>13.19</v>
      </c>
      <c r="V12" s="39">
        <v>12.53</v>
      </c>
      <c r="W12" s="39">
        <v>12.22</v>
      </c>
      <c r="X12" s="39">
        <v>12.16</v>
      </c>
      <c r="Y12" s="39">
        <v>12.34</v>
      </c>
      <c r="Z12" s="39">
        <v>12.72</v>
      </c>
      <c r="AA12" s="39">
        <v>13.21</v>
      </c>
      <c r="AB12" s="39">
        <v>13.87</v>
      </c>
      <c r="AC12" s="39">
        <v>14.59</v>
      </c>
      <c r="AD12" s="39">
        <v>15.35</v>
      </c>
      <c r="AE12" s="39">
        <v>16.14</v>
      </c>
      <c r="AF12" s="39">
        <v>16.95</v>
      </c>
      <c r="AG12" s="39">
        <v>17.739999999999998</v>
      </c>
      <c r="AH12" s="39">
        <v>18.55</v>
      </c>
      <c r="AI12" s="39">
        <v>19.29</v>
      </c>
      <c r="AJ12" s="39">
        <v>20.079999999999998</v>
      </c>
      <c r="AK12" s="39">
        <v>20.76</v>
      </c>
      <c r="AL12" s="39">
        <v>21.48</v>
      </c>
      <c r="AM12" s="39">
        <v>22.14</v>
      </c>
      <c r="AN12" s="39">
        <v>22.72</v>
      </c>
      <c r="AO12" s="39">
        <v>23.3</v>
      </c>
      <c r="AP12" s="39">
        <v>23.79</v>
      </c>
      <c r="AQ12" s="39">
        <v>24.29</v>
      </c>
      <c r="AR12" s="39">
        <v>24.71</v>
      </c>
      <c r="AS12" s="39">
        <v>25.21</v>
      </c>
      <c r="AT12" s="39">
        <v>25.63</v>
      </c>
      <c r="AU12" s="21">
        <f>IF(OR(설정!$E$7&gt;설정!$F$7,COUNT(H12:AT12)=0),"",MIN(BE12:CQ12))</f>
        <v>12.16</v>
      </c>
      <c r="AV12" s="21">
        <f t="shared" si="0"/>
        <v>520</v>
      </c>
      <c r="AW12" s="21">
        <f>IF(OR(설정!$E$7&gt;설정!$F$7,COUNT(H12:AT12)=0),"",MAX(BE12:CQ12))</f>
        <v>24.12</v>
      </c>
      <c r="AX12" s="21">
        <f t="shared" si="1"/>
        <v>430</v>
      </c>
      <c r="AY12" s="35"/>
      <c r="AZ12" s="19">
        <f>IF(AY12&lt;&gt;"",AY12,IF(설정!$C$7="최소",AV12,AX12))</f>
        <v>520</v>
      </c>
      <c r="BA12" s="20">
        <f>IF(AZ12="","",IF(OR(AZ12&lt;굴절률!$A$6,AZ12&gt;굴절률!$A$44),"",IF(COUNTIFS(굴절률!$A$6:$A$44,AZ12)&gt;0,INDEX(굴절률!$C$6:$C$44,MATCH(AZ12,굴절률!$A$6:$A$44,0)),INDEX(굴절률!$C$6:$C$44,MATCH(AZ12,굴절률!$A$6:$A$44,1))+(AZ12-INDEX(굴절률!$A$6:$A$44,MATCH(AZ12,굴절률!$A$6:$A$44,1)))*(INDEX(굴절률!$C$6:$C$44,MATCH(AZ12,굴절률!$A$6:$A$44,1)+1)-INDEX(굴절률!$C$6:$C$44,MATCH(AZ12,굴절률!$A$6:$A$44,1)))/(INDEX(굴절률!$A$6:$A$44,MATCH(AZ12,굴절률!$A$6:$A$44,1)+1)-INDEX(굴절률!$A$6:$A$44,MATCH(AZ12,굴절률!$A$6:$A$44,1))))))</f>
        <v>2.3346800000000001</v>
      </c>
      <c r="BB12" s="20">
        <f>IF(BA12="","",COS(ASIN(SIN(RADIANS(설정!$G$7))/BA12)))</f>
        <v>1</v>
      </c>
      <c r="BC12" s="21">
        <f>IF(OR(AZ12="",BA12="",BB12=""),"",IF(설정!$C$7="최소",설정!$D$7*AZ12/(2*BA12*BB12),(2*설정!$D$7-1)*AZ12/(4*BA12*BB12)))</f>
        <v>111.36429831925574</v>
      </c>
      <c r="BD12" s="23" t="str">
        <f>IF(COUNT(H12:AT12)=0,"입력 필요",IF(COUNT(H12:AT12)&lt;&gt;39,"데이터 점검",IF(OR(설정!$E$7&gt;설정!$F$7,설정!$E$7&lt;360,설정!$F$7&gt;740),"검색 범위 오류",IF(AY12&lt;&gt;"","수동 파장",IF(OR(AZ12=설정!$E$7,AZ12=설정!$F$7),"경계 극값 확인","완료")))))</f>
        <v>완료</v>
      </c>
      <c r="BE12" s="40" t="str">
        <f>IF(AND(BE$5&gt;=설정!$E$7,BE$5&lt;=설정!$F$7),H12,"")</f>
        <v/>
      </c>
      <c r="BF12" s="40" t="str">
        <f>IF(AND(BF$5&gt;=설정!$E$7,BF$5&lt;=설정!$F$7),I12,"")</f>
        <v/>
      </c>
      <c r="BG12" s="40" t="str">
        <f>IF(AND(BG$5&gt;=설정!$E$7,BG$5&lt;=설정!$F$7),J12,"")</f>
        <v/>
      </c>
      <c r="BH12" s="40" t="str">
        <f>IF(AND(BH$5&gt;=설정!$E$7,BH$5&lt;=설정!$F$7),K12,"")</f>
        <v/>
      </c>
      <c r="BI12" s="40" t="str">
        <f>IF(AND(BI$5&gt;=설정!$E$7,BI$5&lt;=설정!$F$7),L12,"")</f>
        <v/>
      </c>
      <c r="BJ12" s="40" t="str">
        <f>IF(AND(BJ$5&gt;=설정!$E$7,BJ$5&lt;=설정!$F$7),M12,"")</f>
        <v/>
      </c>
      <c r="BK12" s="40" t="str">
        <f>IF(AND(BK$5&gt;=설정!$E$7,BK$5&lt;=설정!$F$7),N12,"")</f>
        <v/>
      </c>
      <c r="BL12" s="40">
        <f>IF(AND(BL$5&gt;=설정!$E$7,BL$5&lt;=설정!$F$7),O12,"")</f>
        <v>24.12</v>
      </c>
      <c r="BM12" s="40">
        <f>IF(AND(BM$5&gt;=설정!$E$7,BM$5&lt;=설정!$F$7),P12,"")</f>
        <v>21.43</v>
      </c>
      <c r="BN12" s="40">
        <f>IF(AND(BN$5&gt;=설정!$E$7,BN$5&lt;=설정!$F$7),Q12,"")</f>
        <v>19.170000000000002</v>
      </c>
      <c r="BO12" s="40">
        <f>IF(AND(BO$5&gt;=설정!$E$7,BO$5&lt;=설정!$F$7),R12,"")</f>
        <v>17.13</v>
      </c>
      <c r="BP12" s="40">
        <f>IF(AND(BP$5&gt;=설정!$E$7,BP$5&lt;=설정!$F$7),S12,"")</f>
        <v>15.48</v>
      </c>
      <c r="BQ12" s="40">
        <f>IF(AND(BQ$5&gt;=설정!$E$7,BQ$5&lt;=설정!$F$7),T12,"")</f>
        <v>14.08</v>
      </c>
      <c r="BR12" s="40">
        <f>IF(AND(BR$5&gt;=설정!$E$7,BR$5&lt;=설정!$F$7),U12,"")</f>
        <v>13.19</v>
      </c>
      <c r="BS12" s="40">
        <f>IF(AND(BS$5&gt;=설정!$E$7,BS$5&lt;=설정!$F$7),V12,"")</f>
        <v>12.53</v>
      </c>
      <c r="BT12" s="40">
        <f>IF(AND(BT$5&gt;=설정!$E$7,BT$5&lt;=설정!$F$7),W12,"")</f>
        <v>12.22</v>
      </c>
      <c r="BU12" s="40">
        <f>IF(AND(BU$5&gt;=설정!$E$7,BU$5&lt;=설정!$F$7),X12,"")</f>
        <v>12.16</v>
      </c>
      <c r="BV12" s="40">
        <f>IF(AND(BV$5&gt;=설정!$E$7,BV$5&lt;=설정!$F$7),Y12,"")</f>
        <v>12.34</v>
      </c>
      <c r="BW12" s="40">
        <f>IF(AND(BW$5&gt;=설정!$E$7,BW$5&lt;=설정!$F$7),Z12,"")</f>
        <v>12.72</v>
      </c>
      <c r="BX12" s="40">
        <f>IF(AND(BX$5&gt;=설정!$E$7,BX$5&lt;=설정!$F$7),AA12,"")</f>
        <v>13.21</v>
      </c>
      <c r="BY12" s="40">
        <f>IF(AND(BY$5&gt;=설정!$E$7,BY$5&lt;=설정!$F$7),AB12,"")</f>
        <v>13.87</v>
      </c>
      <c r="BZ12" s="40">
        <f>IF(AND(BZ$5&gt;=설정!$E$7,BZ$5&lt;=설정!$F$7),AC12,"")</f>
        <v>14.59</v>
      </c>
      <c r="CA12" s="40">
        <f>IF(AND(CA$5&gt;=설정!$E$7,CA$5&lt;=설정!$F$7),AD12,"")</f>
        <v>15.35</v>
      </c>
      <c r="CB12" s="40">
        <f>IF(AND(CB$5&gt;=설정!$E$7,CB$5&lt;=설정!$F$7),AE12,"")</f>
        <v>16.14</v>
      </c>
      <c r="CC12" s="40">
        <f>IF(AND(CC$5&gt;=설정!$E$7,CC$5&lt;=설정!$F$7),AF12,"")</f>
        <v>16.95</v>
      </c>
      <c r="CD12" s="40" t="str">
        <f>IF(AND(CD$5&gt;=설정!$E$7,CD$5&lt;=설정!$F$7),AG12,"")</f>
        <v/>
      </c>
      <c r="CE12" s="40" t="str">
        <f>IF(AND(CE$5&gt;=설정!$E$7,CE$5&lt;=설정!$F$7),AH12,"")</f>
        <v/>
      </c>
      <c r="CF12" s="40" t="str">
        <f>IF(AND(CF$5&gt;=설정!$E$7,CF$5&lt;=설정!$F$7),AI12,"")</f>
        <v/>
      </c>
      <c r="CG12" s="40" t="str">
        <f>IF(AND(CG$5&gt;=설정!$E$7,CG$5&lt;=설정!$F$7),AJ12,"")</f>
        <v/>
      </c>
      <c r="CH12" s="40" t="str">
        <f>IF(AND(CH$5&gt;=설정!$E$7,CH$5&lt;=설정!$F$7),AK12,"")</f>
        <v/>
      </c>
      <c r="CI12" s="40" t="str">
        <f>IF(AND(CI$5&gt;=설정!$E$7,CI$5&lt;=설정!$F$7),AL12,"")</f>
        <v/>
      </c>
      <c r="CJ12" s="40" t="str">
        <f>IF(AND(CJ$5&gt;=설정!$E$7,CJ$5&lt;=설정!$F$7),AM12,"")</f>
        <v/>
      </c>
      <c r="CK12" s="40" t="str">
        <f>IF(AND(CK$5&gt;=설정!$E$7,CK$5&lt;=설정!$F$7),AN12,"")</f>
        <v/>
      </c>
      <c r="CL12" s="40" t="str">
        <f>IF(AND(CL$5&gt;=설정!$E$7,CL$5&lt;=설정!$F$7),AO12,"")</f>
        <v/>
      </c>
      <c r="CM12" s="40" t="str">
        <f>IF(AND(CM$5&gt;=설정!$E$7,CM$5&lt;=설정!$F$7),AP12,"")</f>
        <v/>
      </c>
      <c r="CN12" s="40" t="str">
        <f>IF(AND(CN$5&gt;=설정!$E$7,CN$5&lt;=설정!$F$7),AQ12,"")</f>
        <v/>
      </c>
      <c r="CO12" s="40" t="str">
        <f>IF(AND(CO$5&gt;=설정!$E$7,CO$5&lt;=설정!$F$7),AR12,"")</f>
        <v/>
      </c>
      <c r="CP12" s="40" t="str">
        <f>IF(AND(CP$5&gt;=설정!$E$7,CP$5&lt;=설정!$F$7),AS12,"")</f>
        <v/>
      </c>
      <c r="CQ12" s="40" t="str">
        <f>IF(AND(CQ$5&gt;=설정!$E$7,CQ$5&lt;=설정!$F$7),AT12,"")</f>
        <v/>
      </c>
    </row>
    <row r="13" spans="1:95" ht="19.95" customHeight="1">
      <c r="A13" s="28">
        <v>8</v>
      </c>
      <c r="B13" s="25" t="s">
        <v>90</v>
      </c>
      <c r="C13" s="39">
        <v>45.53</v>
      </c>
      <c r="D13" s="39">
        <v>13.76</v>
      </c>
      <c r="E13" s="39">
        <v>-6.68</v>
      </c>
      <c r="F13" s="39">
        <v>14.92</v>
      </c>
      <c r="G13" s="25" t="s">
        <v>83</v>
      </c>
      <c r="H13" s="39">
        <v>35.47</v>
      </c>
      <c r="I13" s="39">
        <v>36.06</v>
      </c>
      <c r="J13" s="39">
        <v>34.92</v>
      </c>
      <c r="K13" s="39">
        <v>33.03</v>
      </c>
      <c r="L13" s="39">
        <v>30.57</v>
      </c>
      <c r="M13" s="39">
        <v>27.75</v>
      </c>
      <c r="N13" s="39">
        <v>24.93</v>
      </c>
      <c r="O13" s="39">
        <v>22.28</v>
      </c>
      <c r="P13" s="39">
        <v>19.600000000000001</v>
      </c>
      <c r="Q13" s="39">
        <v>17.579999999999998</v>
      </c>
      <c r="R13" s="39">
        <v>15.72</v>
      </c>
      <c r="S13" s="39">
        <v>14.29</v>
      </c>
      <c r="T13" s="39">
        <v>13.16</v>
      </c>
      <c r="U13" s="39">
        <v>12.54</v>
      </c>
      <c r="V13" s="39">
        <v>12.14</v>
      </c>
      <c r="W13" s="39">
        <v>12.07</v>
      </c>
      <c r="X13" s="39">
        <v>12.24</v>
      </c>
      <c r="Y13" s="39">
        <v>12.61</v>
      </c>
      <c r="Z13" s="39">
        <v>13.17</v>
      </c>
      <c r="AA13" s="39">
        <v>13.78</v>
      </c>
      <c r="AB13" s="39">
        <v>14.52</v>
      </c>
      <c r="AC13" s="39">
        <v>15.32</v>
      </c>
      <c r="AD13" s="39">
        <v>16.12</v>
      </c>
      <c r="AE13" s="39">
        <v>16.95</v>
      </c>
      <c r="AF13" s="39">
        <v>17.78</v>
      </c>
      <c r="AG13" s="39">
        <v>18.600000000000001</v>
      </c>
      <c r="AH13" s="39">
        <v>19.38</v>
      </c>
      <c r="AI13" s="39">
        <v>20.11</v>
      </c>
      <c r="AJ13" s="39">
        <v>20.86</v>
      </c>
      <c r="AK13" s="39">
        <v>21.52</v>
      </c>
      <c r="AL13" s="39">
        <v>22.18</v>
      </c>
      <c r="AM13" s="39">
        <v>22.76</v>
      </c>
      <c r="AN13" s="39">
        <v>23.35</v>
      </c>
      <c r="AO13" s="39">
        <v>23.91</v>
      </c>
      <c r="AP13" s="39">
        <v>24.39</v>
      </c>
      <c r="AQ13" s="39">
        <v>24.87</v>
      </c>
      <c r="AR13" s="39">
        <v>25.21</v>
      </c>
      <c r="AS13" s="39">
        <v>25.67</v>
      </c>
      <c r="AT13" s="39">
        <v>26.05</v>
      </c>
      <c r="AU13" s="21">
        <f>IF(OR(설정!$E$7&gt;설정!$F$7,COUNT(H13:AT13)=0),"",MIN(BE13:CQ13))</f>
        <v>12.07</v>
      </c>
      <c r="AV13" s="21">
        <f t="shared" si="0"/>
        <v>510</v>
      </c>
      <c r="AW13" s="21">
        <f>IF(OR(설정!$E$7&gt;설정!$F$7,COUNT(H13:AT13)=0),"",MAX(BE13:CQ13))</f>
        <v>22.28</v>
      </c>
      <c r="AX13" s="21">
        <f t="shared" si="1"/>
        <v>430</v>
      </c>
      <c r="AY13" s="35"/>
      <c r="AZ13" s="19">
        <f>IF(AY13&lt;&gt;"",AY13,IF(설정!$C$7="최소",AV13,AX13))</f>
        <v>510</v>
      </c>
      <c r="BA13" s="20">
        <f>IF(AZ13="","",IF(OR(AZ13&lt;굴절률!$A$6,AZ13&gt;굴절률!$A$44),"",IF(COUNTIFS(굴절률!$A$6:$A$44,AZ13)&gt;0,INDEX(굴절률!$C$6:$C$44,MATCH(AZ13,굴절률!$A$6:$A$44,0)),INDEX(굴절률!$C$6:$C$44,MATCH(AZ13,굴절률!$A$6:$A$44,1))+(AZ13-INDEX(굴절률!$A$6:$A$44,MATCH(AZ13,굴절률!$A$6:$A$44,1)))*(INDEX(굴절률!$C$6:$C$44,MATCH(AZ13,굴절률!$A$6:$A$44,1)+1)-INDEX(굴절률!$C$6:$C$44,MATCH(AZ13,굴절률!$A$6:$A$44,1)))/(INDEX(굴절률!$A$6:$A$44,MATCH(AZ13,굴절률!$A$6:$A$44,1)+1)-INDEX(굴절률!$A$6:$A$44,MATCH(AZ13,굴절률!$A$6:$A$44,1))))))</f>
        <v>2.33996</v>
      </c>
      <c r="BB13" s="20">
        <f>IF(BA13="","",COS(ASIN(SIN(RADIANS(설정!$G$7))/BA13)))</f>
        <v>1</v>
      </c>
      <c r="BC13" s="21">
        <f>IF(OR(AZ13="",BA13="",BB13=""),"",IF(설정!$C$7="최소",설정!$D$7*AZ13/(2*BA13*BB13),(2*설정!$D$7-1)*AZ13/(4*BA13*BB13)))</f>
        <v>108.97622181575753</v>
      </c>
      <c r="BD13" s="23" t="str">
        <f>IF(COUNT(H13:AT13)=0,"입력 필요",IF(COUNT(H13:AT13)&lt;&gt;39,"데이터 점검",IF(OR(설정!$E$7&gt;설정!$F$7,설정!$E$7&lt;360,설정!$F$7&gt;740),"검색 범위 오류",IF(AY13&lt;&gt;"","수동 파장",IF(OR(AZ13=설정!$E$7,AZ13=설정!$F$7),"경계 극값 확인","완료")))))</f>
        <v>완료</v>
      </c>
      <c r="BE13" s="40" t="str">
        <f>IF(AND(BE$5&gt;=설정!$E$7,BE$5&lt;=설정!$F$7),H13,"")</f>
        <v/>
      </c>
      <c r="BF13" s="40" t="str">
        <f>IF(AND(BF$5&gt;=설정!$E$7,BF$5&lt;=설정!$F$7),I13,"")</f>
        <v/>
      </c>
      <c r="BG13" s="40" t="str">
        <f>IF(AND(BG$5&gt;=설정!$E$7,BG$5&lt;=설정!$F$7),J13,"")</f>
        <v/>
      </c>
      <c r="BH13" s="40" t="str">
        <f>IF(AND(BH$5&gt;=설정!$E$7,BH$5&lt;=설정!$F$7),K13,"")</f>
        <v/>
      </c>
      <c r="BI13" s="40" t="str">
        <f>IF(AND(BI$5&gt;=설정!$E$7,BI$5&lt;=설정!$F$7),L13,"")</f>
        <v/>
      </c>
      <c r="BJ13" s="40" t="str">
        <f>IF(AND(BJ$5&gt;=설정!$E$7,BJ$5&lt;=설정!$F$7),M13,"")</f>
        <v/>
      </c>
      <c r="BK13" s="40" t="str">
        <f>IF(AND(BK$5&gt;=설정!$E$7,BK$5&lt;=설정!$F$7),N13,"")</f>
        <v/>
      </c>
      <c r="BL13" s="40">
        <f>IF(AND(BL$5&gt;=설정!$E$7,BL$5&lt;=설정!$F$7),O13,"")</f>
        <v>22.28</v>
      </c>
      <c r="BM13" s="40">
        <f>IF(AND(BM$5&gt;=설정!$E$7,BM$5&lt;=설정!$F$7),P13,"")</f>
        <v>19.600000000000001</v>
      </c>
      <c r="BN13" s="40">
        <f>IF(AND(BN$5&gt;=설정!$E$7,BN$5&lt;=설정!$F$7),Q13,"")</f>
        <v>17.579999999999998</v>
      </c>
      <c r="BO13" s="40">
        <f>IF(AND(BO$5&gt;=설정!$E$7,BO$5&lt;=설정!$F$7),R13,"")</f>
        <v>15.72</v>
      </c>
      <c r="BP13" s="40">
        <f>IF(AND(BP$5&gt;=설정!$E$7,BP$5&lt;=설정!$F$7),S13,"")</f>
        <v>14.29</v>
      </c>
      <c r="BQ13" s="40">
        <f>IF(AND(BQ$5&gt;=설정!$E$7,BQ$5&lt;=설정!$F$7),T13,"")</f>
        <v>13.16</v>
      </c>
      <c r="BR13" s="40">
        <f>IF(AND(BR$5&gt;=설정!$E$7,BR$5&lt;=설정!$F$7),U13,"")</f>
        <v>12.54</v>
      </c>
      <c r="BS13" s="40">
        <f>IF(AND(BS$5&gt;=설정!$E$7,BS$5&lt;=설정!$F$7),V13,"")</f>
        <v>12.14</v>
      </c>
      <c r="BT13" s="40">
        <f>IF(AND(BT$5&gt;=설정!$E$7,BT$5&lt;=설정!$F$7),W13,"")</f>
        <v>12.07</v>
      </c>
      <c r="BU13" s="40">
        <f>IF(AND(BU$5&gt;=설정!$E$7,BU$5&lt;=설정!$F$7),X13,"")</f>
        <v>12.24</v>
      </c>
      <c r="BV13" s="40">
        <f>IF(AND(BV$5&gt;=설정!$E$7,BV$5&lt;=설정!$F$7),Y13,"")</f>
        <v>12.61</v>
      </c>
      <c r="BW13" s="40">
        <f>IF(AND(BW$5&gt;=설정!$E$7,BW$5&lt;=설정!$F$7),Z13,"")</f>
        <v>13.17</v>
      </c>
      <c r="BX13" s="40">
        <f>IF(AND(BX$5&gt;=설정!$E$7,BX$5&lt;=설정!$F$7),AA13,"")</f>
        <v>13.78</v>
      </c>
      <c r="BY13" s="40">
        <f>IF(AND(BY$5&gt;=설정!$E$7,BY$5&lt;=설정!$F$7),AB13,"")</f>
        <v>14.52</v>
      </c>
      <c r="BZ13" s="40">
        <f>IF(AND(BZ$5&gt;=설정!$E$7,BZ$5&lt;=설정!$F$7),AC13,"")</f>
        <v>15.32</v>
      </c>
      <c r="CA13" s="40">
        <f>IF(AND(CA$5&gt;=설정!$E$7,CA$5&lt;=설정!$F$7),AD13,"")</f>
        <v>16.12</v>
      </c>
      <c r="CB13" s="40">
        <f>IF(AND(CB$5&gt;=설정!$E$7,CB$5&lt;=설정!$F$7),AE13,"")</f>
        <v>16.95</v>
      </c>
      <c r="CC13" s="40">
        <f>IF(AND(CC$5&gt;=설정!$E$7,CC$5&lt;=설정!$F$7),AF13,"")</f>
        <v>17.78</v>
      </c>
      <c r="CD13" s="40" t="str">
        <f>IF(AND(CD$5&gt;=설정!$E$7,CD$5&lt;=설정!$F$7),AG13,"")</f>
        <v/>
      </c>
      <c r="CE13" s="40" t="str">
        <f>IF(AND(CE$5&gt;=설정!$E$7,CE$5&lt;=설정!$F$7),AH13,"")</f>
        <v/>
      </c>
      <c r="CF13" s="40" t="str">
        <f>IF(AND(CF$5&gt;=설정!$E$7,CF$5&lt;=설정!$F$7),AI13,"")</f>
        <v/>
      </c>
      <c r="CG13" s="40" t="str">
        <f>IF(AND(CG$5&gt;=설정!$E$7,CG$5&lt;=설정!$F$7),AJ13,"")</f>
        <v/>
      </c>
      <c r="CH13" s="40" t="str">
        <f>IF(AND(CH$5&gt;=설정!$E$7,CH$5&lt;=설정!$F$7),AK13,"")</f>
        <v/>
      </c>
      <c r="CI13" s="40" t="str">
        <f>IF(AND(CI$5&gt;=설정!$E$7,CI$5&lt;=설정!$F$7),AL13,"")</f>
        <v/>
      </c>
      <c r="CJ13" s="40" t="str">
        <f>IF(AND(CJ$5&gt;=설정!$E$7,CJ$5&lt;=설정!$F$7),AM13,"")</f>
        <v/>
      </c>
      <c r="CK13" s="40" t="str">
        <f>IF(AND(CK$5&gt;=설정!$E$7,CK$5&lt;=설정!$F$7),AN13,"")</f>
        <v/>
      </c>
      <c r="CL13" s="40" t="str">
        <f>IF(AND(CL$5&gt;=설정!$E$7,CL$5&lt;=설정!$F$7),AO13,"")</f>
        <v/>
      </c>
      <c r="CM13" s="40" t="str">
        <f>IF(AND(CM$5&gt;=설정!$E$7,CM$5&lt;=설정!$F$7),AP13,"")</f>
        <v/>
      </c>
      <c r="CN13" s="40" t="str">
        <f>IF(AND(CN$5&gt;=설정!$E$7,CN$5&lt;=설정!$F$7),AQ13,"")</f>
        <v/>
      </c>
      <c r="CO13" s="40" t="str">
        <f>IF(AND(CO$5&gt;=설정!$E$7,CO$5&lt;=설정!$F$7),AR13,"")</f>
        <v/>
      </c>
      <c r="CP13" s="40" t="str">
        <f>IF(AND(CP$5&gt;=설정!$E$7,CP$5&lt;=설정!$F$7),AS13,"")</f>
        <v/>
      </c>
      <c r="CQ13" s="40" t="str">
        <f>IF(AND(CQ$5&gt;=설정!$E$7,CQ$5&lt;=설정!$F$7),AT13,"")</f>
        <v/>
      </c>
    </row>
    <row r="14" spans="1:95" ht="19.95" customHeight="1">
      <c r="A14" s="28">
        <v>9</v>
      </c>
      <c r="B14" s="25" t="s">
        <v>91</v>
      </c>
      <c r="C14" s="39">
        <v>47.06</v>
      </c>
      <c r="D14" s="39">
        <v>12.07</v>
      </c>
      <c r="E14" s="39">
        <v>1.03</v>
      </c>
      <c r="F14" s="39">
        <v>16.059999999999999</v>
      </c>
      <c r="G14" s="25" t="s">
        <v>83</v>
      </c>
      <c r="H14" s="39">
        <v>36.630000000000003</v>
      </c>
      <c r="I14" s="39">
        <v>35.56</v>
      </c>
      <c r="J14" s="39">
        <v>33.28</v>
      </c>
      <c r="K14" s="39">
        <v>30.58</v>
      </c>
      <c r="L14" s="39">
        <v>27.58</v>
      </c>
      <c r="M14" s="39">
        <v>24.45</v>
      </c>
      <c r="N14" s="39">
        <v>21.48</v>
      </c>
      <c r="O14" s="39">
        <v>18.93</v>
      </c>
      <c r="P14" s="39">
        <v>16.66</v>
      </c>
      <c r="Q14" s="39">
        <v>14.97</v>
      </c>
      <c r="R14" s="39">
        <v>13.58</v>
      </c>
      <c r="S14" s="39">
        <v>12.71</v>
      </c>
      <c r="T14" s="39">
        <v>12.18</v>
      </c>
      <c r="U14" s="39">
        <v>12.06</v>
      </c>
      <c r="V14" s="39">
        <v>12.21</v>
      </c>
      <c r="W14" s="39">
        <v>12.55</v>
      </c>
      <c r="X14" s="39">
        <v>13.09</v>
      </c>
      <c r="Y14" s="39">
        <v>13.77</v>
      </c>
      <c r="Z14" s="39">
        <v>14.57</v>
      </c>
      <c r="AA14" s="39">
        <v>15.37</v>
      </c>
      <c r="AB14" s="39">
        <v>16.239999999999998</v>
      </c>
      <c r="AC14" s="39">
        <v>17.14</v>
      </c>
      <c r="AD14" s="39">
        <v>17.989999999999998</v>
      </c>
      <c r="AE14" s="39">
        <v>18.829999999999998</v>
      </c>
      <c r="AF14" s="39">
        <v>19.68</v>
      </c>
      <c r="AG14" s="39">
        <v>20.48</v>
      </c>
      <c r="AH14" s="39">
        <v>21.22</v>
      </c>
      <c r="AI14" s="39">
        <v>21.88</v>
      </c>
      <c r="AJ14" s="39">
        <v>22.61</v>
      </c>
      <c r="AK14" s="39">
        <v>23.19</v>
      </c>
      <c r="AL14" s="39">
        <v>23.8</v>
      </c>
      <c r="AM14" s="39">
        <v>24.3</v>
      </c>
      <c r="AN14" s="39">
        <v>24.79</v>
      </c>
      <c r="AO14" s="39">
        <v>25.3</v>
      </c>
      <c r="AP14" s="39">
        <v>25.69</v>
      </c>
      <c r="AQ14" s="39">
        <v>26.12</v>
      </c>
      <c r="AR14" s="39">
        <v>26.38</v>
      </c>
      <c r="AS14" s="39">
        <v>26.74</v>
      </c>
      <c r="AT14" s="39">
        <v>27.05</v>
      </c>
      <c r="AU14" s="21">
        <f>IF(OR(설정!$E$7&gt;설정!$F$7,COUNT(H14:AT14)=0),"",MIN(BE14:CQ14))</f>
        <v>12.06</v>
      </c>
      <c r="AV14" s="21">
        <f t="shared" si="0"/>
        <v>490</v>
      </c>
      <c r="AW14" s="21">
        <f>IF(OR(설정!$E$7&gt;설정!$F$7,COUNT(H14:AT14)=0),"",MAX(BE14:CQ14))</f>
        <v>19.68</v>
      </c>
      <c r="AX14" s="21">
        <f t="shared" si="1"/>
        <v>600</v>
      </c>
      <c r="AY14" s="35"/>
      <c r="AZ14" s="19">
        <f>IF(AY14&lt;&gt;"",AY14,IF(설정!$C$7="최소",AV14,AX14))</f>
        <v>490</v>
      </c>
      <c r="BA14" s="20">
        <f>IF(AZ14="","",IF(OR(AZ14&lt;굴절률!$A$6,AZ14&gt;굴절률!$A$44),"",IF(COUNTIFS(굴절률!$A$6:$A$44,AZ14)&gt;0,INDEX(굴절률!$C$6:$C$44,MATCH(AZ14,굴절률!$A$6:$A$44,0)),INDEX(굴절률!$C$6:$C$44,MATCH(AZ14,굴절률!$A$6:$A$44,1))+(AZ14-INDEX(굴절률!$A$6:$A$44,MATCH(AZ14,굴절률!$A$6:$A$44,1)))*(INDEX(굴절률!$C$6:$C$44,MATCH(AZ14,굴절률!$A$6:$A$44,1)+1)-INDEX(굴절률!$C$6:$C$44,MATCH(AZ14,굴절률!$A$6:$A$44,1)))/(INDEX(굴절률!$A$6:$A$44,MATCH(AZ14,굴절률!$A$6:$A$44,1)+1)-INDEX(굴절률!$A$6:$A$44,MATCH(AZ14,굴절률!$A$6:$A$44,1))))))</f>
        <v>2.3519800000000002</v>
      </c>
      <c r="BB14" s="20">
        <f>IF(BA14="","",COS(ASIN(SIN(RADIANS(설정!$G$7))/BA14)))</f>
        <v>1</v>
      </c>
      <c r="BC14" s="21">
        <f>IF(OR(AZ14="",BA14="",BB14=""),"",IF(설정!$C$7="최소",설정!$D$7*AZ14/(2*BA14*BB14),(2*설정!$D$7-1)*AZ14/(4*BA14*BB14)))</f>
        <v>104.16755244517384</v>
      </c>
      <c r="BD14" s="23" t="str">
        <f>IF(COUNT(H14:AT14)=0,"입력 필요",IF(COUNT(H14:AT14)&lt;&gt;39,"데이터 점검",IF(OR(설정!$E$7&gt;설정!$F$7,설정!$E$7&lt;360,설정!$F$7&gt;740),"검색 범위 오류",IF(AY14&lt;&gt;"","수동 파장",IF(OR(AZ14=설정!$E$7,AZ14=설정!$F$7),"경계 극값 확인","완료")))))</f>
        <v>완료</v>
      </c>
      <c r="BE14" s="40" t="str">
        <f>IF(AND(BE$5&gt;=설정!$E$7,BE$5&lt;=설정!$F$7),H14,"")</f>
        <v/>
      </c>
      <c r="BF14" s="40" t="str">
        <f>IF(AND(BF$5&gt;=설정!$E$7,BF$5&lt;=설정!$F$7),I14,"")</f>
        <v/>
      </c>
      <c r="BG14" s="40" t="str">
        <f>IF(AND(BG$5&gt;=설정!$E$7,BG$5&lt;=설정!$F$7),J14,"")</f>
        <v/>
      </c>
      <c r="BH14" s="40" t="str">
        <f>IF(AND(BH$5&gt;=설정!$E$7,BH$5&lt;=설정!$F$7),K14,"")</f>
        <v/>
      </c>
      <c r="BI14" s="40" t="str">
        <f>IF(AND(BI$5&gt;=설정!$E$7,BI$5&lt;=설정!$F$7),L14,"")</f>
        <v/>
      </c>
      <c r="BJ14" s="40" t="str">
        <f>IF(AND(BJ$5&gt;=설정!$E$7,BJ$5&lt;=설정!$F$7),M14,"")</f>
        <v/>
      </c>
      <c r="BK14" s="40" t="str">
        <f>IF(AND(BK$5&gt;=설정!$E$7,BK$5&lt;=설정!$F$7),N14,"")</f>
        <v/>
      </c>
      <c r="BL14" s="40">
        <f>IF(AND(BL$5&gt;=설정!$E$7,BL$5&lt;=설정!$F$7),O14,"")</f>
        <v>18.93</v>
      </c>
      <c r="BM14" s="40">
        <f>IF(AND(BM$5&gt;=설정!$E$7,BM$5&lt;=설정!$F$7),P14,"")</f>
        <v>16.66</v>
      </c>
      <c r="BN14" s="40">
        <f>IF(AND(BN$5&gt;=설정!$E$7,BN$5&lt;=설정!$F$7),Q14,"")</f>
        <v>14.97</v>
      </c>
      <c r="BO14" s="40">
        <f>IF(AND(BO$5&gt;=설정!$E$7,BO$5&lt;=설정!$F$7),R14,"")</f>
        <v>13.58</v>
      </c>
      <c r="BP14" s="40">
        <f>IF(AND(BP$5&gt;=설정!$E$7,BP$5&lt;=설정!$F$7),S14,"")</f>
        <v>12.71</v>
      </c>
      <c r="BQ14" s="40">
        <f>IF(AND(BQ$5&gt;=설정!$E$7,BQ$5&lt;=설정!$F$7),T14,"")</f>
        <v>12.18</v>
      </c>
      <c r="BR14" s="40">
        <f>IF(AND(BR$5&gt;=설정!$E$7,BR$5&lt;=설정!$F$7),U14,"")</f>
        <v>12.06</v>
      </c>
      <c r="BS14" s="40">
        <f>IF(AND(BS$5&gt;=설정!$E$7,BS$5&lt;=설정!$F$7),V14,"")</f>
        <v>12.21</v>
      </c>
      <c r="BT14" s="40">
        <f>IF(AND(BT$5&gt;=설정!$E$7,BT$5&lt;=설정!$F$7),W14,"")</f>
        <v>12.55</v>
      </c>
      <c r="BU14" s="40">
        <f>IF(AND(BU$5&gt;=설정!$E$7,BU$5&lt;=설정!$F$7),X14,"")</f>
        <v>13.09</v>
      </c>
      <c r="BV14" s="40">
        <f>IF(AND(BV$5&gt;=설정!$E$7,BV$5&lt;=설정!$F$7),Y14,"")</f>
        <v>13.77</v>
      </c>
      <c r="BW14" s="40">
        <f>IF(AND(BW$5&gt;=설정!$E$7,BW$5&lt;=설정!$F$7),Z14,"")</f>
        <v>14.57</v>
      </c>
      <c r="BX14" s="40">
        <f>IF(AND(BX$5&gt;=설정!$E$7,BX$5&lt;=설정!$F$7),AA14,"")</f>
        <v>15.37</v>
      </c>
      <c r="BY14" s="40">
        <f>IF(AND(BY$5&gt;=설정!$E$7,BY$5&lt;=설정!$F$7),AB14,"")</f>
        <v>16.239999999999998</v>
      </c>
      <c r="BZ14" s="40">
        <f>IF(AND(BZ$5&gt;=설정!$E$7,BZ$5&lt;=설정!$F$7),AC14,"")</f>
        <v>17.14</v>
      </c>
      <c r="CA14" s="40">
        <f>IF(AND(CA$5&gt;=설정!$E$7,CA$5&lt;=설정!$F$7),AD14,"")</f>
        <v>17.989999999999998</v>
      </c>
      <c r="CB14" s="40">
        <f>IF(AND(CB$5&gt;=설정!$E$7,CB$5&lt;=설정!$F$7),AE14,"")</f>
        <v>18.829999999999998</v>
      </c>
      <c r="CC14" s="40">
        <f>IF(AND(CC$5&gt;=설정!$E$7,CC$5&lt;=설정!$F$7),AF14,"")</f>
        <v>19.68</v>
      </c>
      <c r="CD14" s="40" t="str">
        <f>IF(AND(CD$5&gt;=설정!$E$7,CD$5&lt;=설정!$F$7),AG14,"")</f>
        <v/>
      </c>
      <c r="CE14" s="40" t="str">
        <f>IF(AND(CE$5&gt;=설정!$E$7,CE$5&lt;=설정!$F$7),AH14,"")</f>
        <v/>
      </c>
      <c r="CF14" s="40" t="str">
        <f>IF(AND(CF$5&gt;=설정!$E$7,CF$5&lt;=설정!$F$7),AI14,"")</f>
        <v/>
      </c>
      <c r="CG14" s="40" t="str">
        <f>IF(AND(CG$5&gt;=설정!$E$7,CG$5&lt;=설정!$F$7),AJ14,"")</f>
        <v/>
      </c>
      <c r="CH14" s="40" t="str">
        <f>IF(AND(CH$5&gt;=설정!$E$7,CH$5&lt;=설정!$F$7),AK14,"")</f>
        <v/>
      </c>
      <c r="CI14" s="40" t="str">
        <f>IF(AND(CI$5&gt;=설정!$E$7,CI$5&lt;=설정!$F$7),AL14,"")</f>
        <v/>
      </c>
      <c r="CJ14" s="40" t="str">
        <f>IF(AND(CJ$5&gt;=설정!$E$7,CJ$5&lt;=설정!$F$7),AM14,"")</f>
        <v/>
      </c>
      <c r="CK14" s="40" t="str">
        <f>IF(AND(CK$5&gt;=설정!$E$7,CK$5&lt;=설정!$F$7),AN14,"")</f>
        <v/>
      </c>
      <c r="CL14" s="40" t="str">
        <f>IF(AND(CL$5&gt;=설정!$E$7,CL$5&lt;=설정!$F$7),AO14,"")</f>
        <v/>
      </c>
      <c r="CM14" s="40" t="str">
        <f>IF(AND(CM$5&gt;=설정!$E$7,CM$5&lt;=설정!$F$7),AP14,"")</f>
        <v/>
      </c>
      <c r="CN14" s="40" t="str">
        <f>IF(AND(CN$5&gt;=설정!$E$7,CN$5&lt;=설정!$F$7),AQ14,"")</f>
        <v/>
      </c>
      <c r="CO14" s="40" t="str">
        <f>IF(AND(CO$5&gt;=설정!$E$7,CO$5&lt;=설정!$F$7),AR14,"")</f>
        <v/>
      </c>
      <c r="CP14" s="40" t="str">
        <f>IF(AND(CP$5&gt;=설정!$E$7,CP$5&lt;=설정!$F$7),AS14,"")</f>
        <v/>
      </c>
      <c r="CQ14" s="40" t="str">
        <f>IF(AND(CQ$5&gt;=설정!$E$7,CQ$5&lt;=설정!$F$7),AT14,"")</f>
        <v/>
      </c>
    </row>
    <row r="15" spans="1:95" ht="19.95" customHeight="1">
      <c r="A15" s="28">
        <v>10</v>
      </c>
      <c r="B15" s="25" t="s">
        <v>92</v>
      </c>
      <c r="C15" s="39">
        <v>48.88</v>
      </c>
      <c r="D15" s="39">
        <v>9.64</v>
      </c>
      <c r="E15" s="39">
        <v>8.15</v>
      </c>
      <c r="F15" s="39">
        <v>17.489999999999998</v>
      </c>
      <c r="G15" s="25" t="s">
        <v>83</v>
      </c>
      <c r="H15" s="39">
        <v>36.28</v>
      </c>
      <c r="I15" s="39">
        <v>33.83</v>
      </c>
      <c r="J15" s="39">
        <v>30.67</v>
      </c>
      <c r="K15" s="39">
        <v>27.36</v>
      </c>
      <c r="L15" s="39">
        <v>24.07</v>
      </c>
      <c r="M15" s="39">
        <v>20.92</v>
      </c>
      <c r="N15" s="39">
        <v>18.14</v>
      </c>
      <c r="O15" s="39">
        <v>15.98</v>
      </c>
      <c r="P15" s="39">
        <v>14.23</v>
      </c>
      <c r="Q15" s="39">
        <v>13.12</v>
      </c>
      <c r="R15" s="39">
        <v>12.35</v>
      </c>
      <c r="S15" s="39">
        <v>12.06</v>
      </c>
      <c r="T15" s="39">
        <v>12.1</v>
      </c>
      <c r="U15" s="39">
        <v>12.42</v>
      </c>
      <c r="V15" s="39">
        <v>13.02</v>
      </c>
      <c r="W15" s="39">
        <v>13.68</v>
      </c>
      <c r="X15" s="39">
        <v>14.48</v>
      </c>
      <c r="Y15" s="39">
        <v>15.38</v>
      </c>
      <c r="Z15" s="39">
        <v>16.32</v>
      </c>
      <c r="AA15" s="39">
        <v>17.21</v>
      </c>
      <c r="AB15" s="39">
        <v>18.14</v>
      </c>
      <c r="AC15" s="39">
        <v>19.04</v>
      </c>
      <c r="AD15" s="39">
        <v>19.89</v>
      </c>
      <c r="AE15" s="39">
        <v>20.72</v>
      </c>
      <c r="AF15" s="39">
        <v>21.52</v>
      </c>
      <c r="AG15" s="39">
        <v>22.25</v>
      </c>
      <c r="AH15" s="39">
        <v>22.94</v>
      </c>
      <c r="AI15" s="39">
        <v>23.54</v>
      </c>
      <c r="AJ15" s="39">
        <v>24.17</v>
      </c>
      <c r="AK15" s="39">
        <v>24.68</v>
      </c>
      <c r="AL15" s="39">
        <v>25.19</v>
      </c>
      <c r="AM15" s="39">
        <v>25.63</v>
      </c>
      <c r="AN15" s="39">
        <v>26.04</v>
      </c>
      <c r="AO15" s="39">
        <v>26.46</v>
      </c>
      <c r="AP15" s="39">
        <v>26.82</v>
      </c>
      <c r="AQ15" s="39">
        <v>27.09</v>
      </c>
      <c r="AR15" s="39">
        <v>27.29</v>
      </c>
      <c r="AS15" s="39">
        <v>27.65</v>
      </c>
      <c r="AT15" s="39">
        <v>27.85</v>
      </c>
      <c r="AU15" s="21">
        <f>IF(OR(설정!$E$7&gt;설정!$F$7,COUNT(H15:AT15)=0),"",MIN(BE15:CQ15))</f>
        <v>12.06</v>
      </c>
      <c r="AV15" s="21">
        <f t="shared" si="0"/>
        <v>470</v>
      </c>
      <c r="AW15" s="21">
        <f>IF(OR(설정!$E$7&gt;설정!$F$7,COUNT(H15:AT15)=0),"",MAX(BE15:CQ15))</f>
        <v>21.52</v>
      </c>
      <c r="AX15" s="21">
        <f t="shared" si="1"/>
        <v>600</v>
      </c>
      <c r="AY15" s="35"/>
      <c r="AZ15" s="19">
        <f>IF(AY15&lt;&gt;"",AY15,IF(설정!$C$7="최소",AV15,AX15))</f>
        <v>470</v>
      </c>
      <c r="BA15" s="20">
        <f>IF(AZ15="","",IF(OR(AZ15&lt;굴절률!$A$6,AZ15&gt;굴절률!$A$44),"",IF(COUNTIFS(굴절률!$A$6:$A$44,AZ15)&gt;0,INDEX(굴절률!$C$6:$C$44,MATCH(AZ15,굴절률!$A$6:$A$44,0)),INDEX(굴절률!$C$6:$C$44,MATCH(AZ15,굴절률!$A$6:$A$44,1))+(AZ15-INDEX(굴절률!$A$6:$A$44,MATCH(AZ15,굴절률!$A$6:$A$44,1)))*(INDEX(굴절률!$C$6:$C$44,MATCH(AZ15,굴절률!$A$6:$A$44,1)+1)-INDEX(굴절률!$C$6:$C$44,MATCH(AZ15,굴절률!$A$6:$A$44,1)))/(INDEX(굴절률!$A$6:$A$44,MATCH(AZ15,굴절률!$A$6:$A$44,1)+1)-INDEX(굴절률!$A$6:$A$44,MATCH(AZ15,굴절률!$A$6:$A$44,1))))))</f>
        <v>2.3664100000000001</v>
      </c>
      <c r="BB15" s="20">
        <f>IF(BA15="","",COS(ASIN(SIN(RADIANS(설정!$G$7))/BA15)))</f>
        <v>1</v>
      </c>
      <c r="BC15" s="21">
        <f>IF(OR(AZ15="",BA15="",BB15=""),"",IF(설정!$C$7="최소",설정!$D$7*AZ15/(2*BA15*BB15),(2*설정!$D$7-1)*AZ15/(4*BA15*BB15)))</f>
        <v>99.306544512573893</v>
      </c>
      <c r="BD15" s="23" t="str">
        <f>IF(COUNT(H15:AT15)=0,"입력 필요",IF(COUNT(H15:AT15)&lt;&gt;39,"데이터 점검",IF(OR(설정!$E$7&gt;설정!$F$7,설정!$E$7&lt;360,설정!$F$7&gt;740),"검색 범위 오류",IF(AY15&lt;&gt;"","수동 파장",IF(OR(AZ15=설정!$E$7,AZ15=설정!$F$7),"경계 극값 확인","완료")))))</f>
        <v>완료</v>
      </c>
      <c r="BE15" s="40" t="str">
        <f>IF(AND(BE$5&gt;=설정!$E$7,BE$5&lt;=설정!$F$7),H15,"")</f>
        <v/>
      </c>
      <c r="BF15" s="40" t="str">
        <f>IF(AND(BF$5&gt;=설정!$E$7,BF$5&lt;=설정!$F$7),I15,"")</f>
        <v/>
      </c>
      <c r="BG15" s="40" t="str">
        <f>IF(AND(BG$5&gt;=설정!$E$7,BG$5&lt;=설정!$F$7),J15,"")</f>
        <v/>
      </c>
      <c r="BH15" s="40" t="str">
        <f>IF(AND(BH$5&gt;=설정!$E$7,BH$5&lt;=설정!$F$7),K15,"")</f>
        <v/>
      </c>
      <c r="BI15" s="40" t="str">
        <f>IF(AND(BI$5&gt;=설정!$E$7,BI$5&lt;=설정!$F$7),L15,"")</f>
        <v/>
      </c>
      <c r="BJ15" s="40" t="str">
        <f>IF(AND(BJ$5&gt;=설정!$E$7,BJ$5&lt;=설정!$F$7),M15,"")</f>
        <v/>
      </c>
      <c r="BK15" s="40" t="str">
        <f>IF(AND(BK$5&gt;=설정!$E$7,BK$5&lt;=설정!$F$7),N15,"")</f>
        <v/>
      </c>
      <c r="BL15" s="40">
        <f>IF(AND(BL$5&gt;=설정!$E$7,BL$5&lt;=설정!$F$7),O15,"")</f>
        <v>15.98</v>
      </c>
      <c r="BM15" s="40">
        <f>IF(AND(BM$5&gt;=설정!$E$7,BM$5&lt;=설정!$F$7),P15,"")</f>
        <v>14.23</v>
      </c>
      <c r="BN15" s="40">
        <f>IF(AND(BN$5&gt;=설정!$E$7,BN$5&lt;=설정!$F$7),Q15,"")</f>
        <v>13.12</v>
      </c>
      <c r="BO15" s="40">
        <f>IF(AND(BO$5&gt;=설정!$E$7,BO$5&lt;=설정!$F$7),R15,"")</f>
        <v>12.35</v>
      </c>
      <c r="BP15" s="40">
        <f>IF(AND(BP$5&gt;=설정!$E$7,BP$5&lt;=설정!$F$7),S15,"")</f>
        <v>12.06</v>
      </c>
      <c r="BQ15" s="40">
        <f>IF(AND(BQ$5&gt;=설정!$E$7,BQ$5&lt;=설정!$F$7),T15,"")</f>
        <v>12.1</v>
      </c>
      <c r="BR15" s="40">
        <f>IF(AND(BR$5&gt;=설정!$E$7,BR$5&lt;=설정!$F$7),U15,"")</f>
        <v>12.42</v>
      </c>
      <c r="BS15" s="40">
        <f>IF(AND(BS$5&gt;=설정!$E$7,BS$5&lt;=설정!$F$7),V15,"")</f>
        <v>13.02</v>
      </c>
      <c r="BT15" s="40">
        <f>IF(AND(BT$5&gt;=설정!$E$7,BT$5&lt;=설정!$F$7),W15,"")</f>
        <v>13.68</v>
      </c>
      <c r="BU15" s="40">
        <f>IF(AND(BU$5&gt;=설정!$E$7,BU$5&lt;=설정!$F$7),X15,"")</f>
        <v>14.48</v>
      </c>
      <c r="BV15" s="40">
        <f>IF(AND(BV$5&gt;=설정!$E$7,BV$5&lt;=설정!$F$7),Y15,"")</f>
        <v>15.38</v>
      </c>
      <c r="BW15" s="40">
        <f>IF(AND(BW$5&gt;=설정!$E$7,BW$5&lt;=설정!$F$7),Z15,"")</f>
        <v>16.32</v>
      </c>
      <c r="BX15" s="40">
        <f>IF(AND(BX$5&gt;=설정!$E$7,BX$5&lt;=설정!$F$7),AA15,"")</f>
        <v>17.21</v>
      </c>
      <c r="BY15" s="40">
        <f>IF(AND(BY$5&gt;=설정!$E$7,BY$5&lt;=설정!$F$7),AB15,"")</f>
        <v>18.14</v>
      </c>
      <c r="BZ15" s="40">
        <f>IF(AND(BZ$5&gt;=설정!$E$7,BZ$5&lt;=설정!$F$7),AC15,"")</f>
        <v>19.04</v>
      </c>
      <c r="CA15" s="40">
        <f>IF(AND(CA$5&gt;=설정!$E$7,CA$5&lt;=설정!$F$7),AD15,"")</f>
        <v>19.89</v>
      </c>
      <c r="CB15" s="40">
        <f>IF(AND(CB$5&gt;=설정!$E$7,CB$5&lt;=설정!$F$7),AE15,"")</f>
        <v>20.72</v>
      </c>
      <c r="CC15" s="40">
        <f>IF(AND(CC$5&gt;=설정!$E$7,CC$5&lt;=설정!$F$7),AF15,"")</f>
        <v>21.52</v>
      </c>
      <c r="CD15" s="40" t="str">
        <f>IF(AND(CD$5&gt;=설정!$E$7,CD$5&lt;=설정!$F$7),AG15,"")</f>
        <v/>
      </c>
      <c r="CE15" s="40" t="str">
        <f>IF(AND(CE$5&gt;=설정!$E$7,CE$5&lt;=설정!$F$7),AH15,"")</f>
        <v/>
      </c>
      <c r="CF15" s="40" t="str">
        <f>IF(AND(CF$5&gt;=설정!$E$7,CF$5&lt;=설정!$F$7),AI15,"")</f>
        <v/>
      </c>
      <c r="CG15" s="40" t="str">
        <f>IF(AND(CG$5&gt;=설정!$E$7,CG$5&lt;=설정!$F$7),AJ15,"")</f>
        <v/>
      </c>
      <c r="CH15" s="40" t="str">
        <f>IF(AND(CH$5&gt;=설정!$E$7,CH$5&lt;=설정!$F$7),AK15,"")</f>
        <v/>
      </c>
      <c r="CI15" s="40" t="str">
        <f>IF(AND(CI$5&gt;=설정!$E$7,CI$5&lt;=설정!$F$7),AL15,"")</f>
        <v/>
      </c>
      <c r="CJ15" s="40" t="str">
        <f>IF(AND(CJ$5&gt;=설정!$E$7,CJ$5&lt;=설정!$F$7),AM15,"")</f>
        <v/>
      </c>
      <c r="CK15" s="40" t="str">
        <f>IF(AND(CK$5&gt;=설정!$E$7,CK$5&lt;=설정!$F$7),AN15,"")</f>
        <v/>
      </c>
      <c r="CL15" s="40" t="str">
        <f>IF(AND(CL$5&gt;=설정!$E$7,CL$5&lt;=설정!$F$7),AO15,"")</f>
        <v/>
      </c>
      <c r="CM15" s="40" t="str">
        <f>IF(AND(CM$5&gt;=설정!$E$7,CM$5&lt;=설정!$F$7),AP15,"")</f>
        <v/>
      </c>
      <c r="CN15" s="40" t="str">
        <f>IF(AND(CN$5&gt;=설정!$E$7,CN$5&lt;=설정!$F$7),AQ15,"")</f>
        <v/>
      </c>
      <c r="CO15" s="40" t="str">
        <f>IF(AND(CO$5&gt;=설정!$E$7,CO$5&lt;=설정!$F$7),AR15,"")</f>
        <v/>
      </c>
      <c r="CP15" s="40" t="str">
        <f>IF(AND(CP$5&gt;=설정!$E$7,CP$5&lt;=설정!$F$7),AS15,"")</f>
        <v/>
      </c>
      <c r="CQ15" s="40" t="str">
        <f>IF(AND(CQ$5&gt;=설정!$E$7,CQ$5&lt;=설정!$F$7),AT15,"")</f>
        <v/>
      </c>
    </row>
    <row r="16" spans="1:95" ht="19.95" customHeight="1">
      <c r="A16" s="28">
        <v>11</v>
      </c>
      <c r="B16" s="25" t="s">
        <v>93</v>
      </c>
      <c r="C16" s="39">
        <v>50.47</v>
      </c>
      <c r="D16" s="39">
        <v>7.55</v>
      </c>
      <c r="E16" s="39">
        <v>12.81</v>
      </c>
      <c r="F16" s="39">
        <v>18.809999999999999</v>
      </c>
      <c r="G16" s="25" t="s">
        <v>83</v>
      </c>
      <c r="H16" s="39">
        <v>35.26</v>
      </c>
      <c r="I16" s="39">
        <v>31.8</v>
      </c>
      <c r="J16" s="39">
        <v>28.14</v>
      </c>
      <c r="K16" s="39">
        <v>24.55</v>
      </c>
      <c r="L16" s="39">
        <v>21.22</v>
      </c>
      <c r="M16" s="39">
        <v>18.28</v>
      </c>
      <c r="N16" s="39">
        <v>15.84</v>
      </c>
      <c r="O16" s="39">
        <v>14.12</v>
      </c>
      <c r="P16" s="39">
        <v>12.92</v>
      </c>
      <c r="Q16" s="39">
        <v>12.29</v>
      </c>
      <c r="R16" s="39">
        <v>12.04</v>
      </c>
      <c r="S16" s="39">
        <v>12.17</v>
      </c>
      <c r="T16" s="39">
        <v>12.64</v>
      </c>
      <c r="U16" s="39">
        <v>13.26</v>
      </c>
      <c r="V16" s="39">
        <v>14.13</v>
      </c>
      <c r="W16" s="39">
        <v>14.97</v>
      </c>
      <c r="X16" s="39">
        <v>15.94</v>
      </c>
      <c r="Y16" s="39">
        <v>16.89</v>
      </c>
      <c r="Z16" s="39">
        <v>17.89</v>
      </c>
      <c r="AA16" s="39">
        <v>18.809999999999999</v>
      </c>
      <c r="AB16" s="39">
        <v>19.75</v>
      </c>
      <c r="AC16" s="39">
        <v>20.62</v>
      </c>
      <c r="AD16" s="39">
        <v>21.45</v>
      </c>
      <c r="AE16" s="39">
        <v>22.22</v>
      </c>
      <c r="AF16" s="39">
        <v>22.94</v>
      </c>
      <c r="AG16" s="39">
        <v>23.63</v>
      </c>
      <c r="AH16" s="39">
        <v>24.25</v>
      </c>
      <c r="AI16" s="39">
        <v>24.79</v>
      </c>
      <c r="AJ16" s="39">
        <v>25.35</v>
      </c>
      <c r="AK16" s="39">
        <v>25.79</v>
      </c>
      <c r="AL16" s="39">
        <v>26.22</v>
      </c>
      <c r="AM16" s="39">
        <v>26.59</v>
      </c>
      <c r="AN16" s="39">
        <v>26.97</v>
      </c>
      <c r="AO16" s="39">
        <v>27.31</v>
      </c>
      <c r="AP16" s="39">
        <v>27.58</v>
      </c>
      <c r="AQ16" s="39">
        <v>27.82</v>
      </c>
      <c r="AR16" s="39">
        <v>27.98</v>
      </c>
      <c r="AS16" s="39">
        <v>28.22</v>
      </c>
      <c r="AT16" s="39">
        <v>28.38</v>
      </c>
      <c r="AU16" s="21">
        <f>IF(OR(설정!$E$7&gt;설정!$F$7,COUNT(H16:AT16)=0),"",MIN(BE16:CQ16))</f>
        <v>12.04</v>
      </c>
      <c r="AV16" s="21">
        <f t="shared" si="0"/>
        <v>460</v>
      </c>
      <c r="AW16" s="21">
        <f>IF(OR(설정!$E$7&gt;설정!$F$7,COUNT(H16:AT16)=0),"",MAX(BE16:CQ16))</f>
        <v>22.94</v>
      </c>
      <c r="AX16" s="21">
        <f t="shared" si="1"/>
        <v>600</v>
      </c>
      <c r="AY16" s="35"/>
      <c r="AZ16" s="19">
        <f>IF(AY16&lt;&gt;"",AY16,IF(설정!$C$7="최소",AV16,AX16))</f>
        <v>460</v>
      </c>
      <c r="BA16" s="20">
        <f>IF(AZ16="","",IF(OR(AZ16&lt;굴절률!$A$6,AZ16&gt;굴절률!$A$44),"",IF(COUNTIFS(굴절률!$A$6:$A$44,AZ16)&gt;0,INDEX(굴절률!$C$6:$C$44,MATCH(AZ16,굴절률!$A$6:$A$44,0)),INDEX(굴절률!$C$6:$C$44,MATCH(AZ16,굴절률!$A$6:$A$44,1))+(AZ16-INDEX(굴절률!$A$6:$A$44,MATCH(AZ16,굴절률!$A$6:$A$44,1)))*(INDEX(굴절률!$C$6:$C$44,MATCH(AZ16,굴절률!$A$6:$A$44,1)+1)-INDEX(굴절률!$C$6:$C$44,MATCH(AZ16,굴절률!$A$6:$A$44,1)))/(INDEX(굴절률!$A$6:$A$44,MATCH(AZ16,굴절률!$A$6:$A$44,1)+1)-INDEX(굴절률!$A$6:$A$44,MATCH(AZ16,굴절률!$A$6:$A$44,1))))))</f>
        <v>2.3747600000000002</v>
      </c>
      <c r="BB16" s="20">
        <f>IF(BA16="","",COS(ASIN(SIN(RADIANS(설정!$G$7))/BA16)))</f>
        <v>1</v>
      </c>
      <c r="BC16" s="21">
        <f>IF(OR(AZ16="",BA16="",BB16=""),"",IF(설정!$C$7="최소",설정!$D$7*AZ16/(2*BA16*BB16),(2*설정!$D$7-1)*AZ16/(4*BA16*BB16)))</f>
        <v>96.851892401758491</v>
      </c>
      <c r="BD16" s="23" t="str">
        <f>IF(COUNT(H16:AT16)=0,"입력 필요",IF(COUNT(H16:AT16)&lt;&gt;39,"데이터 점검",IF(OR(설정!$E$7&gt;설정!$F$7,설정!$E$7&lt;360,설정!$F$7&gt;740),"검색 범위 오류",IF(AY16&lt;&gt;"","수동 파장",IF(OR(AZ16=설정!$E$7,AZ16=설정!$F$7),"경계 극값 확인","완료")))))</f>
        <v>완료</v>
      </c>
      <c r="BE16" s="40" t="str">
        <f>IF(AND(BE$5&gt;=설정!$E$7,BE$5&lt;=설정!$F$7),H16,"")</f>
        <v/>
      </c>
      <c r="BF16" s="40" t="str">
        <f>IF(AND(BF$5&gt;=설정!$E$7,BF$5&lt;=설정!$F$7),I16,"")</f>
        <v/>
      </c>
      <c r="BG16" s="40" t="str">
        <f>IF(AND(BG$5&gt;=설정!$E$7,BG$5&lt;=설정!$F$7),J16,"")</f>
        <v/>
      </c>
      <c r="BH16" s="40" t="str">
        <f>IF(AND(BH$5&gt;=설정!$E$7,BH$5&lt;=설정!$F$7),K16,"")</f>
        <v/>
      </c>
      <c r="BI16" s="40" t="str">
        <f>IF(AND(BI$5&gt;=설정!$E$7,BI$5&lt;=설정!$F$7),L16,"")</f>
        <v/>
      </c>
      <c r="BJ16" s="40" t="str">
        <f>IF(AND(BJ$5&gt;=설정!$E$7,BJ$5&lt;=설정!$F$7),M16,"")</f>
        <v/>
      </c>
      <c r="BK16" s="40" t="str">
        <f>IF(AND(BK$5&gt;=설정!$E$7,BK$5&lt;=설정!$F$7),N16,"")</f>
        <v/>
      </c>
      <c r="BL16" s="40">
        <f>IF(AND(BL$5&gt;=설정!$E$7,BL$5&lt;=설정!$F$7),O16,"")</f>
        <v>14.12</v>
      </c>
      <c r="BM16" s="40">
        <f>IF(AND(BM$5&gt;=설정!$E$7,BM$5&lt;=설정!$F$7),P16,"")</f>
        <v>12.92</v>
      </c>
      <c r="BN16" s="40">
        <f>IF(AND(BN$5&gt;=설정!$E$7,BN$5&lt;=설정!$F$7),Q16,"")</f>
        <v>12.29</v>
      </c>
      <c r="BO16" s="40">
        <f>IF(AND(BO$5&gt;=설정!$E$7,BO$5&lt;=설정!$F$7),R16,"")</f>
        <v>12.04</v>
      </c>
      <c r="BP16" s="40">
        <f>IF(AND(BP$5&gt;=설정!$E$7,BP$5&lt;=설정!$F$7),S16,"")</f>
        <v>12.17</v>
      </c>
      <c r="BQ16" s="40">
        <f>IF(AND(BQ$5&gt;=설정!$E$7,BQ$5&lt;=설정!$F$7),T16,"")</f>
        <v>12.64</v>
      </c>
      <c r="BR16" s="40">
        <f>IF(AND(BR$5&gt;=설정!$E$7,BR$5&lt;=설정!$F$7),U16,"")</f>
        <v>13.26</v>
      </c>
      <c r="BS16" s="40">
        <f>IF(AND(BS$5&gt;=설정!$E$7,BS$5&lt;=설정!$F$7),V16,"")</f>
        <v>14.13</v>
      </c>
      <c r="BT16" s="40">
        <f>IF(AND(BT$5&gt;=설정!$E$7,BT$5&lt;=설정!$F$7),W16,"")</f>
        <v>14.97</v>
      </c>
      <c r="BU16" s="40">
        <f>IF(AND(BU$5&gt;=설정!$E$7,BU$5&lt;=설정!$F$7),X16,"")</f>
        <v>15.94</v>
      </c>
      <c r="BV16" s="40">
        <f>IF(AND(BV$5&gt;=설정!$E$7,BV$5&lt;=설정!$F$7),Y16,"")</f>
        <v>16.89</v>
      </c>
      <c r="BW16" s="40">
        <f>IF(AND(BW$5&gt;=설정!$E$7,BW$5&lt;=설정!$F$7),Z16,"")</f>
        <v>17.89</v>
      </c>
      <c r="BX16" s="40">
        <f>IF(AND(BX$5&gt;=설정!$E$7,BX$5&lt;=설정!$F$7),AA16,"")</f>
        <v>18.809999999999999</v>
      </c>
      <c r="BY16" s="40">
        <f>IF(AND(BY$5&gt;=설정!$E$7,BY$5&lt;=설정!$F$7),AB16,"")</f>
        <v>19.75</v>
      </c>
      <c r="BZ16" s="40">
        <f>IF(AND(BZ$5&gt;=설정!$E$7,BZ$5&lt;=설정!$F$7),AC16,"")</f>
        <v>20.62</v>
      </c>
      <c r="CA16" s="40">
        <f>IF(AND(CA$5&gt;=설정!$E$7,CA$5&lt;=설정!$F$7),AD16,"")</f>
        <v>21.45</v>
      </c>
      <c r="CB16" s="40">
        <f>IF(AND(CB$5&gt;=설정!$E$7,CB$5&lt;=설정!$F$7),AE16,"")</f>
        <v>22.22</v>
      </c>
      <c r="CC16" s="40">
        <f>IF(AND(CC$5&gt;=설정!$E$7,CC$5&lt;=설정!$F$7),AF16,"")</f>
        <v>22.94</v>
      </c>
      <c r="CD16" s="40" t="str">
        <f>IF(AND(CD$5&gt;=설정!$E$7,CD$5&lt;=설정!$F$7),AG16,"")</f>
        <v/>
      </c>
      <c r="CE16" s="40" t="str">
        <f>IF(AND(CE$5&gt;=설정!$E$7,CE$5&lt;=설정!$F$7),AH16,"")</f>
        <v/>
      </c>
      <c r="CF16" s="40" t="str">
        <f>IF(AND(CF$5&gt;=설정!$E$7,CF$5&lt;=설정!$F$7),AI16,"")</f>
        <v/>
      </c>
      <c r="CG16" s="40" t="str">
        <f>IF(AND(CG$5&gt;=설정!$E$7,CG$5&lt;=설정!$F$7),AJ16,"")</f>
        <v/>
      </c>
      <c r="CH16" s="40" t="str">
        <f>IF(AND(CH$5&gt;=설정!$E$7,CH$5&lt;=설정!$F$7),AK16,"")</f>
        <v/>
      </c>
      <c r="CI16" s="40" t="str">
        <f>IF(AND(CI$5&gt;=설정!$E$7,CI$5&lt;=설정!$F$7),AL16,"")</f>
        <v/>
      </c>
      <c r="CJ16" s="40" t="str">
        <f>IF(AND(CJ$5&gt;=설정!$E$7,CJ$5&lt;=설정!$F$7),AM16,"")</f>
        <v/>
      </c>
      <c r="CK16" s="40" t="str">
        <f>IF(AND(CK$5&gt;=설정!$E$7,CK$5&lt;=설정!$F$7),AN16,"")</f>
        <v/>
      </c>
      <c r="CL16" s="40" t="str">
        <f>IF(AND(CL$5&gt;=설정!$E$7,CL$5&lt;=설정!$F$7),AO16,"")</f>
        <v/>
      </c>
      <c r="CM16" s="40" t="str">
        <f>IF(AND(CM$5&gt;=설정!$E$7,CM$5&lt;=설정!$F$7),AP16,"")</f>
        <v/>
      </c>
      <c r="CN16" s="40" t="str">
        <f>IF(AND(CN$5&gt;=설정!$E$7,CN$5&lt;=설정!$F$7),AQ16,"")</f>
        <v/>
      </c>
      <c r="CO16" s="40" t="str">
        <f>IF(AND(CO$5&gt;=설정!$E$7,CO$5&lt;=설정!$F$7),AR16,"")</f>
        <v/>
      </c>
      <c r="CP16" s="40" t="str">
        <f>IF(AND(CP$5&gt;=설정!$E$7,CP$5&lt;=설정!$F$7),AS16,"")</f>
        <v/>
      </c>
      <c r="CQ16" s="40" t="str">
        <f>IF(AND(CQ$5&gt;=설정!$E$7,CQ$5&lt;=설정!$F$7),AT16,"")</f>
        <v/>
      </c>
    </row>
    <row r="17" spans="1:95" ht="19.95" customHeight="1">
      <c r="A17" s="28">
        <v>12</v>
      </c>
      <c r="B17" s="25" t="s">
        <v>94</v>
      </c>
      <c r="C17" s="39">
        <v>51.53</v>
      </c>
      <c r="D17" s="39">
        <v>6.19</v>
      </c>
      <c r="E17" s="39">
        <v>15.36</v>
      </c>
      <c r="F17" s="39">
        <v>19.73</v>
      </c>
      <c r="G17" s="25" t="s">
        <v>83</v>
      </c>
      <c r="H17" s="39">
        <v>34.06</v>
      </c>
      <c r="I17" s="39">
        <v>30.1</v>
      </c>
      <c r="J17" s="39">
        <v>26.14</v>
      </c>
      <c r="K17" s="39">
        <v>22.5</v>
      </c>
      <c r="L17" s="39">
        <v>19.27</v>
      </c>
      <c r="M17" s="39">
        <v>16.559999999999999</v>
      </c>
      <c r="N17" s="39">
        <v>14.47</v>
      </c>
      <c r="O17" s="39">
        <v>13.11</v>
      </c>
      <c r="P17" s="39">
        <v>12.28</v>
      </c>
      <c r="Q17" s="39">
        <v>12</v>
      </c>
      <c r="R17" s="39">
        <v>12.1</v>
      </c>
      <c r="S17" s="39">
        <v>12.5</v>
      </c>
      <c r="T17" s="39">
        <v>13.21</v>
      </c>
      <c r="U17" s="39">
        <v>14</v>
      </c>
      <c r="V17" s="39">
        <v>14.99</v>
      </c>
      <c r="W17" s="39">
        <v>15.96</v>
      </c>
      <c r="X17" s="39">
        <v>16.97</v>
      </c>
      <c r="Y17" s="39">
        <v>17.96</v>
      </c>
      <c r="Z17" s="39">
        <v>18.98</v>
      </c>
      <c r="AA17" s="39">
        <v>19.88</v>
      </c>
      <c r="AB17" s="39">
        <v>20.81</v>
      </c>
      <c r="AC17" s="39">
        <v>21.65</v>
      </c>
      <c r="AD17" s="39">
        <v>22.45</v>
      </c>
      <c r="AE17" s="39">
        <v>23.19</v>
      </c>
      <c r="AF17" s="39">
        <v>23.88</v>
      </c>
      <c r="AG17" s="39">
        <v>24.51</v>
      </c>
      <c r="AH17" s="39">
        <v>25.09</v>
      </c>
      <c r="AI17" s="39">
        <v>25.57</v>
      </c>
      <c r="AJ17" s="39">
        <v>26.08</v>
      </c>
      <c r="AK17" s="39">
        <v>26.5</v>
      </c>
      <c r="AL17" s="39">
        <v>26.86</v>
      </c>
      <c r="AM17" s="39">
        <v>27.18</v>
      </c>
      <c r="AN17" s="39">
        <v>27.58</v>
      </c>
      <c r="AO17" s="39">
        <v>27.85</v>
      </c>
      <c r="AP17" s="39">
        <v>28.07</v>
      </c>
      <c r="AQ17" s="39">
        <v>28.24</v>
      </c>
      <c r="AR17" s="39">
        <v>28.39</v>
      </c>
      <c r="AS17" s="39">
        <v>28.64</v>
      </c>
      <c r="AT17" s="39">
        <v>28.73</v>
      </c>
      <c r="AU17" s="21">
        <f>IF(OR(설정!$E$7&gt;설정!$F$7,COUNT(H17:AT17)=0),"",MIN(BE17:CQ17))</f>
        <v>12</v>
      </c>
      <c r="AV17" s="21">
        <f t="shared" si="0"/>
        <v>450</v>
      </c>
      <c r="AW17" s="21">
        <f>IF(OR(설정!$E$7&gt;설정!$F$7,COUNT(H17:AT17)=0),"",MAX(BE17:CQ17))</f>
        <v>23.88</v>
      </c>
      <c r="AX17" s="21">
        <f t="shared" si="1"/>
        <v>600</v>
      </c>
      <c r="AY17" s="35"/>
      <c r="AZ17" s="19">
        <f>IF(AY17&lt;&gt;"",AY17,IF(설정!$C$7="최소",AV17,AX17))</f>
        <v>450</v>
      </c>
      <c r="BA17" s="20">
        <f>IF(AZ17="","",IF(OR(AZ17&lt;굴절률!$A$6,AZ17&gt;굴절률!$A$44),"",IF(COUNTIFS(굴절률!$A$6:$A$44,AZ17)&gt;0,INDEX(굴절률!$C$6:$C$44,MATCH(AZ17,굴절률!$A$6:$A$44,0)),INDEX(굴절률!$C$6:$C$44,MATCH(AZ17,굴절률!$A$6:$A$44,1))+(AZ17-INDEX(굴절률!$A$6:$A$44,MATCH(AZ17,굴절률!$A$6:$A$44,1)))*(INDEX(굴절률!$C$6:$C$44,MATCH(AZ17,굴절률!$A$6:$A$44,1)+1)-INDEX(굴절률!$C$6:$C$44,MATCH(AZ17,굴절률!$A$6:$A$44,1)))/(INDEX(굴절률!$A$6:$A$44,MATCH(AZ17,굴절률!$A$6:$A$44,1)+1)-INDEX(굴절률!$A$6:$A$44,MATCH(AZ17,굴절률!$A$6:$A$44,1))))))</f>
        <v>2.3840400000000002</v>
      </c>
      <c r="BB17" s="20">
        <f>IF(BA17="","",COS(ASIN(SIN(RADIANS(설정!$G$7))/BA17)))</f>
        <v>1</v>
      </c>
      <c r="BC17" s="21">
        <f>IF(OR(AZ17="",BA17="",BB17=""),"",IF(설정!$C$7="최소",설정!$D$7*AZ17/(2*BA17*BB17),(2*설정!$D$7-1)*AZ17/(4*BA17*BB17)))</f>
        <v>94.377611113907477</v>
      </c>
      <c r="BD17" s="23" t="str">
        <f>IF(COUNT(H17:AT17)=0,"입력 필요",IF(COUNT(H17:AT17)&lt;&gt;39,"데이터 점검",IF(OR(설정!$E$7&gt;설정!$F$7,설정!$E$7&lt;360,설정!$F$7&gt;740),"검색 범위 오류",IF(AY17&lt;&gt;"","수동 파장",IF(OR(AZ17=설정!$E$7,AZ17=설정!$F$7),"경계 극값 확인","완료")))))</f>
        <v>완료</v>
      </c>
      <c r="BE17" s="40" t="str">
        <f>IF(AND(BE$5&gt;=설정!$E$7,BE$5&lt;=설정!$F$7),H17,"")</f>
        <v/>
      </c>
      <c r="BF17" s="40" t="str">
        <f>IF(AND(BF$5&gt;=설정!$E$7,BF$5&lt;=설정!$F$7),I17,"")</f>
        <v/>
      </c>
      <c r="BG17" s="40" t="str">
        <f>IF(AND(BG$5&gt;=설정!$E$7,BG$5&lt;=설정!$F$7),J17,"")</f>
        <v/>
      </c>
      <c r="BH17" s="40" t="str">
        <f>IF(AND(BH$5&gt;=설정!$E$7,BH$5&lt;=설정!$F$7),K17,"")</f>
        <v/>
      </c>
      <c r="BI17" s="40" t="str">
        <f>IF(AND(BI$5&gt;=설정!$E$7,BI$5&lt;=설정!$F$7),L17,"")</f>
        <v/>
      </c>
      <c r="BJ17" s="40" t="str">
        <f>IF(AND(BJ$5&gt;=설정!$E$7,BJ$5&lt;=설정!$F$7),M17,"")</f>
        <v/>
      </c>
      <c r="BK17" s="40" t="str">
        <f>IF(AND(BK$5&gt;=설정!$E$7,BK$5&lt;=설정!$F$7),N17,"")</f>
        <v/>
      </c>
      <c r="BL17" s="40">
        <f>IF(AND(BL$5&gt;=설정!$E$7,BL$5&lt;=설정!$F$7),O17,"")</f>
        <v>13.11</v>
      </c>
      <c r="BM17" s="40">
        <f>IF(AND(BM$5&gt;=설정!$E$7,BM$5&lt;=설정!$F$7),P17,"")</f>
        <v>12.28</v>
      </c>
      <c r="BN17" s="40">
        <f>IF(AND(BN$5&gt;=설정!$E$7,BN$5&lt;=설정!$F$7),Q17,"")</f>
        <v>12</v>
      </c>
      <c r="BO17" s="40">
        <f>IF(AND(BO$5&gt;=설정!$E$7,BO$5&lt;=설정!$F$7),R17,"")</f>
        <v>12.1</v>
      </c>
      <c r="BP17" s="40">
        <f>IF(AND(BP$5&gt;=설정!$E$7,BP$5&lt;=설정!$F$7),S17,"")</f>
        <v>12.5</v>
      </c>
      <c r="BQ17" s="40">
        <f>IF(AND(BQ$5&gt;=설정!$E$7,BQ$5&lt;=설정!$F$7),T17,"")</f>
        <v>13.21</v>
      </c>
      <c r="BR17" s="40">
        <f>IF(AND(BR$5&gt;=설정!$E$7,BR$5&lt;=설정!$F$7),U17,"")</f>
        <v>14</v>
      </c>
      <c r="BS17" s="40">
        <f>IF(AND(BS$5&gt;=설정!$E$7,BS$5&lt;=설정!$F$7),V17,"")</f>
        <v>14.99</v>
      </c>
      <c r="BT17" s="40">
        <f>IF(AND(BT$5&gt;=설정!$E$7,BT$5&lt;=설정!$F$7),W17,"")</f>
        <v>15.96</v>
      </c>
      <c r="BU17" s="40">
        <f>IF(AND(BU$5&gt;=설정!$E$7,BU$5&lt;=설정!$F$7),X17,"")</f>
        <v>16.97</v>
      </c>
      <c r="BV17" s="40">
        <f>IF(AND(BV$5&gt;=설정!$E$7,BV$5&lt;=설정!$F$7),Y17,"")</f>
        <v>17.96</v>
      </c>
      <c r="BW17" s="40">
        <f>IF(AND(BW$5&gt;=설정!$E$7,BW$5&lt;=설정!$F$7),Z17,"")</f>
        <v>18.98</v>
      </c>
      <c r="BX17" s="40">
        <f>IF(AND(BX$5&gt;=설정!$E$7,BX$5&lt;=설정!$F$7),AA17,"")</f>
        <v>19.88</v>
      </c>
      <c r="BY17" s="40">
        <f>IF(AND(BY$5&gt;=설정!$E$7,BY$5&lt;=설정!$F$7),AB17,"")</f>
        <v>20.81</v>
      </c>
      <c r="BZ17" s="40">
        <f>IF(AND(BZ$5&gt;=설정!$E$7,BZ$5&lt;=설정!$F$7),AC17,"")</f>
        <v>21.65</v>
      </c>
      <c r="CA17" s="40">
        <f>IF(AND(CA$5&gt;=설정!$E$7,CA$5&lt;=설정!$F$7),AD17,"")</f>
        <v>22.45</v>
      </c>
      <c r="CB17" s="40">
        <f>IF(AND(CB$5&gt;=설정!$E$7,CB$5&lt;=설정!$F$7),AE17,"")</f>
        <v>23.19</v>
      </c>
      <c r="CC17" s="40">
        <f>IF(AND(CC$5&gt;=설정!$E$7,CC$5&lt;=설정!$F$7),AF17,"")</f>
        <v>23.88</v>
      </c>
      <c r="CD17" s="40" t="str">
        <f>IF(AND(CD$5&gt;=설정!$E$7,CD$5&lt;=설정!$F$7),AG17,"")</f>
        <v/>
      </c>
      <c r="CE17" s="40" t="str">
        <f>IF(AND(CE$5&gt;=설정!$E$7,CE$5&lt;=설정!$F$7),AH17,"")</f>
        <v/>
      </c>
      <c r="CF17" s="40" t="str">
        <f>IF(AND(CF$5&gt;=설정!$E$7,CF$5&lt;=설정!$F$7),AI17,"")</f>
        <v/>
      </c>
      <c r="CG17" s="40" t="str">
        <f>IF(AND(CG$5&gt;=설정!$E$7,CG$5&lt;=설정!$F$7),AJ17,"")</f>
        <v/>
      </c>
      <c r="CH17" s="40" t="str">
        <f>IF(AND(CH$5&gt;=설정!$E$7,CH$5&lt;=설정!$F$7),AK17,"")</f>
        <v/>
      </c>
      <c r="CI17" s="40" t="str">
        <f>IF(AND(CI$5&gt;=설정!$E$7,CI$5&lt;=설정!$F$7),AL17,"")</f>
        <v/>
      </c>
      <c r="CJ17" s="40" t="str">
        <f>IF(AND(CJ$5&gt;=설정!$E$7,CJ$5&lt;=설정!$F$7),AM17,"")</f>
        <v/>
      </c>
      <c r="CK17" s="40" t="str">
        <f>IF(AND(CK$5&gt;=설정!$E$7,CK$5&lt;=설정!$F$7),AN17,"")</f>
        <v/>
      </c>
      <c r="CL17" s="40" t="str">
        <f>IF(AND(CL$5&gt;=설정!$E$7,CL$5&lt;=설정!$F$7),AO17,"")</f>
        <v/>
      </c>
      <c r="CM17" s="40" t="str">
        <f>IF(AND(CM$5&gt;=설정!$E$7,CM$5&lt;=설정!$F$7),AP17,"")</f>
        <v/>
      </c>
      <c r="CN17" s="40" t="str">
        <f>IF(AND(CN$5&gt;=설정!$E$7,CN$5&lt;=설정!$F$7),AQ17,"")</f>
        <v/>
      </c>
      <c r="CO17" s="40" t="str">
        <f>IF(AND(CO$5&gt;=설정!$E$7,CO$5&lt;=설정!$F$7),AR17,"")</f>
        <v/>
      </c>
      <c r="CP17" s="40" t="str">
        <f>IF(AND(CP$5&gt;=설정!$E$7,CP$5&lt;=설정!$F$7),AS17,"")</f>
        <v/>
      </c>
      <c r="CQ17" s="40" t="str">
        <f>IF(AND(CQ$5&gt;=설정!$E$7,CQ$5&lt;=설정!$F$7),AT17,"")</f>
        <v/>
      </c>
    </row>
    <row r="18" spans="1:95" ht="19.95" customHeight="1">
      <c r="A18" s="28">
        <v>13</v>
      </c>
      <c r="B18" s="25" t="s">
        <v>95</v>
      </c>
      <c r="C18" s="39">
        <v>52.24</v>
      </c>
      <c r="D18" s="39">
        <v>5.53</v>
      </c>
      <c r="E18" s="39">
        <v>16.489999999999998</v>
      </c>
      <c r="F18" s="39">
        <v>20.36</v>
      </c>
      <c r="G18" s="25" t="s">
        <v>83</v>
      </c>
      <c r="H18" s="39">
        <v>33.64</v>
      </c>
      <c r="I18" s="39">
        <v>29.39</v>
      </c>
      <c r="J18" s="39">
        <v>25.3</v>
      </c>
      <c r="K18" s="39">
        <v>21.61</v>
      </c>
      <c r="L18" s="39">
        <v>18.440000000000001</v>
      </c>
      <c r="M18" s="39">
        <v>15.86</v>
      </c>
      <c r="N18" s="39">
        <v>13.94</v>
      </c>
      <c r="O18" s="39">
        <v>12.76</v>
      </c>
      <c r="P18" s="39">
        <v>12.15</v>
      </c>
      <c r="Q18" s="39">
        <v>12.04</v>
      </c>
      <c r="R18" s="39">
        <v>12.28</v>
      </c>
      <c r="S18" s="39">
        <v>12.85</v>
      </c>
      <c r="T18" s="39">
        <v>13.65</v>
      </c>
      <c r="U18" s="39">
        <v>14.53</v>
      </c>
      <c r="V18" s="39">
        <v>15.6</v>
      </c>
      <c r="W18" s="39">
        <v>16.579999999999998</v>
      </c>
      <c r="X18" s="39">
        <v>17.64</v>
      </c>
      <c r="Y18" s="39">
        <v>18.670000000000002</v>
      </c>
      <c r="Z18" s="39">
        <v>19.68</v>
      </c>
      <c r="AA18" s="39">
        <v>20.59</v>
      </c>
      <c r="AB18" s="39">
        <v>21.51</v>
      </c>
      <c r="AC18" s="39">
        <v>22.34</v>
      </c>
      <c r="AD18" s="39">
        <v>23.11</v>
      </c>
      <c r="AE18" s="39">
        <v>23.84</v>
      </c>
      <c r="AF18" s="39">
        <v>24.5</v>
      </c>
      <c r="AG18" s="39">
        <v>25.12</v>
      </c>
      <c r="AH18" s="39">
        <v>25.68</v>
      </c>
      <c r="AI18" s="39">
        <v>26.13</v>
      </c>
      <c r="AJ18" s="39">
        <v>26.63</v>
      </c>
      <c r="AK18" s="39">
        <v>26.99</v>
      </c>
      <c r="AL18" s="39">
        <v>27.4</v>
      </c>
      <c r="AM18" s="39">
        <v>27.72</v>
      </c>
      <c r="AN18" s="39">
        <v>27.96</v>
      </c>
      <c r="AO18" s="39">
        <v>28.3</v>
      </c>
      <c r="AP18" s="39">
        <v>28.47</v>
      </c>
      <c r="AQ18" s="39">
        <v>28.68</v>
      </c>
      <c r="AR18" s="39">
        <v>28.78</v>
      </c>
      <c r="AS18" s="39">
        <v>28.96</v>
      </c>
      <c r="AT18" s="39">
        <v>29.07</v>
      </c>
      <c r="AU18" s="21">
        <f>IF(OR(설정!$E$7&gt;설정!$F$7,COUNT(H18:AT18)=0),"",MIN(BE18:CQ18))</f>
        <v>12.04</v>
      </c>
      <c r="AV18" s="21">
        <f t="shared" si="0"/>
        <v>450</v>
      </c>
      <c r="AW18" s="21">
        <f>IF(OR(설정!$E$7&gt;설정!$F$7,COUNT(H18:AT18)=0),"",MAX(BE18:CQ18))</f>
        <v>24.5</v>
      </c>
      <c r="AX18" s="21">
        <f t="shared" si="1"/>
        <v>600</v>
      </c>
      <c r="AY18" s="35"/>
      <c r="AZ18" s="19">
        <f>IF(AY18&lt;&gt;"",AY18,IF(설정!$C$7="최소",AV18,AX18))</f>
        <v>450</v>
      </c>
      <c r="BA18" s="20">
        <f>IF(AZ18="","",IF(OR(AZ18&lt;굴절률!$A$6,AZ18&gt;굴절률!$A$44),"",IF(COUNTIFS(굴절률!$A$6:$A$44,AZ18)&gt;0,INDEX(굴절률!$C$6:$C$44,MATCH(AZ18,굴절률!$A$6:$A$44,0)),INDEX(굴절률!$C$6:$C$44,MATCH(AZ18,굴절률!$A$6:$A$44,1))+(AZ18-INDEX(굴절률!$A$6:$A$44,MATCH(AZ18,굴절률!$A$6:$A$44,1)))*(INDEX(굴절률!$C$6:$C$44,MATCH(AZ18,굴절률!$A$6:$A$44,1)+1)-INDEX(굴절률!$C$6:$C$44,MATCH(AZ18,굴절률!$A$6:$A$44,1)))/(INDEX(굴절률!$A$6:$A$44,MATCH(AZ18,굴절률!$A$6:$A$44,1)+1)-INDEX(굴절률!$A$6:$A$44,MATCH(AZ18,굴절률!$A$6:$A$44,1))))))</f>
        <v>2.3840400000000002</v>
      </c>
      <c r="BB18" s="20">
        <f>IF(BA18="","",COS(ASIN(SIN(RADIANS(설정!$G$7))/BA18)))</f>
        <v>1</v>
      </c>
      <c r="BC18" s="21">
        <f>IF(OR(AZ18="",BA18="",BB18=""),"",IF(설정!$C$7="최소",설정!$D$7*AZ18/(2*BA18*BB18),(2*설정!$D$7-1)*AZ18/(4*BA18*BB18)))</f>
        <v>94.377611113907477</v>
      </c>
      <c r="BD18" s="23" t="str">
        <f>IF(COUNT(H18:AT18)=0,"입력 필요",IF(COUNT(H18:AT18)&lt;&gt;39,"데이터 점검",IF(OR(설정!$E$7&gt;설정!$F$7,설정!$E$7&lt;360,설정!$F$7&gt;740),"검색 범위 오류",IF(AY18&lt;&gt;"","수동 파장",IF(OR(AZ18=설정!$E$7,AZ18=설정!$F$7),"경계 극값 확인","완료")))))</f>
        <v>완료</v>
      </c>
      <c r="BE18" s="40" t="str">
        <f>IF(AND(BE$5&gt;=설정!$E$7,BE$5&lt;=설정!$F$7),H18,"")</f>
        <v/>
      </c>
      <c r="BF18" s="40" t="str">
        <f>IF(AND(BF$5&gt;=설정!$E$7,BF$5&lt;=설정!$F$7),I18,"")</f>
        <v/>
      </c>
      <c r="BG18" s="40" t="str">
        <f>IF(AND(BG$5&gt;=설정!$E$7,BG$5&lt;=설정!$F$7),J18,"")</f>
        <v/>
      </c>
      <c r="BH18" s="40" t="str">
        <f>IF(AND(BH$5&gt;=설정!$E$7,BH$5&lt;=설정!$F$7),K18,"")</f>
        <v/>
      </c>
      <c r="BI18" s="40" t="str">
        <f>IF(AND(BI$5&gt;=설정!$E$7,BI$5&lt;=설정!$F$7),L18,"")</f>
        <v/>
      </c>
      <c r="BJ18" s="40" t="str">
        <f>IF(AND(BJ$5&gt;=설정!$E$7,BJ$5&lt;=설정!$F$7),M18,"")</f>
        <v/>
      </c>
      <c r="BK18" s="40" t="str">
        <f>IF(AND(BK$5&gt;=설정!$E$7,BK$5&lt;=설정!$F$7),N18,"")</f>
        <v/>
      </c>
      <c r="BL18" s="40">
        <f>IF(AND(BL$5&gt;=설정!$E$7,BL$5&lt;=설정!$F$7),O18,"")</f>
        <v>12.76</v>
      </c>
      <c r="BM18" s="40">
        <f>IF(AND(BM$5&gt;=설정!$E$7,BM$5&lt;=설정!$F$7),P18,"")</f>
        <v>12.15</v>
      </c>
      <c r="BN18" s="40">
        <f>IF(AND(BN$5&gt;=설정!$E$7,BN$5&lt;=설정!$F$7),Q18,"")</f>
        <v>12.04</v>
      </c>
      <c r="BO18" s="40">
        <f>IF(AND(BO$5&gt;=설정!$E$7,BO$5&lt;=설정!$F$7),R18,"")</f>
        <v>12.28</v>
      </c>
      <c r="BP18" s="40">
        <f>IF(AND(BP$5&gt;=설정!$E$7,BP$5&lt;=설정!$F$7),S18,"")</f>
        <v>12.85</v>
      </c>
      <c r="BQ18" s="40">
        <f>IF(AND(BQ$5&gt;=설정!$E$7,BQ$5&lt;=설정!$F$7),T18,"")</f>
        <v>13.65</v>
      </c>
      <c r="BR18" s="40">
        <f>IF(AND(BR$5&gt;=설정!$E$7,BR$5&lt;=설정!$F$7),U18,"")</f>
        <v>14.53</v>
      </c>
      <c r="BS18" s="40">
        <f>IF(AND(BS$5&gt;=설정!$E$7,BS$5&lt;=설정!$F$7),V18,"")</f>
        <v>15.6</v>
      </c>
      <c r="BT18" s="40">
        <f>IF(AND(BT$5&gt;=설정!$E$7,BT$5&lt;=설정!$F$7),W18,"")</f>
        <v>16.579999999999998</v>
      </c>
      <c r="BU18" s="40">
        <f>IF(AND(BU$5&gt;=설정!$E$7,BU$5&lt;=설정!$F$7),X18,"")</f>
        <v>17.64</v>
      </c>
      <c r="BV18" s="40">
        <f>IF(AND(BV$5&gt;=설정!$E$7,BV$5&lt;=설정!$F$7),Y18,"")</f>
        <v>18.670000000000002</v>
      </c>
      <c r="BW18" s="40">
        <f>IF(AND(BW$5&gt;=설정!$E$7,BW$5&lt;=설정!$F$7),Z18,"")</f>
        <v>19.68</v>
      </c>
      <c r="BX18" s="40">
        <f>IF(AND(BX$5&gt;=설정!$E$7,BX$5&lt;=설정!$F$7),AA18,"")</f>
        <v>20.59</v>
      </c>
      <c r="BY18" s="40">
        <f>IF(AND(BY$5&gt;=설정!$E$7,BY$5&lt;=설정!$F$7),AB18,"")</f>
        <v>21.51</v>
      </c>
      <c r="BZ18" s="40">
        <f>IF(AND(BZ$5&gt;=설정!$E$7,BZ$5&lt;=설정!$F$7),AC18,"")</f>
        <v>22.34</v>
      </c>
      <c r="CA18" s="40">
        <f>IF(AND(CA$5&gt;=설정!$E$7,CA$5&lt;=설정!$F$7),AD18,"")</f>
        <v>23.11</v>
      </c>
      <c r="CB18" s="40">
        <f>IF(AND(CB$5&gt;=설정!$E$7,CB$5&lt;=설정!$F$7),AE18,"")</f>
        <v>23.84</v>
      </c>
      <c r="CC18" s="40">
        <f>IF(AND(CC$5&gt;=설정!$E$7,CC$5&lt;=설정!$F$7),AF18,"")</f>
        <v>24.5</v>
      </c>
      <c r="CD18" s="40" t="str">
        <f>IF(AND(CD$5&gt;=설정!$E$7,CD$5&lt;=설정!$F$7),AG18,"")</f>
        <v/>
      </c>
      <c r="CE18" s="40" t="str">
        <f>IF(AND(CE$5&gt;=설정!$E$7,CE$5&lt;=설정!$F$7),AH18,"")</f>
        <v/>
      </c>
      <c r="CF18" s="40" t="str">
        <f>IF(AND(CF$5&gt;=설정!$E$7,CF$5&lt;=설정!$F$7),AI18,"")</f>
        <v/>
      </c>
      <c r="CG18" s="40" t="str">
        <f>IF(AND(CG$5&gt;=설정!$E$7,CG$5&lt;=설정!$F$7),AJ18,"")</f>
        <v/>
      </c>
      <c r="CH18" s="40" t="str">
        <f>IF(AND(CH$5&gt;=설정!$E$7,CH$5&lt;=설정!$F$7),AK18,"")</f>
        <v/>
      </c>
      <c r="CI18" s="40" t="str">
        <f>IF(AND(CI$5&gt;=설정!$E$7,CI$5&lt;=설정!$F$7),AL18,"")</f>
        <v/>
      </c>
      <c r="CJ18" s="40" t="str">
        <f>IF(AND(CJ$5&gt;=설정!$E$7,CJ$5&lt;=설정!$F$7),AM18,"")</f>
        <v/>
      </c>
      <c r="CK18" s="40" t="str">
        <f>IF(AND(CK$5&gt;=설정!$E$7,CK$5&lt;=설정!$F$7),AN18,"")</f>
        <v/>
      </c>
      <c r="CL18" s="40" t="str">
        <f>IF(AND(CL$5&gt;=설정!$E$7,CL$5&lt;=설정!$F$7),AO18,"")</f>
        <v/>
      </c>
      <c r="CM18" s="40" t="str">
        <f>IF(AND(CM$5&gt;=설정!$E$7,CM$5&lt;=설정!$F$7),AP18,"")</f>
        <v/>
      </c>
      <c r="CN18" s="40" t="str">
        <f>IF(AND(CN$5&gt;=설정!$E$7,CN$5&lt;=설정!$F$7),AQ18,"")</f>
        <v/>
      </c>
      <c r="CO18" s="40" t="str">
        <f>IF(AND(CO$5&gt;=설정!$E$7,CO$5&lt;=설정!$F$7),AR18,"")</f>
        <v/>
      </c>
      <c r="CP18" s="40" t="str">
        <f>IF(AND(CP$5&gt;=설정!$E$7,CP$5&lt;=설정!$F$7),AS18,"")</f>
        <v/>
      </c>
      <c r="CQ18" s="40" t="str">
        <f>IF(AND(CQ$5&gt;=설정!$E$7,CQ$5&lt;=설정!$F$7),AT18,"")</f>
        <v/>
      </c>
    </row>
    <row r="20" spans="1:95">
      <c r="A20" s="41" t="s">
        <v>96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</row>
  </sheetData>
  <phoneticPr fontId="8" type="noConversion"/>
  <conditionalFormatting sqref="BD6:BD18">
    <cfRule type="containsText" dxfId="5" priority="1" operator="containsText" text="오류"/>
    <cfRule type="containsText" dxfId="4" priority="3" operator="containsText" text="확인"/>
    <cfRule type="containsText" dxfId="3" priority="5" operator="containsText" text="완료"/>
  </conditionalFormatting>
  <dataValidations disablePrompts="1" count="1">
    <dataValidation type="whole" sqref="AY6:AY18" xr:uid="{00000000-0002-0000-0200-000000000000}">
      <formula1>360</formula1>
      <formula2>740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2:CQ20"/>
  <sheetViews>
    <sheetView showGridLines="0" tabSelected="1" workbookViewId="0">
      <pane xSplit="7" ySplit="5" topLeftCell="AX6" activePane="bottomRight" state="frozen"/>
      <selection pane="topRight"/>
      <selection pane="bottomLeft"/>
      <selection pane="bottomRight" activeCell="BC6" sqref="BC6"/>
    </sheetView>
  </sheetViews>
  <sheetFormatPr defaultRowHeight="13.8"/>
  <cols>
    <col min="1" max="1" width="8" customWidth="1"/>
    <col min="2" max="2" width="21" customWidth="1"/>
    <col min="3" max="6" width="10" customWidth="1"/>
    <col min="7" max="7" width="12" customWidth="1"/>
    <col min="8" max="46" width="8" customWidth="1"/>
    <col min="47" max="52" width="12" customWidth="1"/>
    <col min="53" max="55" width="14" customWidth="1"/>
    <col min="56" max="56" width="18" customWidth="1"/>
    <col min="57" max="95" width="3" customWidth="1"/>
  </cols>
  <sheetData>
    <row r="2" spans="1:95" ht="24" customHeight="1">
      <c r="A2" s="1" t="s">
        <v>97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95">
      <c r="A3" s="2" t="s">
        <v>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5" spans="1:95" ht="26.4">
      <c r="A5" s="11" t="s">
        <v>10</v>
      </c>
      <c r="B5" s="12" t="s">
        <v>66</v>
      </c>
      <c r="C5" s="12" t="s">
        <v>67</v>
      </c>
      <c r="D5" s="12" t="s">
        <v>68</v>
      </c>
      <c r="E5" s="12" t="s">
        <v>69</v>
      </c>
      <c r="F5" s="12" t="s">
        <v>70</v>
      </c>
      <c r="G5" s="12" t="s">
        <v>71</v>
      </c>
      <c r="H5" s="37">
        <v>360</v>
      </c>
      <c r="I5" s="37">
        <v>370</v>
      </c>
      <c r="J5" s="37">
        <v>380</v>
      </c>
      <c r="K5" s="37">
        <v>390</v>
      </c>
      <c r="L5" s="37">
        <v>400</v>
      </c>
      <c r="M5" s="37">
        <v>410</v>
      </c>
      <c r="N5" s="37">
        <v>420</v>
      </c>
      <c r="O5" s="37">
        <v>430</v>
      </c>
      <c r="P5" s="37">
        <v>440</v>
      </c>
      <c r="Q5" s="37">
        <v>450</v>
      </c>
      <c r="R5" s="37">
        <v>460</v>
      </c>
      <c r="S5" s="37">
        <v>470</v>
      </c>
      <c r="T5" s="37">
        <v>480</v>
      </c>
      <c r="U5" s="37">
        <v>490</v>
      </c>
      <c r="V5" s="37">
        <v>500</v>
      </c>
      <c r="W5" s="37">
        <v>510</v>
      </c>
      <c r="X5" s="37">
        <v>520</v>
      </c>
      <c r="Y5" s="37">
        <v>530</v>
      </c>
      <c r="Z5" s="37">
        <v>540</v>
      </c>
      <c r="AA5" s="37">
        <v>550</v>
      </c>
      <c r="AB5" s="37">
        <v>560</v>
      </c>
      <c r="AC5" s="37">
        <v>570</v>
      </c>
      <c r="AD5" s="37">
        <v>580</v>
      </c>
      <c r="AE5" s="37">
        <v>590</v>
      </c>
      <c r="AF5" s="37">
        <v>600</v>
      </c>
      <c r="AG5" s="37">
        <v>610</v>
      </c>
      <c r="AH5" s="37">
        <v>620</v>
      </c>
      <c r="AI5" s="37">
        <v>630</v>
      </c>
      <c r="AJ5" s="37">
        <v>640</v>
      </c>
      <c r="AK5" s="37">
        <v>650</v>
      </c>
      <c r="AL5" s="37">
        <v>660</v>
      </c>
      <c r="AM5" s="37">
        <v>670</v>
      </c>
      <c r="AN5" s="37">
        <v>680</v>
      </c>
      <c r="AO5" s="37">
        <v>690</v>
      </c>
      <c r="AP5" s="37">
        <v>700</v>
      </c>
      <c r="AQ5" s="37">
        <v>710</v>
      </c>
      <c r="AR5" s="37">
        <v>720</v>
      </c>
      <c r="AS5" s="37">
        <v>730</v>
      </c>
      <c r="AT5" s="37">
        <v>740</v>
      </c>
      <c r="AU5" s="12" t="s">
        <v>72</v>
      </c>
      <c r="AV5" s="12" t="s">
        <v>73</v>
      </c>
      <c r="AW5" s="12" t="s">
        <v>74</v>
      </c>
      <c r="AX5" s="12" t="s">
        <v>75</v>
      </c>
      <c r="AY5" s="12" t="s">
        <v>76</v>
      </c>
      <c r="AZ5" s="12" t="s">
        <v>77</v>
      </c>
      <c r="BA5" s="12" t="s">
        <v>21</v>
      </c>
      <c r="BB5" s="12" t="s">
        <v>22</v>
      </c>
      <c r="BC5" s="12" t="s">
        <v>23</v>
      </c>
      <c r="BD5" s="13" t="s">
        <v>81</v>
      </c>
      <c r="BE5" s="40">
        <v>360</v>
      </c>
      <c r="BF5" s="40">
        <v>370</v>
      </c>
      <c r="BG5" s="40">
        <v>380</v>
      </c>
      <c r="BH5" s="40">
        <v>390</v>
      </c>
      <c r="BI5" s="40">
        <v>400</v>
      </c>
      <c r="BJ5" s="40">
        <v>410</v>
      </c>
      <c r="BK5" s="40">
        <v>420</v>
      </c>
      <c r="BL5" s="40">
        <v>430</v>
      </c>
      <c r="BM5" s="40">
        <v>440</v>
      </c>
      <c r="BN5" s="40">
        <v>450</v>
      </c>
      <c r="BO5" s="40">
        <v>460</v>
      </c>
      <c r="BP5" s="40">
        <v>470</v>
      </c>
      <c r="BQ5" s="40">
        <v>480</v>
      </c>
      <c r="BR5" s="40">
        <v>490</v>
      </c>
      <c r="BS5" s="40">
        <v>500</v>
      </c>
      <c r="BT5" s="40">
        <v>510</v>
      </c>
      <c r="BU5" s="40">
        <v>520</v>
      </c>
      <c r="BV5" s="40">
        <v>530</v>
      </c>
      <c r="BW5" s="40">
        <v>540</v>
      </c>
      <c r="BX5" s="40">
        <v>550</v>
      </c>
      <c r="BY5" s="40">
        <v>560</v>
      </c>
      <c r="BZ5" s="40">
        <v>570</v>
      </c>
      <c r="CA5" s="40">
        <v>580</v>
      </c>
      <c r="CB5" s="40">
        <v>590</v>
      </c>
      <c r="CC5" s="40">
        <v>600</v>
      </c>
      <c r="CD5" s="40">
        <v>610</v>
      </c>
      <c r="CE5" s="40">
        <v>620</v>
      </c>
      <c r="CF5" s="40">
        <v>630</v>
      </c>
      <c r="CG5" s="40">
        <v>640</v>
      </c>
      <c r="CH5" s="40">
        <v>650</v>
      </c>
      <c r="CI5" s="40">
        <v>660</v>
      </c>
      <c r="CJ5" s="40">
        <v>670</v>
      </c>
      <c r="CK5" s="40">
        <v>680</v>
      </c>
      <c r="CL5" s="40">
        <v>690</v>
      </c>
      <c r="CM5" s="40">
        <v>700</v>
      </c>
      <c r="CN5" s="40">
        <v>710</v>
      </c>
      <c r="CO5" s="40">
        <v>720</v>
      </c>
      <c r="CP5" s="40">
        <v>730</v>
      </c>
      <c r="CQ5" s="40">
        <v>740</v>
      </c>
    </row>
    <row r="6" spans="1:95" ht="19.95" customHeight="1">
      <c r="A6" s="26">
        <v>1</v>
      </c>
      <c r="B6" s="24" t="s">
        <v>98</v>
      </c>
      <c r="C6" s="38">
        <v>32.450000000000003</v>
      </c>
      <c r="D6" s="38">
        <v>4.74</v>
      </c>
      <c r="E6" s="38">
        <v>3.36</v>
      </c>
      <c r="F6" s="38">
        <v>7.29</v>
      </c>
      <c r="G6" s="24" t="s">
        <v>83</v>
      </c>
      <c r="H6" s="38">
        <v>17.07</v>
      </c>
      <c r="I6" s="38">
        <v>14.45</v>
      </c>
      <c r="J6" s="38">
        <v>12.51</v>
      </c>
      <c r="K6" s="38">
        <v>10.86</v>
      </c>
      <c r="L6" s="38">
        <v>9.5299999999999994</v>
      </c>
      <c r="M6" s="38">
        <v>8.4499999999999993</v>
      </c>
      <c r="N6" s="38">
        <v>7.56</v>
      </c>
      <c r="O6" s="38">
        <v>6.94</v>
      </c>
      <c r="P6" s="38">
        <v>6.51</v>
      </c>
      <c r="Q6" s="38">
        <v>6.21</v>
      </c>
      <c r="R6" s="38">
        <v>6.03</v>
      </c>
      <c r="S6" s="38">
        <v>5.95</v>
      </c>
      <c r="T6" s="38">
        <v>5.95</v>
      </c>
      <c r="U6" s="38">
        <v>6.06</v>
      </c>
      <c r="V6" s="38">
        <v>6.19</v>
      </c>
      <c r="W6" s="38">
        <v>6.32</v>
      </c>
      <c r="X6" s="38">
        <v>6.51</v>
      </c>
      <c r="Y6" s="38">
        <v>6.72</v>
      </c>
      <c r="Z6" s="38">
        <v>6.95</v>
      </c>
      <c r="AA6" s="38">
        <v>7.16</v>
      </c>
      <c r="AB6" s="38">
        <v>7.4</v>
      </c>
      <c r="AC6" s="38">
        <v>7.64</v>
      </c>
      <c r="AD6" s="38">
        <v>7.87</v>
      </c>
      <c r="AE6" s="38">
        <v>8.09</v>
      </c>
      <c r="AF6" s="38">
        <v>8.33</v>
      </c>
      <c r="AG6" s="38">
        <v>8.57</v>
      </c>
      <c r="AH6" s="38">
        <v>8.74</v>
      </c>
      <c r="AI6" s="38">
        <v>8.94</v>
      </c>
      <c r="AJ6" s="38">
        <v>9.17</v>
      </c>
      <c r="AK6" s="38">
        <v>9.31</v>
      </c>
      <c r="AL6" s="38">
        <v>9.5299999999999994</v>
      </c>
      <c r="AM6" s="38">
        <v>9.66</v>
      </c>
      <c r="AN6" s="38">
        <v>9.84</v>
      </c>
      <c r="AO6" s="38">
        <v>10.029999999999999</v>
      </c>
      <c r="AP6" s="38">
        <v>10.17</v>
      </c>
      <c r="AQ6" s="38">
        <v>10.3</v>
      </c>
      <c r="AR6" s="38">
        <v>10.37</v>
      </c>
      <c r="AS6" s="38">
        <v>10.52</v>
      </c>
      <c r="AT6" s="38">
        <v>10.65</v>
      </c>
      <c r="AU6" s="17">
        <f>IF(OR(설정!$E$8&gt;설정!$F$8,COUNT(H6:AT6)=0),"",MIN(BE6:CQ6))</f>
        <v>5.95</v>
      </c>
      <c r="AV6" s="17">
        <f t="shared" ref="AV6:AV18" si="0">IF(AU6="","",SUMIFS($BE$5:$CQ$5,BE6:CQ6,AU6)/COUNTIFS(BE6:CQ6,AU6))</f>
        <v>475</v>
      </c>
      <c r="AW6" s="17">
        <f>IF(OR(설정!$E$8&gt;설정!$F$8,COUNT(H6:AT6)=0),"",MAX(BE6:CQ6))</f>
        <v>7.16</v>
      </c>
      <c r="AX6" s="17">
        <f t="shared" ref="AX6:AX18" si="1">IF(AW6="","",SUMIFS($BE$5:$CQ$5,BE6:CQ6,AW6)/COUNTIFS(BE6:CQ6,AW6))</f>
        <v>550</v>
      </c>
      <c r="AY6" s="33"/>
      <c r="AZ6" s="15">
        <f>IF(AY6&lt;&gt;"",AY6,IF(설정!$C$8="최소",AV6,AX6))</f>
        <v>475</v>
      </c>
      <c r="BA6" s="16">
        <f>IF(AZ6="","",IF(OR(AZ6&lt;굴절률!$A$6,AZ6&gt;굴절률!$A$44),"",IF(COUNTIFS(굴절률!$A$6:$A$44,AZ6)&gt;0,INDEX(굴절률!$D$6:$D$44,MATCH(AZ6,굴절률!$A$6:$A$44,0)),INDEX(굴절률!$D$6:$D$44,MATCH(AZ6,굴절률!$A$6:$A$44,1))+(AZ6-INDEX(굴절률!$A$6:$A$44,MATCH(AZ6,굴절률!$A$6:$A$44,1)))*(INDEX(굴절률!$D$6:$D$44,MATCH(AZ6,굴절률!$A$6:$A$44,1)+1)-INDEX(굴절률!$D$6:$D$44,MATCH(AZ6,굴절률!$A$6:$A$44,1)))/(INDEX(굴절률!$A$6:$A$44,MATCH(AZ6,굴절률!$A$6:$A$44,1)+1)-INDEX(굴절률!$A$6:$A$44,MATCH(AZ6,굴절률!$A$6:$A$44,1))))))</f>
        <v>1.47085</v>
      </c>
      <c r="BB6" s="16">
        <f>설정!$C$16</f>
        <v>10</v>
      </c>
      <c r="BC6" s="17">
        <f>IF(OR(AZ6="",설정!$C$16="",설정!$C$16&lt;8,설정!$C$16&gt;15),"",IF(COUNTIFS('TMM 계산표'!$B$5:$I$5,설정!$C$16)&gt;0,INDEX('TMM 계산표'!$B$6:$I$3806,MATCH(AZ6,'TMM 계산표'!$A$6:$A$3806,1),MATCH(설정!$C$16,'TMM 계산표'!$B$5:$I$5,0)),INDEX('TMM 계산표'!$B$6:$I$3806,MATCH(AZ6,'TMM 계산표'!$A$6:$A$3806,1),MATCH(설정!$C$16,'TMM 계산표'!$B$5:$I$5,1))+(설정!$C$16-INDEX('TMM 계산표'!$B$5:$I$5,1,MATCH(설정!$C$16,'TMM 계산표'!$B$5:$I$5,1)))*(INDEX('TMM 계산표'!$B$6:$I$3806,MATCH(AZ6,'TMM 계산표'!$A$6:$A$3806,1),MATCH(설정!$C$16,'TMM 계산표'!$B$5:$I$5,1)+1)-INDEX('TMM 계산표'!$B$6:$I$3806,MATCH(AZ6,'TMM 계산표'!$A$6:$A$3806,1),MATCH(설정!$C$16,'TMM 계산표'!$B$5:$I$5,1)))/(INDEX('TMM 계산표'!$B$5:$I$5,1,MATCH(설정!$C$16,'TMM 계산표'!$B$5:$I$5,1)+1)-INDEX('TMM 계산표'!$B$5:$I$5,1,MATCH(설정!$C$16,'TMM 계산표'!$B$5:$I$5,1)))))</f>
        <v>95.324239424523086</v>
      </c>
      <c r="BD6" s="22" t="str">
        <f>IF(COUNT(H6:AT6)=0,"입력 필요",IF(COUNT(H6:AT6)&lt;&gt;39,"데이터 점검",IF(OR(설정!$C$16="",설정!$C$16&lt;8,설정!$C$16&gt;15),"Nb 두께 입력 확인",IF(OR(설정!$E$8&gt;설정!$F$8,설정!$E$8&lt;360,설정!$F$8&gt;740),"검색 범위 오류",IF(AY6&lt;&gt;"","수동 파장",IF(OR(AZ6=설정!$E$8,AZ6=설정!$F$8),"경계 극값 확인","완료"))))))</f>
        <v>완료</v>
      </c>
      <c r="BE6" s="40" t="str">
        <f>IF(AND(BE$5&gt;=설정!$E$8,BE$5&lt;=설정!$F$8),H6,"")</f>
        <v/>
      </c>
      <c r="BF6" s="40" t="str">
        <f>IF(AND(BF$5&gt;=설정!$E$8,BF$5&lt;=설정!$F$8),I6,"")</f>
        <v/>
      </c>
      <c r="BG6" s="40" t="str">
        <f>IF(AND(BG$5&gt;=설정!$E$8,BG$5&lt;=설정!$F$8),J6,"")</f>
        <v/>
      </c>
      <c r="BH6" s="40" t="str">
        <f>IF(AND(BH$5&gt;=설정!$E$8,BH$5&lt;=설정!$F$8),K6,"")</f>
        <v/>
      </c>
      <c r="BI6" s="40" t="str">
        <f>IF(AND(BI$5&gt;=설정!$E$8,BI$5&lt;=설정!$F$8),L6,"")</f>
        <v/>
      </c>
      <c r="BJ6" s="40" t="str">
        <f>IF(AND(BJ$5&gt;=설정!$E$8,BJ$5&lt;=설정!$F$8),M6,"")</f>
        <v/>
      </c>
      <c r="BK6" s="40" t="str">
        <f>IF(AND(BK$5&gt;=설정!$E$8,BK$5&lt;=설정!$F$8),N6,"")</f>
        <v/>
      </c>
      <c r="BL6" s="40">
        <f>IF(AND(BL$5&gt;=설정!$E$8,BL$5&lt;=설정!$F$8),O6,"")</f>
        <v>6.94</v>
      </c>
      <c r="BM6" s="40">
        <f>IF(AND(BM$5&gt;=설정!$E$8,BM$5&lt;=설정!$F$8),P6,"")</f>
        <v>6.51</v>
      </c>
      <c r="BN6" s="40">
        <f>IF(AND(BN$5&gt;=설정!$E$8,BN$5&lt;=설정!$F$8),Q6,"")</f>
        <v>6.21</v>
      </c>
      <c r="BO6" s="40">
        <f>IF(AND(BO$5&gt;=설정!$E$8,BO$5&lt;=설정!$F$8),R6,"")</f>
        <v>6.03</v>
      </c>
      <c r="BP6" s="40">
        <f>IF(AND(BP$5&gt;=설정!$E$8,BP$5&lt;=설정!$F$8),S6,"")</f>
        <v>5.95</v>
      </c>
      <c r="BQ6" s="40">
        <f>IF(AND(BQ$5&gt;=설정!$E$8,BQ$5&lt;=설정!$F$8),T6,"")</f>
        <v>5.95</v>
      </c>
      <c r="BR6" s="40">
        <f>IF(AND(BR$5&gt;=설정!$E$8,BR$5&lt;=설정!$F$8),U6,"")</f>
        <v>6.06</v>
      </c>
      <c r="BS6" s="40">
        <f>IF(AND(BS$5&gt;=설정!$E$8,BS$5&lt;=설정!$F$8),V6,"")</f>
        <v>6.19</v>
      </c>
      <c r="BT6" s="40">
        <f>IF(AND(BT$5&gt;=설정!$E$8,BT$5&lt;=설정!$F$8),W6,"")</f>
        <v>6.32</v>
      </c>
      <c r="BU6" s="40">
        <f>IF(AND(BU$5&gt;=설정!$E$8,BU$5&lt;=설정!$F$8),X6,"")</f>
        <v>6.51</v>
      </c>
      <c r="BV6" s="40">
        <f>IF(AND(BV$5&gt;=설정!$E$8,BV$5&lt;=설정!$F$8),Y6,"")</f>
        <v>6.72</v>
      </c>
      <c r="BW6" s="40">
        <f>IF(AND(BW$5&gt;=설정!$E$8,BW$5&lt;=설정!$F$8),Z6,"")</f>
        <v>6.95</v>
      </c>
      <c r="BX6" s="40">
        <f>IF(AND(BX$5&gt;=설정!$E$8,BX$5&lt;=설정!$F$8),AA6,"")</f>
        <v>7.16</v>
      </c>
      <c r="BY6" s="40" t="str">
        <f>IF(AND(BY$5&gt;=설정!$E$8,BY$5&lt;=설정!$F$8),AB6,"")</f>
        <v/>
      </c>
      <c r="BZ6" s="40" t="str">
        <f>IF(AND(BZ$5&gt;=설정!$E$8,BZ$5&lt;=설정!$F$8),AC6,"")</f>
        <v/>
      </c>
      <c r="CA6" s="40" t="str">
        <f>IF(AND(CA$5&gt;=설정!$E$8,CA$5&lt;=설정!$F$8),AD6,"")</f>
        <v/>
      </c>
      <c r="CB6" s="40" t="str">
        <f>IF(AND(CB$5&gt;=설정!$E$8,CB$5&lt;=설정!$F$8),AE6,"")</f>
        <v/>
      </c>
      <c r="CC6" s="40" t="str">
        <f>IF(AND(CC$5&gt;=설정!$E$8,CC$5&lt;=설정!$F$8),AF6,"")</f>
        <v/>
      </c>
      <c r="CD6" s="40" t="str">
        <f>IF(AND(CD$5&gt;=설정!$E$8,CD$5&lt;=설정!$F$8),AG6,"")</f>
        <v/>
      </c>
      <c r="CE6" s="40" t="str">
        <f>IF(AND(CE$5&gt;=설정!$E$8,CE$5&lt;=설정!$F$8),AH6,"")</f>
        <v/>
      </c>
      <c r="CF6" s="40" t="str">
        <f>IF(AND(CF$5&gt;=설정!$E$8,CF$5&lt;=설정!$F$8),AI6,"")</f>
        <v/>
      </c>
      <c r="CG6" s="40" t="str">
        <f>IF(AND(CG$5&gt;=설정!$E$8,CG$5&lt;=설정!$F$8),AJ6,"")</f>
        <v/>
      </c>
      <c r="CH6" s="40" t="str">
        <f>IF(AND(CH$5&gt;=설정!$E$8,CH$5&lt;=설정!$F$8),AK6,"")</f>
        <v/>
      </c>
      <c r="CI6" s="40" t="str">
        <f>IF(AND(CI$5&gt;=설정!$E$8,CI$5&lt;=설정!$F$8),AL6,"")</f>
        <v/>
      </c>
      <c r="CJ6" s="40" t="str">
        <f>IF(AND(CJ$5&gt;=설정!$E$8,CJ$5&lt;=설정!$F$8),AM6,"")</f>
        <v/>
      </c>
      <c r="CK6" s="40" t="str">
        <f>IF(AND(CK$5&gt;=설정!$E$8,CK$5&lt;=설정!$F$8),AN6,"")</f>
        <v/>
      </c>
      <c r="CL6" s="40" t="str">
        <f>IF(AND(CL$5&gt;=설정!$E$8,CL$5&lt;=설정!$F$8),AO6,"")</f>
        <v/>
      </c>
      <c r="CM6" s="40" t="str">
        <f>IF(AND(CM$5&gt;=설정!$E$8,CM$5&lt;=설정!$F$8),AP6,"")</f>
        <v/>
      </c>
      <c r="CN6" s="40" t="str">
        <f>IF(AND(CN$5&gt;=설정!$E$8,CN$5&lt;=설정!$F$8),AQ6,"")</f>
        <v/>
      </c>
      <c r="CO6" s="40" t="str">
        <f>IF(AND(CO$5&gt;=설정!$E$8,CO$5&lt;=설정!$F$8),AR6,"")</f>
        <v/>
      </c>
      <c r="CP6" s="40" t="str">
        <f>IF(AND(CP$5&gt;=설정!$E$8,CP$5&lt;=설정!$F$8),AS6,"")</f>
        <v/>
      </c>
      <c r="CQ6" s="40" t="str">
        <f>IF(AND(CQ$5&gt;=설정!$E$8,CQ$5&lt;=설정!$F$8),AT6,"")</f>
        <v/>
      </c>
    </row>
    <row r="7" spans="1:95" ht="19.95" customHeight="1">
      <c r="A7" s="28">
        <v>2</v>
      </c>
      <c r="B7" s="25" t="s">
        <v>99</v>
      </c>
      <c r="C7" s="39">
        <v>31.57</v>
      </c>
      <c r="D7" s="39">
        <v>5.99</v>
      </c>
      <c r="E7" s="39">
        <v>-1.01</v>
      </c>
      <c r="F7" s="39">
        <v>6.9</v>
      </c>
      <c r="G7" s="25" t="s">
        <v>83</v>
      </c>
      <c r="H7" s="39">
        <v>20.72</v>
      </c>
      <c r="I7" s="39">
        <v>17.82</v>
      </c>
      <c r="J7" s="39">
        <v>15.52</v>
      </c>
      <c r="K7" s="39">
        <v>13.51</v>
      </c>
      <c r="L7" s="39">
        <v>11.83</v>
      </c>
      <c r="M7" s="39">
        <v>10.36</v>
      </c>
      <c r="N7" s="39">
        <v>9.14</v>
      </c>
      <c r="O7" s="39">
        <v>8.1999999999999993</v>
      </c>
      <c r="P7" s="39">
        <v>7.46</v>
      </c>
      <c r="Q7" s="39">
        <v>6.91</v>
      </c>
      <c r="R7" s="39">
        <v>6.5</v>
      </c>
      <c r="S7" s="39">
        <v>6.21</v>
      </c>
      <c r="T7" s="39">
        <v>6.05</v>
      </c>
      <c r="U7" s="39">
        <v>6.01</v>
      </c>
      <c r="V7" s="39">
        <v>6.01</v>
      </c>
      <c r="W7" s="39">
        <v>6.06</v>
      </c>
      <c r="X7" s="39">
        <v>6.16</v>
      </c>
      <c r="Y7" s="39">
        <v>6.3</v>
      </c>
      <c r="Z7" s="39">
        <v>6.49</v>
      </c>
      <c r="AA7" s="39">
        <v>6.66</v>
      </c>
      <c r="AB7" s="39">
        <v>6.86</v>
      </c>
      <c r="AC7" s="39">
        <v>7.09</v>
      </c>
      <c r="AD7" s="39">
        <v>7.32</v>
      </c>
      <c r="AE7" s="39">
        <v>7.52</v>
      </c>
      <c r="AF7" s="39">
        <v>7.76</v>
      </c>
      <c r="AG7" s="39">
        <v>8</v>
      </c>
      <c r="AH7" s="39">
        <v>8.1999999999999993</v>
      </c>
      <c r="AI7" s="39">
        <v>8.39</v>
      </c>
      <c r="AJ7" s="39">
        <v>8.6199999999999992</v>
      </c>
      <c r="AK7" s="39">
        <v>8.81</v>
      </c>
      <c r="AL7" s="39">
        <v>9.02</v>
      </c>
      <c r="AM7" s="39">
        <v>9.18</v>
      </c>
      <c r="AN7" s="39">
        <v>9.3800000000000008</v>
      </c>
      <c r="AO7" s="39">
        <v>9.56</v>
      </c>
      <c r="AP7" s="39">
        <v>9.73</v>
      </c>
      <c r="AQ7" s="39">
        <v>9.8800000000000008</v>
      </c>
      <c r="AR7" s="39">
        <v>10</v>
      </c>
      <c r="AS7" s="39">
        <v>10.17</v>
      </c>
      <c r="AT7" s="39">
        <v>10.29</v>
      </c>
      <c r="AU7" s="21">
        <f>IF(OR(설정!$E$8&gt;설정!$F$8,COUNT(H7:AT7)=0),"",MIN(BE7:CQ7))</f>
        <v>6.01</v>
      </c>
      <c r="AV7" s="21">
        <f t="shared" si="0"/>
        <v>495</v>
      </c>
      <c r="AW7" s="21">
        <f>IF(OR(설정!$E$8&gt;설정!$F$8,COUNT(H7:AT7)=0),"",MAX(BE7:CQ7))</f>
        <v>8.1999999999999993</v>
      </c>
      <c r="AX7" s="21">
        <f t="shared" si="1"/>
        <v>430</v>
      </c>
      <c r="AY7" s="35"/>
      <c r="AZ7" s="19">
        <f>IF(AY7&lt;&gt;"",AY7,IF(설정!$C$8="최소",AV7,AX7))</f>
        <v>495</v>
      </c>
      <c r="BA7" s="20">
        <f>IF(AZ7="","",IF(OR(AZ7&lt;굴절률!$A$6,AZ7&gt;굴절률!$A$44),"",IF(COUNTIFS(굴절률!$A$6:$A$44,AZ7)&gt;0,INDEX(굴절률!$D$6:$D$44,MATCH(AZ7,굴절률!$A$6:$A$44,0)),INDEX(굴절률!$D$6:$D$44,MATCH(AZ7,굴절률!$A$6:$A$44,1))+(AZ7-INDEX(굴절률!$A$6:$A$44,MATCH(AZ7,굴절률!$A$6:$A$44,1)))*(INDEX(굴절률!$D$6:$D$44,MATCH(AZ7,굴절률!$A$6:$A$44,1)+1)-INDEX(굴절률!$D$6:$D$44,MATCH(AZ7,굴절률!$A$6:$A$44,1)))/(INDEX(굴절률!$A$6:$A$44,MATCH(AZ7,굴절률!$A$6:$A$44,1)+1)-INDEX(굴절률!$A$6:$A$44,MATCH(AZ7,굴절률!$A$6:$A$44,1))))))</f>
        <v>1.4702500000000001</v>
      </c>
      <c r="BB7" s="20">
        <f>설정!$C$16</f>
        <v>10</v>
      </c>
      <c r="BC7" s="21">
        <f>IF(OR(AZ7="",설정!$C$16="",설정!$C$16&lt;8,설정!$C$16&gt;15),"",IF(COUNTIFS('TMM 계산표'!$B$5:$I$5,설정!$C$16)&gt;0,INDEX('TMM 계산표'!$B$6:$I$3806,MATCH(AZ7,'TMM 계산표'!$A$6:$A$3806,1),MATCH(설정!$C$16,'TMM 계산표'!$B$5:$I$5,0)),INDEX('TMM 계산표'!$B$6:$I$3806,MATCH(AZ7,'TMM 계산표'!$A$6:$A$3806,1),MATCH(설정!$C$16,'TMM 계산표'!$B$5:$I$5,1))+(설정!$C$16-INDEX('TMM 계산표'!$B$5:$I$5,1,MATCH(설정!$C$16,'TMM 계산표'!$B$5:$I$5,1)))*(INDEX('TMM 계산표'!$B$6:$I$3806,MATCH(AZ7,'TMM 계산표'!$A$6:$A$3806,1),MATCH(설정!$C$16,'TMM 계산표'!$B$5:$I$5,1)+1)-INDEX('TMM 계산표'!$B$6:$I$3806,MATCH(AZ7,'TMM 계산표'!$A$6:$A$3806,1),MATCH(설정!$C$16,'TMM 계산표'!$B$5:$I$5,1)))/(INDEX('TMM 계산표'!$B$5:$I$5,1,MATCH(설정!$C$16,'TMM 계산표'!$B$5:$I$5,1)+1)-INDEX('TMM 계산표'!$B$5:$I$5,1,MATCH(설정!$C$16,'TMM 계산표'!$B$5:$I$5,1)))))</f>
        <v>99.152109440161894</v>
      </c>
      <c r="BD7" s="23" t="str">
        <f>IF(COUNT(H7:AT7)=0,"입력 필요",IF(COUNT(H7:AT7)&lt;&gt;39,"데이터 점검",IF(OR(설정!$C$16="",설정!$C$16&lt;8,설정!$C$16&gt;15),"Nb 두께 입력 확인",IF(OR(설정!$E$8&gt;설정!$F$8,설정!$E$8&lt;360,설정!$F$8&gt;740),"검색 범위 오류",IF(AY7&lt;&gt;"","수동 파장",IF(OR(AZ7=설정!$E$8,AZ7=설정!$F$8),"경계 극값 확인","완료"))))))</f>
        <v>완료</v>
      </c>
      <c r="BE7" s="40" t="str">
        <f>IF(AND(BE$5&gt;=설정!$E$8,BE$5&lt;=설정!$F$8),H7,"")</f>
        <v/>
      </c>
      <c r="BF7" s="40" t="str">
        <f>IF(AND(BF$5&gt;=설정!$E$8,BF$5&lt;=설정!$F$8),I7,"")</f>
        <v/>
      </c>
      <c r="BG7" s="40" t="str">
        <f>IF(AND(BG$5&gt;=설정!$E$8,BG$5&lt;=설정!$F$8),J7,"")</f>
        <v/>
      </c>
      <c r="BH7" s="40" t="str">
        <f>IF(AND(BH$5&gt;=설정!$E$8,BH$5&lt;=설정!$F$8),K7,"")</f>
        <v/>
      </c>
      <c r="BI7" s="40" t="str">
        <f>IF(AND(BI$5&gt;=설정!$E$8,BI$5&lt;=설정!$F$8),L7,"")</f>
        <v/>
      </c>
      <c r="BJ7" s="40" t="str">
        <f>IF(AND(BJ$5&gt;=설정!$E$8,BJ$5&lt;=설정!$F$8),M7,"")</f>
        <v/>
      </c>
      <c r="BK7" s="40" t="str">
        <f>IF(AND(BK$5&gt;=설정!$E$8,BK$5&lt;=설정!$F$8),N7,"")</f>
        <v/>
      </c>
      <c r="BL7" s="40">
        <f>IF(AND(BL$5&gt;=설정!$E$8,BL$5&lt;=설정!$F$8),O7,"")</f>
        <v>8.1999999999999993</v>
      </c>
      <c r="BM7" s="40">
        <f>IF(AND(BM$5&gt;=설정!$E$8,BM$5&lt;=설정!$F$8),P7,"")</f>
        <v>7.46</v>
      </c>
      <c r="BN7" s="40">
        <f>IF(AND(BN$5&gt;=설정!$E$8,BN$5&lt;=설정!$F$8),Q7,"")</f>
        <v>6.91</v>
      </c>
      <c r="BO7" s="40">
        <f>IF(AND(BO$5&gt;=설정!$E$8,BO$5&lt;=설정!$F$8),R7,"")</f>
        <v>6.5</v>
      </c>
      <c r="BP7" s="40">
        <f>IF(AND(BP$5&gt;=설정!$E$8,BP$5&lt;=설정!$F$8),S7,"")</f>
        <v>6.21</v>
      </c>
      <c r="BQ7" s="40">
        <f>IF(AND(BQ$5&gt;=설정!$E$8,BQ$5&lt;=설정!$F$8),T7,"")</f>
        <v>6.05</v>
      </c>
      <c r="BR7" s="40">
        <f>IF(AND(BR$5&gt;=설정!$E$8,BR$5&lt;=설정!$F$8),U7,"")</f>
        <v>6.01</v>
      </c>
      <c r="BS7" s="40">
        <f>IF(AND(BS$5&gt;=설정!$E$8,BS$5&lt;=설정!$F$8),V7,"")</f>
        <v>6.01</v>
      </c>
      <c r="BT7" s="40">
        <f>IF(AND(BT$5&gt;=설정!$E$8,BT$5&lt;=설정!$F$8),W7,"")</f>
        <v>6.06</v>
      </c>
      <c r="BU7" s="40">
        <f>IF(AND(BU$5&gt;=설정!$E$8,BU$5&lt;=설정!$F$8),X7,"")</f>
        <v>6.16</v>
      </c>
      <c r="BV7" s="40">
        <f>IF(AND(BV$5&gt;=설정!$E$8,BV$5&lt;=설정!$F$8),Y7,"")</f>
        <v>6.3</v>
      </c>
      <c r="BW7" s="40">
        <f>IF(AND(BW$5&gt;=설정!$E$8,BW$5&lt;=설정!$F$8),Z7,"")</f>
        <v>6.49</v>
      </c>
      <c r="BX7" s="40">
        <f>IF(AND(BX$5&gt;=설정!$E$8,BX$5&lt;=설정!$F$8),AA7,"")</f>
        <v>6.66</v>
      </c>
      <c r="BY7" s="40" t="str">
        <f>IF(AND(BY$5&gt;=설정!$E$8,BY$5&lt;=설정!$F$8),AB7,"")</f>
        <v/>
      </c>
      <c r="BZ7" s="40" t="str">
        <f>IF(AND(BZ$5&gt;=설정!$E$8,BZ$5&lt;=설정!$F$8),AC7,"")</f>
        <v/>
      </c>
      <c r="CA7" s="40" t="str">
        <f>IF(AND(CA$5&gt;=설정!$E$8,CA$5&lt;=설정!$F$8),AD7,"")</f>
        <v/>
      </c>
      <c r="CB7" s="40" t="str">
        <f>IF(AND(CB$5&gt;=설정!$E$8,CB$5&lt;=설정!$F$8),AE7,"")</f>
        <v/>
      </c>
      <c r="CC7" s="40" t="str">
        <f>IF(AND(CC$5&gt;=설정!$E$8,CC$5&lt;=설정!$F$8),AF7,"")</f>
        <v/>
      </c>
      <c r="CD7" s="40" t="str">
        <f>IF(AND(CD$5&gt;=설정!$E$8,CD$5&lt;=설정!$F$8),AG7,"")</f>
        <v/>
      </c>
      <c r="CE7" s="40" t="str">
        <f>IF(AND(CE$5&gt;=설정!$E$8,CE$5&lt;=설정!$F$8),AH7,"")</f>
        <v/>
      </c>
      <c r="CF7" s="40" t="str">
        <f>IF(AND(CF$5&gt;=설정!$E$8,CF$5&lt;=설정!$F$8),AI7,"")</f>
        <v/>
      </c>
      <c r="CG7" s="40" t="str">
        <f>IF(AND(CG$5&gt;=설정!$E$8,CG$5&lt;=설정!$F$8),AJ7,"")</f>
        <v/>
      </c>
      <c r="CH7" s="40" t="str">
        <f>IF(AND(CH$5&gt;=설정!$E$8,CH$5&lt;=설정!$F$8),AK7,"")</f>
        <v/>
      </c>
      <c r="CI7" s="40" t="str">
        <f>IF(AND(CI$5&gt;=설정!$E$8,CI$5&lt;=설정!$F$8),AL7,"")</f>
        <v/>
      </c>
      <c r="CJ7" s="40" t="str">
        <f>IF(AND(CJ$5&gt;=설정!$E$8,CJ$5&lt;=설정!$F$8),AM7,"")</f>
        <v/>
      </c>
      <c r="CK7" s="40" t="str">
        <f>IF(AND(CK$5&gt;=설정!$E$8,CK$5&lt;=설정!$F$8),AN7,"")</f>
        <v/>
      </c>
      <c r="CL7" s="40" t="str">
        <f>IF(AND(CL$5&gt;=설정!$E$8,CL$5&lt;=설정!$F$8),AO7,"")</f>
        <v/>
      </c>
      <c r="CM7" s="40" t="str">
        <f>IF(AND(CM$5&gt;=설정!$E$8,CM$5&lt;=설정!$F$8),AP7,"")</f>
        <v/>
      </c>
      <c r="CN7" s="40" t="str">
        <f>IF(AND(CN$5&gt;=설정!$E$8,CN$5&lt;=설정!$F$8),AQ7,"")</f>
        <v/>
      </c>
      <c r="CO7" s="40" t="str">
        <f>IF(AND(CO$5&gt;=설정!$E$8,CO$5&lt;=설정!$F$8),AR7,"")</f>
        <v/>
      </c>
      <c r="CP7" s="40" t="str">
        <f>IF(AND(CP$5&gt;=설정!$E$8,CP$5&lt;=설정!$F$8),AS7,"")</f>
        <v/>
      </c>
      <c r="CQ7" s="40" t="str">
        <f>IF(AND(CQ$5&gt;=설정!$E$8,CQ$5&lt;=설정!$F$8),AT7,"")</f>
        <v/>
      </c>
    </row>
    <row r="8" spans="1:95" ht="19.95" customHeight="1">
      <c r="A8" s="28">
        <v>3</v>
      </c>
      <c r="B8" s="25" t="s">
        <v>100</v>
      </c>
      <c r="C8" s="39">
        <v>31.88</v>
      </c>
      <c r="D8" s="39">
        <v>5.8</v>
      </c>
      <c r="E8" s="39">
        <v>-0.34</v>
      </c>
      <c r="F8" s="39">
        <v>7.03</v>
      </c>
      <c r="G8" s="25" t="s">
        <v>83</v>
      </c>
      <c r="H8" s="39">
        <v>20.47</v>
      </c>
      <c r="I8" s="39">
        <v>17.579999999999998</v>
      </c>
      <c r="J8" s="39">
        <v>15.29</v>
      </c>
      <c r="K8" s="39">
        <v>13.3</v>
      </c>
      <c r="L8" s="39">
        <v>11.64</v>
      </c>
      <c r="M8" s="39">
        <v>10.19</v>
      </c>
      <c r="N8" s="39">
        <v>8.99</v>
      </c>
      <c r="O8" s="39">
        <v>8.08</v>
      </c>
      <c r="P8" s="39">
        <v>7.39</v>
      </c>
      <c r="Q8" s="39">
        <v>6.88</v>
      </c>
      <c r="R8" s="39">
        <v>6.48</v>
      </c>
      <c r="S8" s="39">
        <v>6.25</v>
      </c>
      <c r="T8" s="39">
        <v>6.08</v>
      </c>
      <c r="U8" s="39">
        <v>6.08</v>
      </c>
      <c r="V8" s="39">
        <v>6.1</v>
      </c>
      <c r="W8" s="39">
        <v>6.16</v>
      </c>
      <c r="X8" s="39">
        <v>6.29</v>
      </c>
      <c r="Y8" s="39">
        <v>6.44</v>
      </c>
      <c r="Z8" s="39">
        <v>6.63</v>
      </c>
      <c r="AA8" s="39">
        <v>6.82</v>
      </c>
      <c r="AB8" s="39">
        <v>7.03</v>
      </c>
      <c r="AC8" s="39">
        <v>7.26</v>
      </c>
      <c r="AD8" s="39">
        <v>7.48</v>
      </c>
      <c r="AE8" s="39">
        <v>7.69</v>
      </c>
      <c r="AF8" s="39">
        <v>7.94</v>
      </c>
      <c r="AG8" s="39">
        <v>8.17</v>
      </c>
      <c r="AH8" s="39">
        <v>8.34</v>
      </c>
      <c r="AI8" s="39">
        <v>8.56</v>
      </c>
      <c r="AJ8" s="39">
        <v>8.8000000000000007</v>
      </c>
      <c r="AK8" s="39">
        <v>8.9499999999999993</v>
      </c>
      <c r="AL8" s="39">
        <v>9.19</v>
      </c>
      <c r="AM8" s="39">
        <v>9.33</v>
      </c>
      <c r="AN8" s="39">
        <v>9.52</v>
      </c>
      <c r="AO8" s="39">
        <v>9.6999999999999993</v>
      </c>
      <c r="AP8" s="39">
        <v>9.8800000000000008</v>
      </c>
      <c r="AQ8" s="39">
        <v>10.039999999999999</v>
      </c>
      <c r="AR8" s="39">
        <v>10.119999999999999</v>
      </c>
      <c r="AS8" s="39">
        <v>10.26</v>
      </c>
      <c r="AT8" s="39">
        <v>10.42</v>
      </c>
      <c r="AU8" s="21">
        <f>IF(OR(설정!$E$8&gt;설정!$F$8,COUNT(H8:AT8)=0),"",MIN(BE8:CQ8))</f>
        <v>6.08</v>
      </c>
      <c r="AV8" s="21">
        <f t="shared" si="0"/>
        <v>485</v>
      </c>
      <c r="AW8" s="21">
        <f>IF(OR(설정!$E$8&gt;설정!$F$8,COUNT(H8:AT8)=0),"",MAX(BE8:CQ8))</f>
        <v>8.08</v>
      </c>
      <c r="AX8" s="21">
        <f t="shared" si="1"/>
        <v>430</v>
      </c>
      <c r="AY8" s="35"/>
      <c r="AZ8" s="19">
        <f>IF(AY8&lt;&gt;"",AY8,IF(설정!$C$8="최소",AV8,AX8))</f>
        <v>485</v>
      </c>
      <c r="BA8" s="20">
        <f>IF(AZ8="","",IF(OR(AZ8&lt;굴절률!$A$6,AZ8&gt;굴절률!$A$44),"",IF(COUNTIFS(굴절률!$A$6:$A$44,AZ8)&gt;0,INDEX(굴절률!$D$6:$D$44,MATCH(AZ8,굴절률!$A$6:$A$44,0)),INDEX(굴절률!$D$6:$D$44,MATCH(AZ8,굴절률!$A$6:$A$44,1))+(AZ8-INDEX(굴절률!$A$6:$A$44,MATCH(AZ8,굴절률!$A$6:$A$44,1)))*(INDEX(굴절률!$D$6:$D$44,MATCH(AZ8,굴절률!$A$6:$A$44,1)+1)-INDEX(굴절률!$D$6:$D$44,MATCH(AZ8,굴절률!$A$6:$A$44,1)))/(INDEX(굴절률!$A$6:$A$44,MATCH(AZ8,굴절률!$A$6:$A$44,1)+1)-INDEX(굴절률!$A$6:$A$44,MATCH(AZ8,굴절률!$A$6:$A$44,1))))))</f>
        <v>1.4705400000000002</v>
      </c>
      <c r="BB8" s="20">
        <f>설정!$C$16</f>
        <v>10</v>
      </c>
      <c r="BC8" s="21">
        <f>IF(OR(AZ8="",설정!$C$16="",설정!$C$16&lt;8,설정!$C$16&gt;15),"",IF(COUNTIFS('TMM 계산표'!$B$5:$I$5,설정!$C$16)&gt;0,INDEX('TMM 계산표'!$B$6:$I$3806,MATCH(AZ8,'TMM 계산표'!$A$6:$A$3806,1),MATCH(설정!$C$16,'TMM 계산표'!$B$5:$I$5,0)),INDEX('TMM 계산표'!$B$6:$I$3806,MATCH(AZ8,'TMM 계산표'!$A$6:$A$3806,1),MATCH(설정!$C$16,'TMM 계산표'!$B$5:$I$5,1))+(설정!$C$16-INDEX('TMM 계산표'!$B$5:$I$5,1,MATCH(설정!$C$16,'TMM 계산표'!$B$5:$I$5,1)))*(INDEX('TMM 계산표'!$B$6:$I$3806,MATCH(AZ8,'TMM 계산표'!$A$6:$A$3806,1),MATCH(설정!$C$16,'TMM 계산표'!$B$5:$I$5,1)+1)-INDEX('TMM 계산표'!$B$6:$I$3806,MATCH(AZ8,'TMM 계산표'!$A$6:$A$3806,1),MATCH(설정!$C$16,'TMM 계산표'!$B$5:$I$5,1)))/(INDEX('TMM 계산표'!$B$5:$I$5,1,MATCH(설정!$C$16,'TMM 계산표'!$B$5:$I$5,1)+1)-INDEX('TMM 계산표'!$B$5:$I$5,1,MATCH(설정!$C$16,'TMM 계산표'!$B$5:$I$5,1)))))</f>
        <v>97.243999683510566</v>
      </c>
      <c r="BD8" s="23" t="str">
        <f>IF(COUNT(H8:AT8)=0,"입력 필요",IF(COUNT(H8:AT8)&lt;&gt;39,"데이터 점검",IF(OR(설정!$C$16="",설정!$C$16&lt;8,설정!$C$16&gt;15),"Nb 두께 입력 확인",IF(OR(설정!$E$8&gt;설정!$F$8,설정!$E$8&lt;360,설정!$F$8&gt;740),"검색 범위 오류",IF(AY8&lt;&gt;"","수동 파장",IF(OR(AZ8=설정!$E$8,AZ8=설정!$F$8),"경계 극값 확인","완료"))))))</f>
        <v>완료</v>
      </c>
      <c r="BE8" s="40" t="str">
        <f>IF(AND(BE$5&gt;=설정!$E$8,BE$5&lt;=설정!$F$8),H8,"")</f>
        <v/>
      </c>
      <c r="BF8" s="40" t="str">
        <f>IF(AND(BF$5&gt;=설정!$E$8,BF$5&lt;=설정!$F$8),I8,"")</f>
        <v/>
      </c>
      <c r="BG8" s="40" t="str">
        <f>IF(AND(BG$5&gt;=설정!$E$8,BG$5&lt;=설정!$F$8),J8,"")</f>
        <v/>
      </c>
      <c r="BH8" s="40" t="str">
        <f>IF(AND(BH$5&gt;=설정!$E$8,BH$5&lt;=설정!$F$8),K8,"")</f>
        <v/>
      </c>
      <c r="BI8" s="40" t="str">
        <f>IF(AND(BI$5&gt;=설정!$E$8,BI$5&lt;=설정!$F$8),L8,"")</f>
        <v/>
      </c>
      <c r="BJ8" s="40" t="str">
        <f>IF(AND(BJ$5&gt;=설정!$E$8,BJ$5&lt;=설정!$F$8),M8,"")</f>
        <v/>
      </c>
      <c r="BK8" s="40" t="str">
        <f>IF(AND(BK$5&gt;=설정!$E$8,BK$5&lt;=설정!$F$8),N8,"")</f>
        <v/>
      </c>
      <c r="BL8" s="40">
        <f>IF(AND(BL$5&gt;=설정!$E$8,BL$5&lt;=설정!$F$8),O8,"")</f>
        <v>8.08</v>
      </c>
      <c r="BM8" s="40">
        <f>IF(AND(BM$5&gt;=설정!$E$8,BM$5&lt;=설정!$F$8),P8,"")</f>
        <v>7.39</v>
      </c>
      <c r="BN8" s="40">
        <f>IF(AND(BN$5&gt;=설정!$E$8,BN$5&lt;=설정!$F$8),Q8,"")</f>
        <v>6.88</v>
      </c>
      <c r="BO8" s="40">
        <f>IF(AND(BO$5&gt;=설정!$E$8,BO$5&lt;=설정!$F$8),R8,"")</f>
        <v>6.48</v>
      </c>
      <c r="BP8" s="40">
        <f>IF(AND(BP$5&gt;=설정!$E$8,BP$5&lt;=설정!$F$8),S8,"")</f>
        <v>6.25</v>
      </c>
      <c r="BQ8" s="40">
        <f>IF(AND(BQ$5&gt;=설정!$E$8,BQ$5&lt;=설정!$F$8),T8,"")</f>
        <v>6.08</v>
      </c>
      <c r="BR8" s="40">
        <f>IF(AND(BR$5&gt;=설정!$E$8,BR$5&lt;=설정!$F$8),U8,"")</f>
        <v>6.08</v>
      </c>
      <c r="BS8" s="40">
        <f>IF(AND(BS$5&gt;=설정!$E$8,BS$5&lt;=설정!$F$8),V8,"")</f>
        <v>6.1</v>
      </c>
      <c r="BT8" s="40">
        <f>IF(AND(BT$5&gt;=설정!$E$8,BT$5&lt;=설정!$F$8),W8,"")</f>
        <v>6.16</v>
      </c>
      <c r="BU8" s="40">
        <f>IF(AND(BU$5&gt;=설정!$E$8,BU$5&lt;=설정!$F$8),X8,"")</f>
        <v>6.29</v>
      </c>
      <c r="BV8" s="40">
        <f>IF(AND(BV$5&gt;=설정!$E$8,BV$5&lt;=설정!$F$8),Y8,"")</f>
        <v>6.44</v>
      </c>
      <c r="BW8" s="40">
        <f>IF(AND(BW$5&gt;=설정!$E$8,BW$5&lt;=설정!$F$8),Z8,"")</f>
        <v>6.63</v>
      </c>
      <c r="BX8" s="40">
        <f>IF(AND(BX$5&gt;=설정!$E$8,BX$5&lt;=설정!$F$8),AA8,"")</f>
        <v>6.82</v>
      </c>
      <c r="BY8" s="40" t="str">
        <f>IF(AND(BY$5&gt;=설정!$E$8,BY$5&lt;=설정!$F$8),AB8,"")</f>
        <v/>
      </c>
      <c r="BZ8" s="40" t="str">
        <f>IF(AND(BZ$5&gt;=설정!$E$8,BZ$5&lt;=설정!$F$8),AC8,"")</f>
        <v/>
      </c>
      <c r="CA8" s="40" t="str">
        <f>IF(AND(CA$5&gt;=설정!$E$8,CA$5&lt;=설정!$F$8),AD8,"")</f>
        <v/>
      </c>
      <c r="CB8" s="40" t="str">
        <f>IF(AND(CB$5&gt;=설정!$E$8,CB$5&lt;=설정!$F$8),AE8,"")</f>
        <v/>
      </c>
      <c r="CC8" s="40" t="str">
        <f>IF(AND(CC$5&gt;=설정!$E$8,CC$5&lt;=설정!$F$8),AF8,"")</f>
        <v/>
      </c>
      <c r="CD8" s="40" t="str">
        <f>IF(AND(CD$5&gt;=설정!$E$8,CD$5&lt;=설정!$F$8),AG8,"")</f>
        <v/>
      </c>
      <c r="CE8" s="40" t="str">
        <f>IF(AND(CE$5&gt;=설정!$E$8,CE$5&lt;=설정!$F$8),AH8,"")</f>
        <v/>
      </c>
      <c r="CF8" s="40" t="str">
        <f>IF(AND(CF$5&gt;=설정!$E$8,CF$5&lt;=설정!$F$8),AI8,"")</f>
        <v/>
      </c>
      <c r="CG8" s="40" t="str">
        <f>IF(AND(CG$5&gt;=설정!$E$8,CG$5&lt;=설정!$F$8),AJ8,"")</f>
        <v/>
      </c>
      <c r="CH8" s="40" t="str">
        <f>IF(AND(CH$5&gt;=설정!$E$8,CH$5&lt;=설정!$F$8),AK8,"")</f>
        <v/>
      </c>
      <c r="CI8" s="40" t="str">
        <f>IF(AND(CI$5&gt;=설정!$E$8,CI$5&lt;=설정!$F$8),AL8,"")</f>
        <v/>
      </c>
      <c r="CJ8" s="40" t="str">
        <f>IF(AND(CJ$5&gt;=설정!$E$8,CJ$5&lt;=설정!$F$8),AM8,"")</f>
        <v/>
      </c>
      <c r="CK8" s="40" t="str">
        <f>IF(AND(CK$5&gt;=설정!$E$8,CK$5&lt;=설정!$F$8),AN8,"")</f>
        <v/>
      </c>
      <c r="CL8" s="40" t="str">
        <f>IF(AND(CL$5&gt;=설정!$E$8,CL$5&lt;=설정!$F$8),AO8,"")</f>
        <v/>
      </c>
      <c r="CM8" s="40" t="str">
        <f>IF(AND(CM$5&gt;=설정!$E$8,CM$5&lt;=설정!$F$8),AP8,"")</f>
        <v/>
      </c>
      <c r="CN8" s="40" t="str">
        <f>IF(AND(CN$5&gt;=설정!$E$8,CN$5&lt;=설정!$F$8),AQ8,"")</f>
        <v/>
      </c>
      <c r="CO8" s="40" t="str">
        <f>IF(AND(CO$5&gt;=설정!$E$8,CO$5&lt;=설정!$F$8),AR8,"")</f>
        <v/>
      </c>
      <c r="CP8" s="40" t="str">
        <f>IF(AND(CP$5&gt;=설정!$E$8,CP$5&lt;=설정!$F$8),AS8,"")</f>
        <v/>
      </c>
      <c r="CQ8" s="40" t="str">
        <f>IF(AND(CQ$5&gt;=설정!$E$8,CQ$5&lt;=설정!$F$8),AT8,"")</f>
        <v/>
      </c>
    </row>
    <row r="9" spans="1:95" ht="19.95" customHeight="1">
      <c r="A9" s="28">
        <v>4</v>
      </c>
      <c r="B9" s="25" t="s">
        <v>101</v>
      </c>
      <c r="C9" s="39">
        <v>32.18</v>
      </c>
      <c r="D9" s="39">
        <v>5.51</v>
      </c>
      <c r="E9" s="39">
        <v>0.57999999999999996</v>
      </c>
      <c r="F9" s="39">
        <v>7.17</v>
      </c>
      <c r="G9" s="25" t="s">
        <v>83</v>
      </c>
      <c r="H9" s="39">
        <v>19.829999999999998</v>
      </c>
      <c r="I9" s="39">
        <v>16.940000000000001</v>
      </c>
      <c r="J9" s="39">
        <v>14.72</v>
      </c>
      <c r="K9" s="39">
        <v>12.8</v>
      </c>
      <c r="L9" s="39">
        <v>11.2</v>
      </c>
      <c r="M9" s="39">
        <v>9.84</v>
      </c>
      <c r="N9" s="39">
        <v>8.7200000000000006</v>
      </c>
      <c r="O9" s="39">
        <v>7.87</v>
      </c>
      <c r="P9" s="39">
        <v>7.23</v>
      </c>
      <c r="Q9" s="39">
        <v>6.79</v>
      </c>
      <c r="R9" s="39">
        <v>6.44</v>
      </c>
      <c r="S9" s="39">
        <v>6.22</v>
      </c>
      <c r="T9" s="39">
        <v>6.13</v>
      </c>
      <c r="U9" s="39">
        <v>6.14</v>
      </c>
      <c r="V9" s="39">
        <v>6.18</v>
      </c>
      <c r="W9" s="39">
        <v>6.26</v>
      </c>
      <c r="X9" s="39">
        <v>6.41</v>
      </c>
      <c r="Y9" s="39">
        <v>6.58</v>
      </c>
      <c r="Z9" s="39">
        <v>6.78</v>
      </c>
      <c r="AA9" s="39">
        <v>6.98</v>
      </c>
      <c r="AB9" s="39">
        <v>7.19</v>
      </c>
      <c r="AC9" s="39">
        <v>7.43</v>
      </c>
      <c r="AD9" s="39">
        <v>7.65</v>
      </c>
      <c r="AE9" s="39">
        <v>7.87</v>
      </c>
      <c r="AF9" s="39">
        <v>8.1</v>
      </c>
      <c r="AG9" s="39">
        <v>8.35</v>
      </c>
      <c r="AH9" s="39">
        <v>8.52</v>
      </c>
      <c r="AI9" s="39">
        <v>8.7200000000000006</v>
      </c>
      <c r="AJ9" s="39">
        <v>8.9600000000000009</v>
      </c>
      <c r="AK9" s="39">
        <v>9.1199999999999992</v>
      </c>
      <c r="AL9" s="39">
        <v>9.34</v>
      </c>
      <c r="AM9" s="39">
        <v>9.48</v>
      </c>
      <c r="AN9" s="39">
        <v>9.67</v>
      </c>
      <c r="AO9" s="39">
        <v>9.84</v>
      </c>
      <c r="AP9" s="39">
        <v>10</v>
      </c>
      <c r="AQ9" s="39">
        <v>10.17</v>
      </c>
      <c r="AR9" s="39">
        <v>10.26</v>
      </c>
      <c r="AS9" s="39">
        <v>10.39</v>
      </c>
      <c r="AT9" s="39">
        <v>10.55</v>
      </c>
      <c r="AU9" s="21">
        <f>IF(OR(설정!$E$8&gt;설정!$F$8,COUNT(H9:AT9)=0),"",MIN(BE9:CQ9))</f>
        <v>6.13</v>
      </c>
      <c r="AV9" s="21">
        <f t="shared" si="0"/>
        <v>480</v>
      </c>
      <c r="AW9" s="21">
        <f>IF(OR(설정!$E$8&gt;설정!$F$8,COUNT(H9:AT9)=0),"",MAX(BE9:CQ9))</f>
        <v>7.87</v>
      </c>
      <c r="AX9" s="21">
        <f t="shared" si="1"/>
        <v>430</v>
      </c>
      <c r="AY9" s="35"/>
      <c r="AZ9" s="19">
        <f>IF(AY9&lt;&gt;"",AY9,IF(설정!$C$8="최소",AV9,AX9))</f>
        <v>480</v>
      </c>
      <c r="BA9" s="20">
        <f>IF(AZ9="","",IF(OR(AZ9&lt;굴절률!$A$6,AZ9&gt;굴절률!$A$44),"",IF(COUNTIFS(굴절률!$A$6:$A$44,AZ9)&gt;0,INDEX(굴절률!$D$6:$D$44,MATCH(AZ9,굴절률!$A$6:$A$44,0)),INDEX(굴절률!$D$6:$D$44,MATCH(AZ9,굴절률!$A$6:$A$44,1))+(AZ9-INDEX(굴절률!$A$6:$A$44,MATCH(AZ9,굴절률!$A$6:$A$44,1)))*(INDEX(굴절률!$D$6:$D$44,MATCH(AZ9,굴절률!$A$6:$A$44,1)+1)-INDEX(굴절률!$D$6:$D$44,MATCH(AZ9,굴절률!$A$6:$A$44,1)))/(INDEX(굴절률!$A$6:$A$44,MATCH(AZ9,굴절률!$A$6:$A$44,1)+1)-INDEX(굴절률!$A$6:$A$44,MATCH(AZ9,굴절률!$A$6:$A$44,1))))))</f>
        <v>1.4706900000000001</v>
      </c>
      <c r="BB9" s="20">
        <f>설정!$C$16</f>
        <v>10</v>
      </c>
      <c r="BC9" s="21">
        <f>IF(OR(AZ9="",설정!$C$16="",설정!$C$16&lt;8,설정!$C$16&gt;15),"",IF(COUNTIFS('TMM 계산표'!$B$5:$I$5,설정!$C$16)&gt;0,INDEX('TMM 계산표'!$B$6:$I$3806,MATCH(AZ9,'TMM 계산표'!$A$6:$A$3806,1),MATCH(설정!$C$16,'TMM 계산표'!$B$5:$I$5,0)),INDEX('TMM 계산표'!$B$6:$I$3806,MATCH(AZ9,'TMM 계산표'!$A$6:$A$3806,1),MATCH(설정!$C$16,'TMM 계산표'!$B$5:$I$5,1))+(설정!$C$16-INDEX('TMM 계산표'!$B$5:$I$5,1,MATCH(설정!$C$16,'TMM 계산표'!$B$5:$I$5,1)))*(INDEX('TMM 계산표'!$B$6:$I$3806,MATCH(AZ9,'TMM 계산표'!$A$6:$A$3806,1),MATCH(설정!$C$16,'TMM 계산표'!$B$5:$I$5,1)+1)-INDEX('TMM 계산표'!$B$6:$I$3806,MATCH(AZ9,'TMM 계산표'!$A$6:$A$3806,1),MATCH(설정!$C$16,'TMM 계산표'!$B$5:$I$5,1)))/(INDEX('TMM 계산표'!$B$5:$I$5,1,MATCH(설정!$C$16,'TMM 계산표'!$B$5:$I$5,1)+1)-INDEX('TMM 계산표'!$B$5:$I$5,1,MATCH(설정!$C$16,'TMM 계산표'!$B$5:$I$5,1)))))</f>
        <v>96.286802851041898</v>
      </c>
      <c r="BD9" s="23" t="str">
        <f>IF(COUNT(H9:AT9)=0,"입력 필요",IF(COUNT(H9:AT9)&lt;&gt;39,"데이터 점검",IF(OR(설정!$C$16="",설정!$C$16&lt;8,설정!$C$16&gt;15),"Nb 두께 입력 확인",IF(OR(설정!$E$8&gt;설정!$F$8,설정!$E$8&lt;360,설정!$F$8&gt;740),"검색 범위 오류",IF(AY9&lt;&gt;"","수동 파장",IF(OR(AZ9=설정!$E$8,AZ9=설정!$F$8),"경계 극값 확인","완료"))))))</f>
        <v>완료</v>
      </c>
      <c r="BE9" s="40" t="str">
        <f>IF(AND(BE$5&gt;=설정!$E$8,BE$5&lt;=설정!$F$8),H9,"")</f>
        <v/>
      </c>
      <c r="BF9" s="40" t="str">
        <f>IF(AND(BF$5&gt;=설정!$E$8,BF$5&lt;=설정!$F$8),I9,"")</f>
        <v/>
      </c>
      <c r="BG9" s="40" t="str">
        <f>IF(AND(BG$5&gt;=설정!$E$8,BG$5&lt;=설정!$F$8),J9,"")</f>
        <v/>
      </c>
      <c r="BH9" s="40" t="str">
        <f>IF(AND(BH$5&gt;=설정!$E$8,BH$5&lt;=설정!$F$8),K9,"")</f>
        <v/>
      </c>
      <c r="BI9" s="40" t="str">
        <f>IF(AND(BI$5&gt;=설정!$E$8,BI$5&lt;=설정!$F$8),L9,"")</f>
        <v/>
      </c>
      <c r="BJ9" s="40" t="str">
        <f>IF(AND(BJ$5&gt;=설정!$E$8,BJ$5&lt;=설정!$F$8),M9,"")</f>
        <v/>
      </c>
      <c r="BK9" s="40" t="str">
        <f>IF(AND(BK$5&gt;=설정!$E$8,BK$5&lt;=설정!$F$8),N9,"")</f>
        <v/>
      </c>
      <c r="BL9" s="40">
        <f>IF(AND(BL$5&gt;=설정!$E$8,BL$5&lt;=설정!$F$8),O9,"")</f>
        <v>7.87</v>
      </c>
      <c r="BM9" s="40">
        <f>IF(AND(BM$5&gt;=설정!$E$8,BM$5&lt;=설정!$F$8),P9,"")</f>
        <v>7.23</v>
      </c>
      <c r="BN9" s="40">
        <f>IF(AND(BN$5&gt;=설정!$E$8,BN$5&lt;=설정!$F$8),Q9,"")</f>
        <v>6.79</v>
      </c>
      <c r="BO9" s="40">
        <f>IF(AND(BO$5&gt;=설정!$E$8,BO$5&lt;=설정!$F$8),R9,"")</f>
        <v>6.44</v>
      </c>
      <c r="BP9" s="40">
        <f>IF(AND(BP$5&gt;=설정!$E$8,BP$5&lt;=설정!$F$8),S9,"")</f>
        <v>6.22</v>
      </c>
      <c r="BQ9" s="40">
        <f>IF(AND(BQ$5&gt;=설정!$E$8,BQ$5&lt;=설정!$F$8),T9,"")</f>
        <v>6.13</v>
      </c>
      <c r="BR9" s="40">
        <f>IF(AND(BR$5&gt;=설정!$E$8,BR$5&lt;=설정!$F$8),U9,"")</f>
        <v>6.14</v>
      </c>
      <c r="BS9" s="40">
        <f>IF(AND(BS$5&gt;=설정!$E$8,BS$5&lt;=설정!$F$8),V9,"")</f>
        <v>6.18</v>
      </c>
      <c r="BT9" s="40">
        <f>IF(AND(BT$5&gt;=설정!$E$8,BT$5&lt;=설정!$F$8),W9,"")</f>
        <v>6.26</v>
      </c>
      <c r="BU9" s="40">
        <f>IF(AND(BU$5&gt;=설정!$E$8,BU$5&lt;=설정!$F$8),X9,"")</f>
        <v>6.41</v>
      </c>
      <c r="BV9" s="40">
        <f>IF(AND(BV$5&gt;=설정!$E$8,BV$5&lt;=설정!$F$8),Y9,"")</f>
        <v>6.58</v>
      </c>
      <c r="BW9" s="40">
        <f>IF(AND(BW$5&gt;=설정!$E$8,BW$5&lt;=설정!$F$8),Z9,"")</f>
        <v>6.78</v>
      </c>
      <c r="BX9" s="40">
        <f>IF(AND(BX$5&gt;=설정!$E$8,BX$5&lt;=설정!$F$8),AA9,"")</f>
        <v>6.98</v>
      </c>
      <c r="BY9" s="40" t="str">
        <f>IF(AND(BY$5&gt;=설정!$E$8,BY$5&lt;=설정!$F$8),AB9,"")</f>
        <v/>
      </c>
      <c r="BZ9" s="40" t="str">
        <f>IF(AND(BZ$5&gt;=설정!$E$8,BZ$5&lt;=설정!$F$8),AC9,"")</f>
        <v/>
      </c>
      <c r="CA9" s="40" t="str">
        <f>IF(AND(CA$5&gt;=설정!$E$8,CA$5&lt;=설정!$F$8),AD9,"")</f>
        <v/>
      </c>
      <c r="CB9" s="40" t="str">
        <f>IF(AND(CB$5&gt;=설정!$E$8,CB$5&lt;=설정!$F$8),AE9,"")</f>
        <v/>
      </c>
      <c r="CC9" s="40" t="str">
        <f>IF(AND(CC$5&gt;=설정!$E$8,CC$5&lt;=설정!$F$8),AF9,"")</f>
        <v/>
      </c>
      <c r="CD9" s="40" t="str">
        <f>IF(AND(CD$5&gt;=설정!$E$8,CD$5&lt;=설정!$F$8),AG9,"")</f>
        <v/>
      </c>
      <c r="CE9" s="40" t="str">
        <f>IF(AND(CE$5&gt;=설정!$E$8,CE$5&lt;=설정!$F$8),AH9,"")</f>
        <v/>
      </c>
      <c r="CF9" s="40" t="str">
        <f>IF(AND(CF$5&gt;=설정!$E$8,CF$5&lt;=설정!$F$8),AI9,"")</f>
        <v/>
      </c>
      <c r="CG9" s="40" t="str">
        <f>IF(AND(CG$5&gt;=설정!$E$8,CG$5&lt;=설정!$F$8),AJ9,"")</f>
        <v/>
      </c>
      <c r="CH9" s="40" t="str">
        <f>IF(AND(CH$5&gt;=설정!$E$8,CH$5&lt;=설정!$F$8),AK9,"")</f>
        <v/>
      </c>
      <c r="CI9" s="40" t="str">
        <f>IF(AND(CI$5&gt;=설정!$E$8,CI$5&lt;=설정!$F$8),AL9,"")</f>
        <v/>
      </c>
      <c r="CJ9" s="40" t="str">
        <f>IF(AND(CJ$5&gt;=설정!$E$8,CJ$5&lt;=설정!$F$8),AM9,"")</f>
        <v/>
      </c>
      <c r="CK9" s="40" t="str">
        <f>IF(AND(CK$5&gt;=설정!$E$8,CK$5&lt;=설정!$F$8),AN9,"")</f>
        <v/>
      </c>
      <c r="CL9" s="40" t="str">
        <f>IF(AND(CL$5&gt;=설정!$E$8,CL$5&lt;=설정!$F$8),AO9,"")</f>
        <v/>
      </c>
      <c r="CM9" s="40" t="str">
        <f>IF(AND(CM$5&gt;=설정!$E$8,CM$5&lt;=설정!$F$8),AP9,"")</f>
        <v/>
      </c>
      <c r="CN9" s="40" t="str">
        <f>IF(AND(CN$5&gt;=설정!$E$8,CN$5&lt;=설정!$F$8),AQ9,"")</f>
        <v/>
      </c>
      <c r="CO9" s="40" t="str">
        <f>IF(AND(CO$5&gt;=설정!$E$8,CO$5&lt;=설정!$F$8),AR9,"")</f>
        <v/>
      </c>
      <c r="CP9" s="40" t="str">
        <f>IF(AND(CP$5&gt;=설정!$E$8,CP$5&lt;=설정!$F$8),AS9,"")</f>
        <v/>
      </c>
      <c r="CQ9" s="40" t="str">
        <f>IF(AND(CQ$5&gt;=설정!$E$8,CQ$5&lt;=설정!$F$8),AT9,"")</f>
        <v/>
      </c>
    </row>
    <row r="10" spans="1:95" ht="19.95" customHeight="1">
      <c r="A10" s="28">
        <v>5</v>
      </c>
      <c r="B10" s="25" t="s">
        <v>102</v>
      </c>
      <c r="C10" s="39">
        <v>32.32</v>
      </c>
      <c r="D10" s="39">
        <v>5.46</v>
      </c>
      <c r="E10" s="39">
        <v>0.73</v>
      </c>
      <c r="F10" s="39">
        <v>7.23</v>
      </c>
      <c r="G10" s="25" t="s">
        <v>83</v>
      </c>
      <c r="H10" s="39">
        <v>19.899999999999999</v>
      </c>
      <c r="I10" s="39">
        <v>17.02</v>
      </c>
      <c r="J10" s="39">
        <v>14.77</v>
      </c>
      <c r="K10" s="39">
        <v>12.83</v>
      </c>
      <c r="L10" s="39">
        <v>11.24</v>
      </c>
      <c r="M10" s="39">
        <v>9.86</v>
      </c>
      <c r="N10" s="39">
        <v>8.73</v>
      </c>
      <c r="O10" s="39">
        <v>7.88</v>
      </c>
      <c r="P10" s="39">
        <v>7.24</v>
      </c>
      <c r="Q10" s="39">
        <v>6.81</v>
      </c>
      <c r="R10" s="39">
        <v>6.44</v>
      </c>
      <c r="S10" s="39">
        <v>6.26</v>
      </c>
      <c r="T10" s="39">
        <v>6.16</v>
      </c>
      <c r="U10" s="39">
        <v>6.17</v>
      </c>
      <c r="V10" s="39">
        <v>6.23</v>
      </c>
      <c r="W10" s="39">
        <v>6.32</v>
      </c>
      <c r="X10" s="39">
        <v>6.46</v>
      </c>
      <c r="Y10" s="39">
        <v>6.64</v>
      </c>
      <c r="Z10" s="39">
        <v>6.85</v>
      </c>
      <c r="AA10" s="39">
        <v>7.05</v>
      </c>
      <c r="AB10" s="39">
        <v>7.26</v>
      </c>
      <c r="AC10" s="39">
        <v>7.49</v>
      </c>
      <c r="AD10" s="39">
        <v>7.72</v>
      </c>
      <c r="AE10" s="39">
        <v>7.93</v>
      </c>
      <c r="AF10" s="39">
        <v>8.18</v>
      </c>
      <c r="AG10" s="39">
        <v>8.41</v>
      </c>
      <c r="AH10" s="39">
        <v>8.59</v>
      </c>
      <c r="AI10" s="39">
        <v>8.8000000000000007</v>
      </c>
      <c r="AJ10" s="39">
        <v>9.0299999999999994</v>
      </c>
      <c r="AK10" s="39">
        <v>9.19</v>
      </c>
      <c r="AL10" s="39">
        <v>9.41</v>
      </c>
      <c r="AM10" s="39">
        <v>9.5500000000000007</v>
      </c>
      <c r="AN10" s="39">
        <v>9.76</v>
      </c>
      <c r="AO10" s="39">
        <v>9.92</v>
      </c>
      <c r="AP10" s="39">
        <v>10.08</v>
      </c>
      <c r="AQ10" s="39">
        <v>10.23</v>
      </c>
      <c r="AR10" s="39">
        <v>10.31</v>
      </c>
      <c r="AS10" s="39">
        <v>10.48</v>
      </c>
      <c r="AT10" s="39">
        <v>10.63</v>
      </c>
      <c r="AU10" s="21">
        <f>IF(OR(설정!$E$8&gt;설정!$F$8,COUNT(H10:AT10)=0),"",MIN(BE10:CQ10))</f>
        <v>6.16</v>
      </c>
      <c r="AV10" s="21">
        <f t="shared" si="0"/>
        <v>480</v>
      </c>
      <c r="AW10" s="21">
        <f>IF(OR(설정!$E$8&gt;설정!$F$8,COUNT(H10:AT10)=0),"",MAX(BE10:CQ10))</f>
        <v>7.88</v>
      </c>
      <c r="AX10" s="21">
        <f t="shared" si="1"/>
        <v>430</v>
      </c>
      <c r="AY10" s="35"/>
      <c r="AZ10" s="19">
        <f>IF(AY10&lt;&gt;"",AY10,IF(설정!$C$8="최소",AV10,AX10))</f>
        <v>480</v>
      </c>
      <c r="BA10" s="20">
        <f>IF(AZ10="","",IF(OR(AZ10&lt;굴절률!$A$6,AZ10&gt;굴절률!$A$44),"",IF(COUNTIFS(굴절률!$A$6:$A$44,AZ10)&gt;0,INDEX(굴절률!$D$6:$D$44,MATCH(AZ10,굴절률!$A$6:$A$44,0)),INDEX(굴절률!$D$6:$D$44,MATCH(AZ10,굴절률!$A$6:$A$44,1))+(AZ10-INDEX(굴절률!$A$6:$A$44,MATCH(AZ10,굴절률!$A$6:$A$44,1)))*(INDEX(굴절률!$D$6:$D$44,MATCH(AZ10,굴절률!$A$6:$A$44,1)+1)-INDEX(굴절률!$D$6:$D$44,MATCH(AZ10,굴절률!$A$6:$A$44,1)))/(INDEX(굴절률!$A$6:$A$44,MATCH(AZ10,굴절률!$A$6:$A$44,1)+1)-INDEX(굴절률!$A$6:$A$44,MATCH(AZ10,굴절률!$A$6:$A$44,1))))))</f>
        <v>1.4706900000000001</v>
      </c>
      <c r="BB10" s="20">
        <f>설정!$C$16</f>
        <v>10</v>
      </c>
      <c r="BC10" s="21">
        <f>IF(OR(AZ10="",설정!$C$16="",설정!$C$16&lt;8,설정!$C$16&gt;15),"",IF(COUNTIFS('TMM 계산표'!$B$5:$I$5,설정!$C$16)&gt;0,INDEX('TMM 계산표'!$B$6:$I$3806,MATCH(AZ10,'TMM 계산표'!$A$6:$A$3806,1),MATCH(설정!$C$16,'TMM 계산표'!$B$5:$I$5,0)),INDEX('TMM 계산표'!$B$6:$I$3806,MATCH(AZ10,'TMM 계산표'!$A$6:$A$3806,1),MATCH(설정!$C$16,'TMM 계산표'!$B$5:$I$5,1))+(설정!$C$16-INDEX('TMM 계산표'!$B$5:$I$5,1,MATCH(설정!$C$16,'TMM 계산표'!$B$5:$I$5,1)))*(INDEX('TMM 계산표'!$B$6:$I$3806,MATCH(AZ10,'TMM 계산표'!$A$6:$A$3806,1),MATCH(설정!$C$16,'TMM 계산표'!$B$5:$I$5,1)+1)-INDEX('TMM 계산표'!$B$6:$I$3806,MATCH(AZ10,'TMM 계산표'!$A$6:$A$3806,1),MATCH(설정!$C$16,'TMM 계산표'!$B$5:$I$5,1)))/(INDEX('TMM 계산표'!$B$5:$I$5,1,MATCH(설정!$C$16,'TMM 계산표'!$B$5:$I$5,1)+1)-INDEX('TMM 계산표'!$B$5:$I$5,1,MATCH(설정!$C$16,'TMM 계산표'!$B$5:$I$5,1)))))</f>
        <v>96.286802851041898</v>
      </c>
      <c r="BD10" s="23" t="str">
        <f>IF(COUNT(H10:AT10)=0,"입력 필요",IF(COUNT(H10:AT10)&lt;&gt;39,"데이터 점검",IF(OR(설정!$C$16="",설정!$C$16&lt;8,설정!$C$16&gt;15),"Nb 두께 입력 확인",IF(OR(설정!$E$8&gt;설정!$F$8,설정!$E$8&lt;360,설정!$F$8&gt;740),"검색 범위 오류",IF(AY10&lt;&gt;"","수동 파장",IF(OR(AZ10=설정!$E$8,AZ10=설정!$F$8),"경계 극값 확인","완료"))))))</f>
        <v>완료</v>
      </c>
      <c r="BE10" s="40" t="str">
        <f>IF(AND(BE$5&gt;=설정!$E$8,BE$5&lt;=설정!$F$8),H10,"")</f>
        <v/>
      </c>
      <c r="BF10" s="40" t="str">
        <f>IF(AND(BF$5&gt;=설정!$E$8,BF$5&lt;=설정!$F$8),I10,"")</f>
        <v/>
      </c>
      <c r="BG10" s="40" t="str">
        <f>IF(AND(BG$5&gt;=설정!$E$8,BG$5&lt;=설정!$F$8),J10,"")</f>
        <v/>
      </c>
      <c r="BH10" s="40" t="str">
        <f>IF(AND(BH$5&gt;=설정!$E$8,BH$5&lt;=설정!$F$8),K10,"")</f>
        <v/>
      </c>
      <c r="BI10" s="40" t="str">
        <f>IF(AND(BI$5&gt;=설정!$E$8,BI$5&lt;=설정!$F$8),L10,"")</f>
        <v/>
      </c>
      <c r="BJ10" s="40" t="str">
        <f>IF(AND(BJ$5&gt;=설정!$E$8,BJ$5&lt;=설정!$F$8),M10,"")</f>
        <v/>
      </c>
      <c r="BK10" s="40" t="str">
        <f>IF(AND(BK$5&gt;=설정!$E$8,BK$5&lt;=설정!$F$8),N10,"")</f>
        <v/>
      </c>
      <c r="BL10" s="40">
        <f>IF(AND(BL$5&gt;=설정!$E$8,BL$5&lt;=설정!$F$8),O10,"")</f>
        <v>7.88</v>
      </c>
      <c r="BM10" s="40">
        <f>IF(AND(BM$5&gt;=설정!$E$8,BM$5&lt;=설정!$F$8),P10,"")</f>
        <v>7.24</v>
      </c>
      <c r="BN10" s="40">
        <f>IF(AND(BN$5&gt;=설정!$E$8,BN$5&lt;=설정!$F$8),Q10,"")</f>
        <v>6.81</v>
      </c>
      <c r="BO10" s="40">
        <f>IF(AND(BO$5&gt;=설정!$E$8,BO$5&lt;=설정!$F$8),R10,"")</f>
        <v>6.44</v>
      </c>
      <c r="BP10" s="40">
        <f>IF(AND(BP$5&gt;=설정!$E$8,BP$5&lt;=설정!$F$8),S10,"")</f>
        <v>6.26</v>
      </c>
      <c r="BQ10" s="40">
        <f>IF(AND(BQ$5&gt;=설정!$E$8,BQ$5&lt;=설정!$F$8),T10,"")</f>
        <v>6.16</v>
      </c>
      <c r="BR10" s="40">
        <f>IF(AND(BR$5&gt;=설정!$E$8,BR$5&lt;=설정!$F$8),U10,"")</f>
        <v>6.17</v>
      </c>
      <c r="BS10" s="40">
        <f>IF(AND(BS$5&gt;=설정!$E$8,BS$5&lt;=설정!$F$8),V10,"")</f>
        <v>6.23</v>
      </c>
      <c r="BT10" s="40">
        <f>IF(AND(BT$5&gt;=설정!$E$8,BT$5&lt;=설정!$F$8),W10,"")</f>
        <v>6.32</v>
      </c>
      <c r="BU10" s="40">
        <f>IF(AND(BU$5&gt;=설정!$E$8,BU$5&lt;=설정!$F$8),X10,"")</f>
        <v>6.46</v>
      </c>
      <c r="BV10" s="40">
        <f>IF(AND(BV$5&gt;=설정!$E$8,BV$5&lt;=설정!$F$8),Y10,"")</f>
        <v>6.64</v>
      </c>
      <c r="BW10" s="40">
        <f>IF(AND(BW$5&gt;=설정!$E$8,BW$5&lt;=설정!$F$8),Z10,"")</f>
        <v>6.85</v>
      </c>
      <c r="BX10" s="40">
        <f>IF(AND(BX$5&gt;=설정!$E$8,BX$5&lt;=설정!$F$8),AA10,"")</f>
        <v>7.05</v>
      </c>
      <c r="BY10" s="40" t="str">
        <f>IF(AND(BY$5&gt;=설정!$E$8,BY$5&lt;=설정!$F$8),AB10,"")</f>
        <v/>
      </c>
      <c r="BZ10" s="40" t="str">
        <f>IF(AND(BZ$5&gt;=설정!$E$8,BZ$5&lt;=설정!$F$8),AC10,"")</f>
        <v/>
      </c>
      <c r="CA10" s="40" t="str">
        <f>IF(AND(CA$5&gt;=설정!$E$8,CA$5&lt;=설정!$F$8),AD10,"")</f>
        <v/>
      </c>
      <c r="CB10" s="40" t="str">
        <f>IF(AND(CB$5&gt;=설정!$E$8,CB$5&lt;=설정!$F$8),AE10,"")</f>
        <v/>
      </c>
      <c r="CC10" s="40" t="str">
        <f>IF(AND(CC$5&gt;=설정!$E$8,CC$5&lt;=설정!$F$8),AF10,"")</f>
        <v/>
      </c>
      <c r="CD10" s="40" t="str">
        <f>IF(AND(CD$5&gt;=설정!$E$8,CD$5&lt;=설정!$F$8),AG10,"")</f>
        <v/>
      </c>
      <c r="CE10" s="40" t="str">
        <f>IF(AND(CE$5&gt;=설정!$E$8,CE$5&lt;=설정!$F$8),AH10,"")</f>
        <v/>
      </c>
      <c r="CF10" s="40" t="str">
        <f>IF(AND(CF$5&gt;=설정!$E$8,CF$5&lt;=설정!$F$8),AI10,"")</f>
        <v/>
      </c>
      <c r="CG10" s="40" t="str">
        <f>IF(AND(CG$5&gt;=설정!$E$8,CG$5&lt;=설정!$F$8),AJ10,"")</f>
        <v/>
      </c>
      <c r="CH10" s="40" t="str">
        <f>IF(AND(CH$5&gt;=설정!$E$8,CH$5&lt;=설정!$F$8),AK10,"")</f>
        <v/>
      </c>
      <c r="CI10" s="40" t="str">
        <f>IF(AND(CI$5&gt;=설정!$E$8,CI$5&lt;=설정!$F$8),AL10,"")</f>
        <v/>
      </c>
      <c r="CJ10" s="40" t="str">
        <f>IF(AND(CJ$5&gt;=설정!$E$8,CJ$5&lt;=설정!$F$8),AM10,"")</f>
        <v/>
      </c>
      <c r="CK10" s="40" t="str">
        <f>IF(AND(CK$5&gt;=설정!$E$8,CK$5&lt;=설정!$F$8),AN10,"")</f>
        <v/>
      </c>
      <c r="CL10" s="40" t="str">
        <f>IF(AND(CL$5&gt;=설정!$E$8,CL$5&lt;=설정!$F$8),AO10,"")</f>
        <v/>
      </c>
      <c r="CM10" s="40" t="str">
        <f>IF(AND(CM$5&gt;=설정!$E$8,CM$5&lt;=설정!$F$8),AP10,"")</f>
        <v/>
      </c>
      <c r="CN10" s="40" t="str">
        <f>IF(AND(CN$5&gt;=설정!$E$8,CN$5&lt;=설정!$F$8),AQ10,"")</f>
        <v/>
      </c>
      <c r="CO10" s="40" t="str">
        <f>IF(AND(CO$5&gt;=설정!$E$8,CO$5&lt;=설정!$F$8),AR10,"")</f>
        <v/>
      </c>
      <c r="CP10" s="40" t="str">
        <f>IF(AND(CP$5&gt;=설정!$E$8,CP$5&lt;=설정!$F$8),AS10,"")</f>
        <v/>
      </c>
      <c r="CQ10" s="40" t="str">
        <f>IF(AND(CQ$5&gt;=설정!$E$8,CQ$5&lt;=설정!$F$8),AT10,"")</f>
        <v/>
      </c>
    </row>
    <row r="11" spans="1:95" ht="19.95" customHeight="1">
      <c r="A11" s="28">
        <v>6</v>
      </c>
      <c r="B11" s="25" t="s">
        <v>103</v>
      </c>
      <c r="C11" s="39">
        <v>32.33</v>
      </c>
      <c r="D11" s="39">
        <v>5.34</v>
      </c>
      <c r="E11" s="39">
        <v>0.69</v>
      </c>
      <c r="F11" s="39">
        <v>7.23</v>
      </c>
      <c r="G11" s="25" t="s">
        <v>83</v>
      </c>
      <c r="H11" s="39">
        <v>19.55</v>
      </c>
      <c r="I11" s="39">
        <v>16.73</v>
      </c>
      <c r="J11" s="39">
        <v>14.57</v>
      </c>
      <c r="K11" s="39">
        <v>12.68</v>
      </c>
      <c r="L11" s="39">
        <v>11.12</v>
      </c>
      <c r="M11" s="39">
        <v>9.7899999999999991</v>
      </c>
      <c r="N11" s="39">
        <v>8.68</v>
      </c>
      <c r="O11" s="39">
        <v>7.88</v>
      </c>
      <c r="P11" s="39">
        <v>7.27</v>
      </c>
      <c r="Q11" s="39">
        <v>6.82</v>
      </c>
      <c r="R11" s="39">
        <v>6.48</v>
      </c>
      <c r="S11" s="39">
        <v>6.3</v>
      </c>
      <c r="T11" s="39">
        <v>6.2</v>
      </c>
      <c r="U11" s="39">
        <v>6.22</v>
      </c>
      <c r="V11" s="39">
        <v>6.26</v>
      </c>
      <c r="W11" s="39">
        <v>6.35</v>
      </c>
      <c r="X11" s="39">
        <v>6.49</v>
      </c>
      <c r="Y11" s="39">
        <v>6.66</v>
      </c>
      <c r="Z11" s="39">
        <v>6.86</v>
      </c>
      <c r="AA11" s="39">
        <v>7.05</v>
      </c>
      <c r="AB11" s="39">
        <v>7.27</v>
      </c>
      <c r="AC11" s="39">
        <v>7.5</v>
      </c>
      <c r="AD11" s="39">
        <v>7.72</v>
      </c>
      <c r="AE11" s="39">
        <v>7.92</v>
      </c>
      <c r="AF11" s="39">
        <v>8.17</v>
      </c>
      <c r="AG11" s="39">
        <v>8.39</v>
      </c>
      <c r="AH11" s="39">
        <v>8.56</v>
      </c>
      <c r="AI11" s="39">
        <v>8.7799999999999994</v>
      </c>
      <c r="AJ11" s="39">
        <v>8.99</v>
      </c>
      <c r="AK11" s="39">
        <v>9.16</v>
      </c>
      <c r="AL11" s="39">
        <v>9.3699999999999992</v>
      </c>
      <c r="AM11" s="39">
        <v>9.51</v>
      </c>
      <c r="AN11" s="39">
        <v>9.69</v>
      </c>
      <c r="AO11" s="39">
        <v>9.86</v>
      </c>
      <c r="AP11" s="39">
        <v>10.02</v>
      </c>
      <c r="AQ11" s="39">
        <v>10.17</v>
      </c>
      <c r="AR11" s="39">
        <v>10.25</v>
      </c>
      <c r="AS11" s="39">
        <v>10.4</v>
      </c>
      <c r="AT11" s="39">
        <v>10.52</v>
      </c>
      <c r="AU11" s="21">
        <f>IF(OR(설정!$E$8&gt;설정!$F$8,COUNT(H11:AT11)=0),"",MIN(BE11:CQ11))</f>
        <v>6.2</v>
      </c>
      <c r="AV11" s="21">
        <f t="shared" si="0"/>
        <v>480</v>
      </c>
      <c r="AW11" s="21">
        <f>IF(OR(설정!$E$8&gt;설정!$F$8,COUNT(H11:AT11)=0),"",MAX(BE11:CQ11))</f>
        <v>7.88</v>
      </c>
      <c r="AX11" s="21">
        <f t="shared" si="1"/>
        <v>430</v>
      </c>
      <c r="AY11" s="35"/>
      <c r="AZ11" s="19">
        <f>IF(AY11&lt;&gt;"",AY11,IF(설정!$C$8="최소",AV11,AX11))</f>
        <v>480</v>
      </c>
      <c r="BA11" s="20">
        <f>IF(AZ11="","",IF(OR(AZ11&lt;굴절률!$A$6,AZ11&gt;굴절률!$A$44),"",IF(COUNTIFS(굴절률!$A$6:$A$44,AZ11)&gt;0,INDEX(굴절률!$D$6:$D$44,MATCH(AZ11,굴절률!$A$6:$A$44,0)),INDEX(굴절률!$D$6:$D$44,MATCH(AZ11,굴절률!$A$6:$A$44,1))+(AZ11-INDEX(굴절률!$A$6:$A$44,MATCH(AZ11,굴절률!$A$6:$A$44,1)))*(INDEX(굴절률!$D$6:$D$44,MATCH(AZ11,굴절률!$A$6:$A$44,1)+1)-INDEX(굴절률!$D$6:$D$44,MATCH(AZ11,굴절률!$A$6:$A$44,1)))/(INDEX(굴절률!$A$6:$A$44,MATCH(AZ11,굴절률!$A$6:$A$44,1)+1)-INDEX(굴절률!$A$6:$A$44,MATCH(AZ11,굴절률!$A$6:$A$44,1))))))</f>
        <v>1.4706900000000001</v>
      </c>
      <c r="BB11" s="20">
        <f>설정!$C$16</f>
        <v>10</v>
      </c>
      <c r="BC11" s="21">
        <f>IF(OR(AZ11="",설정!$C$16="",설정!$C$16&lt;8,설정!$C$16&gt;15),"",IF(COUNTIFS('TMM 계산표'!$B$5:$I$5,설정!$C$16)&gt;0,INDEX('TMM 계산표'!$B$6:$I$3806,MATCH(AZ11,'TMM 계산표'!$A$6:$A$3806,1),MATCH(설정!$C$16,'TMM 계산표'!$B$5:$I$5,0)),INDEX('TMM 계산표'!$B$6:$I$3806,MATCH(AZ11,'TMM 계산표'!$A$6:$A$3806,1),MATCH(설정!$C$16,'TMM 계산표'!$B$5:$I$5,1))+(설정!$C$16-INDEX('TMM 계산표'!$B$5:$I$5,1,MATCH(설정!$C$16,'TMM 계산표'!$B$5:$I$5,1)))*(INDEX('TMM 계산표'!$B$6:$I$3806,MATCH(AZ11,'TMM 계산표'!$A$6:$A$3806,1),MATCH(설정!$C$16,'TMM 계산표'!$B$5:$I$5,1)+1)-INDEX('TMM 계산표'!$B$6:$I$3806,MATCH(AZ11,'TMM 계산표'!$A$6:$A$3806,1),MATCH(설정!$C$16,'TMM 계산표'!$B$5:$I$5,1)))/(INDEX('TMM 계산표'!$B$5:$I$5,1,MATCH(설정!$C$16,'TMM 계산표'!$B$5:$I$5,1)+1)-INDEX('TMM 계산표'!$B$5:$I$5,1,MATCH(설정!$C$16,'TMM 계산표'!$B$5:$I$5,1)))))</f>
        <v>96.286802851041898</v>
      </c>
      <c r="BD11" s="23" t="str">
        <f>IF(COUNT(H11:AT11)=0,"입력 필요",IF(COUNT(H11:AT11)&lt;&gt;39,"데이터 점검",IF(OR(설정!$C$16="",설정!$C$16&lt;8,설정!$C$16&gt;15),"Nb 두께 입력 확인",IF(OR(설정!$E$8&gt;설정!$F$8,설정!$E$8&lt;360,설정!$F$8&gt;740),"검색 범위 오류",IF(AY11&lt;&gt;"","수동 파장",IF(OR(AZ11=설정!$E$8,AZ11=설정!$F$8),"경계 극값 확인","완료"))))))</f>
        <v>완료</v>
      </c>
      <c r="BE11" s="40" t="str">
        <f>IF(AND(BE$5&gt;=설정!$E$8,BE$5&lt;=설정!$F$8),H11,"")</f>
        <v/>
      </c>
      <c r="BF11" s="40" t="str">
        <f>IF(AND(BF$5&gt;=설정!$E$8,BF$5&lt;=설정!$F$8),I11,"")</f>
        <v/>
      </c>
      <c r="BG11" s="40" t="str">
        <f>IF(AND(BG$5&gt;=설정!$E$8,BG$5&lt;=설정!$F$8),J11,"")</f>
        <v/>
      </c>
      <c r="BH11" s="40" t="str">
        <f>IF(AND(BH$5&gt;=설정!$E$8,BH$5&lt;=설정!$F$8),K11,"")</f>
        <v/>
      </c>
      <c r="BI11" s="40" t="str">
        <f>IF(AND(BI$5&gt;=설정!$E$8,BI$5&lt;=설정!$F$8),L11,"")</f>
        <v/>
      </c>
      <c r="BJ11" s="40" t="str">
        <f>IF(AND(BJ$5&gt;=설정!$E$8,BJ$5&lt;=설정!$F$8),M11,"")</f>
        <v/>
      </c>
      <c r="BK11" s="40" t="str">
        <f>IF(AND(BK$5&gt;=설정!$E$8,BK$5&lt;=설정!$F$8),N11,"")</f>
        <v/>
      </c>
      <c r="BL11" s="40">
        <f>IF(AND(BL$5&gt;=설정!$E$8,BL$5&lt;=설정!$F$8),O11,"")</f>
        <v>7.88</v>
      </c>
      <c r="BM11" s="40">
        <f>IF(AND(BM$5&gt;=설정!$E$8,BM$5&lt;=설정!$F$8),P11,"")</f>
        <v>7.27</v>
      </c>
      <c r="BN11" s="40">
        <f>IF(AND(BN$5&gt;=설정!$E$8,BN$5&lt;=설정!$F$8),Q11,"")</f>
        <v>6.82</v>
      </c>
      <c r="BO11" s="40">
        <f>IF(AND(BO$5&gt;=설정!$E$8,BO$5&lt;=설정!$F$8),R11,"")</f>
        <v>6.48</v>
      </c>
      <c r="BP11" s="40">
        <f>IF(AND(BP$5&gt;=설정!$E$8,BP$5&lt;=설정!$F$8),S11,"")</f>
        <v>6.3</v>
      </c>
      <c r="BQ11" s="40">
        <f>IF(AND(BQ$5&gt;=설정!$E$8,BQ$5&lt;=설정!$F$8),T11,"")</f>
        <v>6.2</v>
      </c>
      <c r="BR11" s="40">
        <f>IF(AND(BR$5&gt;=설정!$E$8,BR$5&lt;=설정!$F$8),U11,"")</f>
        <v>6.22</v>
      </c>
      <c r="BS11" s="40">
        <f>IF(AND(BS$5&gt;=설정!$E$8,BS$5&lt;=설정!$F$8),V11,"")</f>
        <v>6.26</v>
      </c>
      <c r="BT11" s="40">
        <f>IF(AND(BT$5&gt;=설정!$E$8,BT$5&lt;=설정!$F$8),W11,"")</f>
        <v>6.35</v>
      </c>
      <c r="BU11" s="40">
        <f>IF(AND(BU$5&gt;=설정!$E$8,BU$5&lt;=설정!$F$8),X11,"")</f>
        <v>6.49</v>
      </c>
      <c r="BV11" s="40">
        <f>IF(AND(BV$5&gt;=설정!$E$8,BV$5&lt;=설정!$F$8),Y11,"")</f>
        <v>6.66</v>
      </c>
      <c r="BW11" s="40">
        <f>IF(AND(BW$5&gt;=설정!$E$8,BW$5&lt;=설정!$F$8),Z11,"")</f>
        <v>6.86</v>
      </c>
      <c r="BX11" s="40">
        <f>IF(AND(BX$5&gt;=설정!$E$8,BX$5&lt;=설정!$F$8),AA11,"")</f>
        <v>7.05</v>
      </c>
      <c r="BY11" s="40" t="str">
        <f>IF(AND(BY$5&gt;=설정!$E$8,BY$5&lt;=설정!$F$8),AB11,"")</f>
        <v/>
      </c>
      <c r="BZ11" s="40" t="str">
        <f>IF(AND(BZ$5&gt;=설정!$E$8,BZ$5&lt;=설정!$F$8),AC11,"")</f>
        <v/>
      </c>
      <c r="CA11" s="40" t="str">
        <f>IF(AND(CA$5&gt;=설정!$E$8,CA$5&lt;=설정!$F$8),AD11,"")</f>
        <v/>
      </c>
      <c r="CB11" s="40" t="str">
        <f>IF(AND(CB$5&gt;=설정!$E$8,CB$5&lt;=설정!$F$8),AE11,"")</f>
        <v/>
      </c>
      <c r="CC11" s="40" t="str">
        <f>IF(AND(CC$5&gt;=설정!$E$8,CC$5&lt;=설정!$F$8),AF11,"")</f>
        <v/>
      </c>
      <c r="CD11" s="40" t="str">
        <f>IF(AND(CD$5&gt;=설정!$E$8,CD$5&lt;=설정!$F$8),AG11,"")</f>
        <v/>
      </c>
      <c r="CE11" s="40" t="str">
        <f>IF(AND(CE$5&gt;=설정!$E$8,CE$5&lt;=설정!$F$8),AH11,"")</f>
        <v/>
      </c>
      <c r="CF11" s="40" t="str">
        <f>IF(AND(CF$5&gt;=설정!$E$8,CF$5&lt;=설정!$F$8),AI11,"")</f>
        <v/>
      </c>
      <c r="CG11" s="40" t="str">
        <f>IF(AND(CG$5&gt;=설정!$E$8,CG$5&lt;=설정!$F$8),AJ11,"")</f>
        <v/>
      </c>
      <c r="CH11" s="40" t="str">
        <f>IF(AND(CH$5&gt;=설정!$E$8,CH$5&lt;=설정!$F$8),AK11,"")</f>
        <v/>
      </c>
      <c r="CI11" s="40" t="str">
        <f>IF(AND(CI$5&gt;=설정!$E$8,CI$5&lt;=설정!$F$8),AL11,"")</f>
        <v/>
      </c>
      <c r="CJ11" s="40" t="str">
        <f>IF(AND(CJ$5&gt;=설정!$E$8,CJ$5&lt;=설정!$F$8),AM11,"")</f>
        <v/>
      </c>
      <c r="CK11" s="40" t="str">
        <f>IF(AND(CK$5&gt;=설정!$E$8,CK$5&lt;=설정!$F$8),AN11,"")</f>
        <v/>
      </c>
      <c r="CL11" s="40" t="str">
        <f>IF(AND(CL$5&gt;=설정!$E$8,CL$5&lt;=설정!$F$8),AO11,"")</f>
        <v/>
      </c>
      <c r="CM11" s="40" t="str">
        <f>IF(AND(CM$5&gt;=설정!$E$8,CM$5&lt;=설정!$F$8),AP11,"")</f>
        <v/>
      </c>
      <c r="CN11" s="40" t="str">
        <f>IF(AND(CN$5&gt;=설정!$E$8,CN$5&lt;=설정!$F$8),AQ11,"")</f>
        <v/>
      </c>
      <c r="CO11" s="40" t="str">
        <f>IF(AND(CO$5&gt;=설정!$E$8,CO$5&lt;=설정!$F$8),AR11,"")</f>
        <v/>
      </c>
      <c r="CP11" s="40" t="str">
        <f>IF(AND(CP$5&gt;=설정!$E$8,CP$5&lt;=설정!$F$8),AS11,"")</f>
        <v/>
      </c>
      <c r="CQ11" s="40" t="str">
        <f>IF(AND(CQ$5&gt;=설정!$E$8,CQ$5&lt;=설정!$F$8),AT11,"")</f>
        <v/>
      </c>
    </row>
    <row r="12" spans="1:95" ht="19.95" customHeight="1">
      <c r="A12" s="28">
        <v>7</v>
      </c>
      <c r="B12" s="25" t="s">
        <v>104</v>
      </c>
      <c r="C12" s="39">
        <v>32.770000000000003</v>
      </c>
      <c r="D12" s="39">
        <v>4.8499999999999996</v>
      </c>
      <c r="E12" s="39">
        <v>2.2200000000000002</v>
      </c>
      <c r="F12" s="39">
        <v>7.43</v>
      </c>
      <c r="G12" s="25" t="s">
        <v>83</v>
      </c>
      <c r="H12" s="39">
        <v>18.329999999999998</v>
      </c>
      <c r="I12" s="39">
        <v>15.61</v>
      </c>
      <c r="J12" s="39">
        <v>13.55</v>
      </c>
      <c r="K12" s="39">
        <v>11.79</v>
      </c>
      <c r="L12" s="39">
        <v>10.36</v>
      </c>
      <c r="M12" s="39">
        <v>9.18</v>
      </c>
      <c r="N12" s="39">
        <v>8.1999999999999993</v>
      </c>
      <c r="O12" s="39">
        <v>7.47</v>
      </c>
      <c r="P12" s="39">
        <v>6.98</v>
      </c>
      <c r="Q12" s="39">
        <v>6.62</v>
      </c>
      <c r="R12" s="39">
        <v>6.39</v>
      </c>
      <c r="S12" s="39">
        <v>6.26</v>
      </c>
      <c r="T12" s="39">
        <v>6.23</v>
      </c>
      <c r="U12" s="39">
        <v>6.3</v>
      </c>
      <c r="V12" s="39">
        <v>6.39</v>
      </c>
      <c r="W12" s="39">
        <v>6.52</v>
      </c>
      <c r="X12" s="39">
        <v>6.67</v>
      </c>
      <c r="Y12" s="39">
        <v>6.86</v>
      </c>
      <c r="Z12" s="39">
        <v>7.09</v>
      </c>
      <c r="AA12" s="39">
        <v>7.29</v>
      </c>
      <c r="AB12" s="39">
        <v>7.5</v>
      </c>
      <c r="AC12" s="39">
        <v>7.75</v>
      </c>
      <c r="AD12" s="39">
        <v>7.97</v>
      </c>
      <c r="AE12" s="39">
        <v>8.18</v>
      </c>
      <c r="AF12" s="39">
        <v>8.42</v>
      </c>
      <c r="AG12" s="39">
        <v>8.64</v>
      </c>
      <c r="AH12" s="39">
        <v>8.84</v>
      </c>
      <c r="AI12" s="39">
        <v>9</v>
      </c>
      <c r="AJ12" s="39">
        <v>9.24</v>
      </c>
      <c r="AK12" s="39">
        <v>9.39</v>
      </c>
      <c r="AL12" s="39">
        <v>9.59</v>
      </c>
      <c r="AM12" s="39">
        <v>9.7100000000000009</v>
      </c>
      <c r="AN12" s="39">
        <v>9.91</v>
      </c>
      <c r="AO12" s="39">
        <v>10.06</v>
      </c>
      <c r="AP12" s="39">
        <v>10.220000000000001</v>
      </c>
      <c r="AQ12" s="39">
        <v>10.36</v>
      </c>
      <c r="AR12" s="39">
        <v>10.43</v>
      </c>
      <c r="AS12" s="39">
        <v>10.56</v>
      </c>
      <c r="AT12" s="39">
        <v>10.72</v>
      </c>
      <c r="AU12" s="21">
        <f>IF(OR(설정!$E$8&gt;설정!$F$8,COUNT(H12:AT12)=0),"",MIN(BE12:CQ12))</f>
        <v>6.23</v>
      </c>
      <c r="AV12" s="21">
        <f t="shared" si="0"/>
        <v>480</v>
      </c>
      <c r="AW12" s="21">
        <f>IF(OR(설정!$E$8&gt;설정!$F$8,COUNT(H12:AT12)=0),"",MAX(BE12:CQ12))</f>
        <v>7.47</v>
      </c>
      <c r="AX12" s="21">
        <f t="shared" si="1"/>
        <v>430</v>
      </c>
      <c r="AY12" s="35"/>
      <c r="AZ12" s="19">
        <f>IF(AY12&lt;&gt;"",AY12,IF(설정!$C$8="최소",AV12,AX12))</f>
        <v>480</v>
      </c>
      <c r="BA12" s="20">
        <f>IF(AZ12="","",IF(OR(AZ12&lt;굴절률!$A$6,AZ12&gt;굴절률!$A$44),"",IF(COUNTIFS(굴절률!$A$6:$A$44,AZ12)&gt;0,INDEX(굴절률!$D$6:$D$44,MATCH(AZ12,굴절률!$A$6:$A$44,0)),INDEX(굴절률!$D$6:$D$44,MATCH(AZ12,굴절률!$A$6:$A$44,1))+(AZ12-INDEX(굴절률!$A$6:$A$44,MATCH(AZ12,굴절률!$A$6:$A$44,1)))*(INDEX(굴절률!$D$6:$D$44,MATCH(AZ12,굴절률!$A$6:$A$44,1)+1)-INDEX(굴절률!$D$6:$D$44,MATCH(AZ12,굴절률!$A$6:$A$44,1)))/(INDEX(굴절률!$A$6:$A$44,MATCH(AZ12,굴절률!$A$6:$A$44,1)+1)-INDEX(굴절률!$A$6:$A$44,MATCH(AZ12,굴절률!$A$6:$A$44,1))))))</f>
        <v>1.4706900000000001</v>
      </c>
      <c r="BB12" s="20">
        <f>설정!$C$16</f>
        <v>10</v>
      </c>
      <c r="BC12" s="21">
        <f>IF(OR(AZ12="",설정!$C$16="",설정!$C$16&lt;8,설정!$C$16&gt;15),"",IF(COUNTIFS('TMM 계산표'!$B$5:$I$5,설정!$C$16)&gt;0,INDEX('TMM 계산표'!$B$6:$I$3806,MATCH(AZ12,'TMM 계산표'!$A$6:$A$3806,1),MATCH(설정!$C$16,'TMM 계산표'!$B$5:$I$5,0)),INDEX('TMM 계산표'!$B$6:$I$3806,MATCH(AZ12,'TMM 계산표'!$A$6:$A$3806,1),MATCH(설정!$C$16,'TMM 계산표'!$B$5:$I$5,1))+(설정!$C$16-INDEX('TMM 계산표'!$B$5:$I$5,1,MATCH(설정!$C$16,'TMM 계산표'!$B$5:$I$5,1)))*(INDEX('TMM 계산표'!$B$6:$I$3806,MATCH(AZ12,'TMM 계산표'!$A$6:$A$3806,1),MATCH(설정!$C$16,'TMM 계산표'!$B$5:$I$5,1)+1)-INDEX('TMM 계산표'!$B$6:$I$3806,MATCH(AZ12,'TMM 계산표'!$A$6:$A$3806,1),MATCH(설정!$C$16,'TMM 계산표'!$B$5:$I$5,1)))/(INDEX('TMM 계산표'!$B$5:$I$5,1,MATCH(설정!$C$16,'TMM 계산표'!$B$5:$I$5,1)+1)-INDEX('TMM 계산표'!$B$5:$I$5,1,MATCH(설정!$C$16,'TMM 계산표'!$B$5:$I$5,1)))))</f>
        <v>96.286802851041898</v>
      </c>
      <c r="BD12" s="23" t="str">
        <f>IF(COUNT(H12:AT12)=0,"입력 필요",IF(COUNT(H12:AT12)&lt;&gt;39,"데이터 점검",IF(OR(설정!$C$16="",설정!$C$16&lt;8,설정!$C$16&gt;15),"Nb 두께 입력 확인",IF(OR(설정!$E$8&gt;설정!$F$8,설정!$E$8&lt;360,설정!$F$8&gt;740),"검색 범위 오류",IF(AY12&lt;&gt;"","수동 파장",IF(OR(AZ12=설정!$E$8,AZ12=설정!$F$8),"경계 극값 확인","완료"))))))</f>
        <v>완료</v>
      </c>
      <c r="BE12" s="40" t="str">
        <f>IF(AND(BE$5&gt;=설정!$E$8,BE$5&lt;=설정!$F$8),H12,"")</f>
        <v/>
      </c>
      <c r="BF12" s="40" t="str">
        <f>IF(AND(BF$5&gt;=설정!$E$8,BF$5&lt;=설정!$F$8),I12,"")</f>
        <v/>
      </c>
      <c r="BG12" s="40" t="str">
        <f>IF(AND(BG$5&gt;=설정!$E$8,BG$5&lt;=설정!$F$8),J12,"")</f>
        <v/>
      </c>
      <c r="BH12" s="40" t="str">
        <f>IF(AND(BH$5&gt;=설정!$E$8,BH$5&lt;=설정!$F$8),K12,"")</f>
        <v/>
      </c>
      <c r="BI12" s="40" t="str">
        <f>IF(AND(BI$5&gt;=설정!$E$8,BI$5&lt;=설정!$F$8),L12,"")</f>
        <v/>
      </c>
      <c r="BJ12" s="40" t="str">
        <f>IF(AND(BJ$5&gt;=설정!$E$8,BJ$5&lt;=설정!$F$8),M12,"")</f>
        <v/>
      </c>
      <c r="BK12" s="40" t="str">
        <f>IF(AND(BK$5&gt;=설정!$E$8,BK$5&lt;=설정!$F$8),N12,"")</f>
        <v/>
      </c>
      <c r="BL12" s="40">
        <f>IF(AND(BL$5&gt;=설정!$E$8,BL$5&lt;=설정!$F$8),O12,"")</f>
        <v>7.47</v>
      </c>
      <c r="BM12" s="40">
        <f>IF(AND(BM$5&gt;=설정!$E$8,BM$5&lt;=설정!$F$8),P12,"")</f>
        <v>6.98</v>
      </c>
      <c r="BN12" s="40">
        <f>IF(AND(BN$5&gt;=설정!$E$8,BN$5&lt;=설정!$F$8),Q12,"")</f>
        <v>6.62</v>
      </c>
      <c r="BO12" s="40">
        <f>IF(AND(BO$5&gt;=설정!$E$8,BO$5&lt;=설정!$F$8),R12,"")</f>
        <v>6.39</v>
      </c>
      <c r="BP12" s="40">
        <f>IF(AND(BP$5&gt;=설정!$E$8,BP$5&lt;=설정!$F$8),S12,"")</f>
        <v>6.26</v>
      </c>
      <c r="BQ12" s="40">
        <f>IF(AND(BQ$5&gt;=설정!$E$8,BQ$5&lt;=설정!$F$8),T12,"")</f>
        <v>6.23</v>
      </c>
      <c r="BR12" s="40">
        <f>IF(AND(BR$5&gt;=설정!$E$8,BR$5&lt;=설정!$F$8),U12,"")</f>
        <v>6.3</v>
      </c>
      <c r="BS12" s="40">
        <f>IF(AND(BS$5&gt;=설정!$E$8,BS$5&lt;=설정!$F$8),V12,"")</f>
        <v>6.39</v>
      </c>
      <c r="BT12" s="40">
        <f>IF(AND(BT$5&gt;=설정!$E$8,BT$5&lt;=설정!$F$8),W12,"")</f>
        <v>6.52</v>
      </c>
      <c r="BU12" s="40">
        <f>IF(AND(BU$5&gt;=설정!$E$8,BU$5&lt;=설정!$F$8),X12,"")</f>
        <v>6.67</v>
      </c>
      <c r="BV12" s="40">
        <f>IF(AND(BV$5&gt;=설정!$E$8,BV$5&lt;=설정!$F$8),Y12,"")</f>
        <v>6.86</v>
      </c>
      <c r="BW12" s="40">
        <f>IF(AND(BW$5&gt;=설정!$E$8,BW$5&lt;=설정!$F$8),Z12,"")</f>
        <v>7.09</v>
      </c>
      <c r="BX12" s="40">
        <f>IF(AND(BX$5&gt;=설정!$E$8,BX$5&lt;=설정!$F$8),AA12,"")</f>
        <v>7.29</v>
      </c>
      <c r="BY12" s="40" t="str">
        <f>IF(AND(BY$5&gt;=설정!$E$8,BY$5&lt;=설정!$F$8),AB12,"")</f>
        <v/>
      </c>
      <c r="BZ12" s="40" t="str">
        <f>IF(AND(BZ$5&gt;=설정!$E$8,BZ$5&lt;=설정!$F$8),AC12,"")</f>
        <v/>
      </c>
      <c r="CA12" s="40" t="str">
        <f>IF(AND(CA$5&gt;=설정!$E$8,CA$5&lt;=설정!$F$8),AD12,"")</f>
        <v/>
      </c>
      <c r="CB12" s="40" t="str">
        <f>IF(AND(CB$5&gt;=설정!$E$8,CB$5&lt;=설정!$F$8),AE12,"")</f>
        <v/>
      </c>
      <c r="CC12" s="40" t="str">
        <f>IF(AND(CC$5&gt;=설정!$E$8,CC$5&lt;=설정!$F$8),AF12,"")</f>
        <v/>
      </c>
      <c r="CD12" s="40" t="str">
        <f>IF(AND(CD$5&gt;=설정!$E$8,CD$5&lt;=설정!$F$8),AG12,"")</f>
        <v/>
      </c>
      <c r="CE12" s="40" t="str">
        <f>IF(AND(CE$5&gt;=설정!$E$8,CE$5&lt;=설정!$F$8),AH12,"")</f>
        <v/>
      </c>
      <c r="CF12" s="40" t="str">
        <f>IF(AND(CF$5&gt;=설정!$E$8,CF$5&lt;=설정!$F$8),AI12,"")</f>
        <v/>
      </c>
      <c r="CG12" s="40" t="str">
        <f>IF(AND(CG$5&gt;=설정!$E$8,CG$5&lt;=설정!$F$8),AJ12,"")</f>
        <v/>
      </c>
      <c r="CH12" s="40" t="str">
        <f>IF(AND(CH$5&gt;=설정!$E$8,CH$5&lt;=설정!$F$8),AK12,"")</f>
        <v/>
      </c>
      <c r="CI12" s="40" t="str">
        <f>IF(AND(CI$5&gt;=설정!$E$8,CI$5&lt;=설정!$F$8),AL12,"")</f>
        <v/>
      </c>
      <c r="CJ12" s="40" t="str">
        <f>IF(AND(CJ$5&gt;=설정!$E$8,CJ$5&lt;=설정!$F$8),AM12,"")</f>
        <v/>
      </c>
      <c r="CK12" s="40" t="str">
        <f>IF(AND(CK$5&gt;=설정!$E$8,CK$5&lt;=설정!$F$8),AN12,"")</f>
        <v/>
      </c>
      <c r="CL12" s="40" t="str">
        <f>IF(AND(CL$5&gt;=설정!$E$8,CL$5&lt;=설정!$F$8),AO12,"")</f>
        <v/>
      </c>
      <c r="CM12" s="40" t="str">
        <f>IF(AND(CM$5&gt;=설정!$E$8,CM$5&lt;=설정!$F$8),AP12,"")</f>
        <v/>
      </c>
      <c r="CN12" s="40" t="str">
        <f>IF(AND(CN$5&gt;=설정!$E$8,CN$5&lt;=설정!$F$8),AQ12,"")</f>
        <v/>
      </c>
      <c r="CO12" s="40" t="str">
        <f>IF(AND(CO$5&gt;=설정!$E$8,CO$5&lt;=설정!$F$8),AR12,"")</f>
        <v/>
      </c>
      <c r="CP12" s="40" t="str">
        <f>IF(AND(CP$5&gt;=설정!$E$8,CP$5&lt;=설정!$F$8),AS12,"")</f>
        <v/>
      </c>
      <c r="CQ12" s="40" t="str">
        <f>IF(AND(CQ$5&gt;=설정!$E$8,CQ$5&lt;=설정!$F$8),AT12,"")</f>
        <v/>
      </c>
    </row>
    <row r="13" spans="1:95" ht="19.95" customHeight="1">
      <c r="A13" s="28">
        <v>8</v>
      </c>
      <c r="B13" s="25" t="s">
        <v>105</v>
      </c>
      <c r="C13" s="39">
        <v>33.18</v>
      </c>
      <c r="D13" s="39">
        <v>4.3099999999999996</v>
      </c>
      <c r="E13" s="39">
        <v>4.1399999999999997</v>
      </c>
      <c r="F13" s="39">
        <v>7.62</v>
      </c>
      <c r="G13" s="25" t="s">
        <v>83</v>
      </c>
      <c r="H13" s="39">
        <v>16.57</v>
      </c>
      <c r="I13" s="39">
        <v>14.03</v>
      </c>
      <c r="J13" s="39">
        <v>12.14</v>
      </c>
      <c r="K13" s="39">
        <v>10.57</v>
      </c>
      <c r="L13" s="39">
        <v>9.32</v>
      </c>
      <c r="M13" s="39">
        <v>8.3000000000000007</v>
      </c>
      <c r="N13" s="39">
        <v>7.5</v>
      </c>
      <c r="O13" s="39">
        <v>6.94</v>
      </c>
      <c r="P13" s="39">
        <v>6.56</v>
      </c>
      <c r="Q13" s="39">
        <v>6.34</v>
      </c>
      <c r="R13" s="39">
        <v>6.19</v>
      </c>
      <c r="S13" s="39">
        <v>6.16</v>
      </c>
      <c r="T13" s="39">
        <v>6.21</v>
      </c>
      <c r="U13" s="39">
        <v>6.34</v>
      </c>
      <c r="V13" s="39">
        <v>6.48</v>
      </c>
      <c r="W13" s="39">
        <v>6.65</v>
      </c>
      <c r="X13" s="39">
        <v>6.85</v>
      </c>
      <c r="Y13" s="39">
        <v>7.06</v>
      </c>
      <c r="Z13" s="39">
        <v>7.31</v>
      </c>
      <c r="AA13" s="39">
        <v>7.51</v>
      </c>
      <c r="AB13" s="39">
        <v>7.77</v>
      </c>
      <c r="AC13" s="39">
        <v>8</v>
      </c>
      <c r="AD13" s="39">
        <v>8.23</v>
      </c>
      <c r="AE13" s="39">
        <v>8.44</v>
      </c>
      <c r="AF13" s="39">
        <v>8.69</v>
      </c>
      <c r="AG13" s="39">
        <v>8.91</v>
      </c>
      <c r="AH13" s="39">
        <v>9.08</v>
      </c>
      <c r="AI13" s="39">
        <v>9.27</v>
      </c>
      <c r="AJ13" s="39">
        <v>9.4600000000000009</v>
      </c>
      <c r="AK13" s="39">
        <v>9.64</v>
      </c>
      <c r="AL13" s="39">
        <v>9.82</v>
      </c>
      <c r="AM13" s="39">
        <v>9.93</v>
      </c>
      <c r="AN13" s="39">
        <v>10.119999999999999</v>
      </c>
      <c r="AO13" s="39">
        <v>10.27</v>
      </c>
      <c r="AP13" s="39">
        <v>10.42</v>
      </c>
      <c r="AQ13" s="39">
        <v>10.54</v>
      </c>
      <c r="AR13" s="39">
        <v>10.62</v>
      </c>
      <c r="AS13" s="39">
        <v>10.76</v>
      </c>
      <c r="AT13" s="39">
        <v>10.89</v>
      </c>
      <c r="AU13" s="21">
        <f>IF(OR(설정!$E$8&gt;설정!$F$8,COUNT(H13:AT13)=0),"",MIN(BE13:CQ13))</f>
        <v>6.16</v>
      </c>
      <c r="AV13" s="21">
        <f t="shared" si="0"/>
        <v>470</v>
      </c>
      <c r="AW13" s="21">
        <f>IF(OR(설정!$E$8&gt;설정!$F$8,COUNT(H13:AT13)=0),"",MAX(BE13:CQ13))</f>
        <v>7.51</v>
      </c>
      <c r="AX13" s="21">
        <f t="shared" si="1"/>
        <v>550</v>
      </c>
      <c r="AY13" s="35"/>
      <c r="AZ13" s="19">
        <f>IF(AY13&lt;&gt;"",AY13,IF(설정!$C$8="최소",AV13,AX13))</f>
        <v>470</v>
      </c>
      <c r="BA13" s="20">
        <f>IF(AZ13="","",IF(OR(AZ13&lt;굴절률!$A$6,AZ13&gt;굴절률!$A$44),"",IF(COUNTIFS(굴절률!$A$6:$A$44,AZ13)&gt;0,INDEX(굴절률!$D$6:$D$44,MATCH(AZ13,굴절률!$A$6:$A$44,0)),INDEX(굴절률!$D$6:$D$44,MATCH(AZ13,굴절률!$A$6:$A$44,1))+(AZ13-INDEX(굴절률!$A$6:$A$44,MATCH(AZ13,굴절률!$A$6:$A$44,1)))*(INDEX(굴절률!$D$6:$D$44,MATCH(AZ13,굴절률!$A$6:$A$44,1)+1)-INDEX(굴절률!$D$6:$D$44,MATCH(AZ13,굴절률!$A$6:$A$44,1)))/(INDEX(굴절률!$A$6:$A$44,MATCH(AZ13,굴절률!$A$6:$A$44,1)+1)-INDEX(굴절률!$A$6:$A$44,MATCH(AZ13,굴절률!$A$6:$A$44,1))))))</f>
        <v>1.4710099999999999</v>
      </c>
      <c r="BB13" s="20">
        <f>설정!$C$16</f>
        <v>10</v>
      </c>
      <c r="BC13" s="21">
        <f>IF(OR(AZ13="",설정!$C$16="",설정!$C$16&lt;8,설정!$C$16&gt;15),"",IF(COUNTIFS('TMM 계산표'!$B$5:$I$5,설정!$C$16)&gt;0,INDEX('TMM 계산표'!$B$6:$I$3806,MATCH(AZ13,'TMM 계산표'!$A$6:$A$3806,1),MATCH(설정!$C$16,'TMM 계산표'!$B$5:$I$5,0)),INDEX('TMM 계산표'!$B$6:$I$3806,MATCH(AZ13,'TMM 계산표'!$A$6:$A$3806,1),MATCH(설정!$C$16,'TMM 계산표'!$B$5:$I$5,1))+(설정!$C$16-INDEX('TMM 계산표'!$B$5:$I$5,1,MATCH(설정!$C$16,'TMM 계산표'!$B$5:$I$5,1)))*(INDEX('TMM 계산표'!$B$6:$I$3806,MATCH(AZ13,'TMM 계산표'!$A$6:$A$3806,1),MATCH(설정!$C$16,'TMM 계산표'!$B$5:$I$5,1)+1)-INDEX('TMM 계산표'!$B$6:$I$3806,MATCH(AZ13,'TMM 계산표'!$A$6:$A$3806,1),MATCH(설정!$C$16,'TMM 계산표'!$B$5:$I$5,1)))/(INDEX('TMM 계산표'!$B$5:$I$5,1,MATCH(설정!$C$16,'TMM 계산표'!$B$5:$I$5,1)+1)-INDEX('TMM 계산표'!$B$5:$I$5,1,MATCH(설정!$C$16,'TMM 계산표'!$B$5:$I$5,1)))))</f>
        <v>94.359263123580774</v>
      </c>
      <c r="BD13" s="23" t="str">
        <f>IF(COUNT(H13:AT13)=0,"입력 필요",IF(COUNT(H13:AT13)&lt;&gt;39,"데이터 점검",IF(OR(설정!$C$16="",설정!$C$16&lt;8,설정!$C$16&gt;15),"Nb 두께 입력 확인",IF(OR(설정!$E$8&gt;설정!$F$8,설정!$E$8&lt;360,설정!$F$8&gt;740),"검색 범위 오류",IF(AY13&lt;&gt;"","수동 파장",IF(OR(AZ13=설정!$E$8,AZ13=설정!$F$8),"경계 극값 확인","완료"))))))</f>
        <v>완료</v>
      </c>
      <c r="BE13" s="40" t="str">
        <f>IF(AND(BE$5&gt;=설정!$E$8,BE$5&lt;=설정!$F$8),H13,"")</f>
        <v/>
      </c>
      <c r="BF13" s="40" t="str">
        <f>IF(AND(BF$5&gt;=설정!$E$8,BF$5&lt;=설정!$F$8),I13,"")</f>
        <v/>
      </c>
      <c r="BG13" s="40" t="str">
        <f>IF(AND(BG$5&gt;=설정!$E$8,BG$5&lt;=설정!$F$8),J13,"")</f>
        <v/>
      </c>
      <c r="BH13" s="40" t="str">
        <f>IF(AND(BH$5&gt;=설정!$E$8,BH$5&lt;=설정!$F$8),K13,"")</f>
        <v/>
      </c>
      <c r="BI13" s="40" t="str">
        <f>IF(AND(BI$5&gt;=설정!$E$8,BI$5&lt;=설정!$F$8),L13,"")</f>
        <v/>
      </c>
      <c r="BJ13" s="40" t="str">
        <f>IF(AND(BJ$5&gt;=설정!$E$8,BJ$5&lt;=설정!$F$8),M13,"")</f>
        <v/>
      </c>
      <c r="BK13" s="40" t="str">
        <f>IF(AND(BK$5&gt;=설정!$E$8,BK$5&lt;=설정!$F$8),N13,"")</f>
        <v/>
      </c>
      <c r="BL13" s="40">
        <f>IF(AND(BL$5&gt;=설정!$E$8,BL$5&lt;=설정!$F$8),O13,"")</f>
        <v>6.94</v>
      </c>
      <c r="BM13" s="40">
        <f>IF(AND(BM$5&gt;=설정!$E$8,BM$5&lt;=설정!$F$8),P13,"")</f>
        <v>6.56</v>
      </c>
      <c r="BN13" s="40">
        <f>IF(AND(BN$5&gt;=설정!$E$8,BN$5&lt;=설정!$F$8),Q13,"")</f>
        <v>6.34</v>
      </c>
      <c r="BO13" s="40">
        <f>IF(AND(BO$5&gt;=설정!$E$8,BO$5&lt;=설정!$F$8),R13,"")</f>
        <v>6.19</v>
      </c>
      <c r="BP13" s="40">
        <f>IF(AND(BP$5&gt;=설정!$E$8,BP$5&lt;=설정!$F$8),S13,"")</f>
        <v>6.16</v>
      </c>
      <c r="BQ13" s="40">
        <f>IF(AND(BQ$5&gt;=설정!$E$8,BQ$5&lt;=설정!$F$8),T13,"")</f>
        <v>6.21</v>
      </c>
      <c r="BR13" s="40">
        <f>IF(AND(BR$5&gt;=설정!$E$8,BR$5&lt;=설정!$F$8),U13,"")</f>
        <v>6.34</v>
      </c>
      <c r="BS13" s="40">
        <f>IF(AND(BS$5&gt;=설정!$E$8,BS$5&lt;=설정!$F$8),V13,"")</f>
        <v>6.48</v>
      </c>
      <c r="BT13" s="40">
        <f>IF(AND(BT$5&gt;=설정!$E$8,BT$5&lt;=설정!$F$8),W13,"")</f>
        <v>6.65</v>
      </c>
      <c r="BU13" s="40">
        <f>IF(AND(BU$5&gt;=설정!$E$8,BU$5&lt;=설정!$F$8),X13,"")</f>
        <v>6.85</v>
      </c>
      <c r="BV13" s="40">
        <f>IF(AND(BV$5&gt;=설정!$E$8,BV$5&lt;=설정!$F$8),Y13,"")</f>
        <v>7.06</v>
      </c>
      <c r="BW13" s="40">
        <f>IF(AND(BW$5&gt;=설정!$E$8,BW$5&lt;=설정!$F$8),Z13,"")</f>
        <v>7.31</v>
      </c>
      <c r="BX13" s="40">
        <f>IF(AND(BX$5&gt;=설정!$E$8,BX$5&lt;=설정!$F$8),AA13,"")</f>
        <v>7.51</v>
      </c>
      <c r="BY13" s="40" t="str">
        <f>IF(AND(BY$5&gt;=설정!$E$8,BY$5&lt;=설정!$F$8),AB13,"")</f>
        <v/>
      </c>
      <c r="BZ13" s="40" t="str">
        <f>IF(AND(BZ$5&gt;=설정!$E$8,BZ$5&lt;=설정!$F$8),AC13,"")</f>
        <v/>
      </c>
      <c r="CA13" s="40" t="str">
        <f>IF(AND(CA$5&gt;=설정!$E$8,CA$5&lt;=설정!$F$8),AD13,"")</f>
        <v/>
      </c>
      <c r="CB13" s="40" t="str">
        <f>IF(AND(CB$5&gt;=설정!$E$8,CB$5&lt;=설정!$F$8),AE13,"")</f>
        <v/>
      </c>
      <c r="CC13" s="40" t="str">
        <f>IF(AND(CC$5&gt;=설정!$E$8,CC$5&lt;=설정!$F$8),AF13,"")</f>
        <v/>
      </c>
      <c r="CD13" s="40" t="str">
        <f>IF(AND(CD$5&gt;=설정!$E$8,CD$5&lt;=설정!$F$8),AG13,"")</f>
        <v/>
      </c>
      <c r="CE13" s="40" t="str">
        <f>IF(AND(CE$5&gt;=설정!$E$8,CE$5&lt;=설정!$F$8),AH13,"")</f>
        <v/>
      </c>
      <c r="CF13" s="40" t="str">
        <f>IF(AND(CF$5&gt;=설정!$E$8,CF$5&lt;=설정!$F$8),AI13,"")</f>
        <v/>
      </c>
      <c r="CG13" s="40" t="str">
        <f>IF(AND(CG$5&gt;=설정!$E$8,CG$5&lt;=설정!$F$8),AJ13,"")</f>
        <v/>
      </c>
      <c r="CH13" s="40" t="str">
        <f>IF(AND(CH$5&gt;=설정!$E$8,CH$5&lt;=설정!$F$8),AK13,"")</f>
        <v/>
      </c>
      <c r="CI13" s="40" t="str">
        <f>IF(AND(CI$5&gt;=설정!$E$8,CI$5&lt;=설정!$F$8),AL13,"")</f>
        <v/>
      </c>
      <c r="CJ13" s="40" t="str">
        <f>IF(AND(CJ$5&gt;=설정!$E$8,CJ$5&lt;=설정!$F$8),AM13,"")</f>
        <v/>
      </c>
      <c r="CK13" s="40" t="str">
        <f>IF(AND(CK$5&gt;=설정!$E$8,CK$5&lt;=설정!$F$8),AN13,"")</f>
        <v/>
      </c>
      <c r="CL13" s="40" t="str">
        <f>IF(AND(CL$5&gt;=설정!$E$8,CL$5&lt;=설정!$F$8),AO13,"")</f>
        <v/>
      </c>
      <c r="CM13" s="40" t="str">
        <f>IF(AND(CM$5&gt;=설정!$E$8,CM$5&lt;=설정!$F$8),AP13,"")</f>
        <v/>
      </c>
      <c r="CN13" s="40" t="str">
        <f>IF(AND(CN$5&gt;=설정!$E$8,CN$5&lt;=설정!$F$8),AQ13,"")</f>
        <v/>
      </c>
      <c r="CO13" s="40" t="str">
        <f>IF(AND(CO$5&gt;=설정!$E$8,CO$5&lt;=설정!$F$8),AR13,"")</f>
        <v/>
      </c>
      <c r="CP13" s="40" t="str">
        <f>IF(AND(CP$5&gt;=설정!$E$8,CP$5&lt;=설정!$F$8),AS13,"")</f>
        <v/>
      </c>
      <c r="CQ13" s="40" t="str">
        <f>IF(AND(CQ$5&gt;=설정!$E$8,CQ$5&lt;=설정!$F$8),AT13,"")</f>
        <v/>
      </c>
    </row>
    <row r="14" spans="1:95" ht="19.95" customHeight="1">
      <c r="A14" s="28">
        <v>9</v>
      </c>
      <c r="B14" s="25" t="s">
        <v>106</v>
      </c>
      <c r="C14" s="39">
        <v>32.94</v>
      </c>
      <c r="D14" s="39">
        <v>4.25</v>
      </c>
      <c r="E14" s="39">
        <v>3.7</v>
      </c>
      <c r="F14" s="39">
        <v>7.51</v>
      </c>
      <c r="G14" s="25" t="s">
        <v>83</v>
      </c>
      <c r="H14" s="39">
        <v>16.329999999999998</v>
      </c>
      <c r="I14" s="39">
        <v>13.88</v>
      </c>
      <c r="J14" s="39">
        <v>12.08</v>
      </c>
      <c r="K14" s="39">
        <v>10.53</v>
      </c>
      <c r="L14" s="39">
        <v>9.3000000000000007</v>
      </c>
      <c r="M14" s="39">
        <v>8.32</v>
      </c>
      <c r="N14" s="39">
        <v>7.52</v>
      </c>
      <c r="O14" s="39">
        <v>6.96</v>
      </c>
      <c r="P14" s="39">
        <v>6.59</v>
      </c>
      <c r="Q14" s="39">
        <v>6.34</v>
      </c>
      <c r="R14" s="39">
        <v>6.21</v>
      </c>
      <c r="S14" s="39">
        <v>6.15</v>
      </c>
      <c r="T14" s="39">
        <v>6.19</v>
      </c>
      <c r="U14" s="39">
        <v>6.29</v>
      </c>
      <c r="V14" s="39">
        <v>6.44</v>
      </c>
      <c r="W14" s="39">
        <v>6.58</v>
      </c>
      <c r="X14" s="39">
        <v>6.76</v>
      </c>
      <c r="Y14" s="39">
        <v>6.97</v>
      </c>
      <c r="Z14" s="39">
        <v>7.21</v>
      </c>
      <c r="AA14" s="39">
        <v>7.41</v>
      </c>
      <c r="AB14" s="39">
        <v>7.64</v>
      </c>
      <c r="AC14" s="39">
        <v>7.87</v>
      </c>
      <c r="AD14" s="39">
        <v>8.08</v>
      </c>
      <c r="AE14" s="39">
        <v>8.2899999999999991</v>
      </c>
      <c r="AF14" s="39">
        <v>8.51</v>
      </c>
      <c r="AG14" s="39">
        <v>8.74</v>
      </c>
      <c r="AH14" s="39">
        <v>8.91</v>
      </c>
      <c r="AI14" s="39">
        <v>9.08</v>
      </c>
      <c r="AJ14" s="39">
        <v>9.2899999999999991</v>
      </c>
      <c r="AK14" s="39">
        <v>9.44</v>
      </c>
      <c r="AL14" s="39">
        <v>9.6300000000000008</v>
      </c>
      <c r="AM14" s="39">
        <v>9.75</v>
      </c>
      <c r="AN14" s="39">
        <v>9.92</v>
      </c>
      <c r="AO14" s="39">
        <v>10.08</v>
      </c>
      <c r="AP14" s="39">
        <v>10.220000000000001</v>
      </c>
      <c r="AQ14" s="39">
        <v>10.34</v>
      </c>
      <c r="AR14" s="39">
        <v>10.42</v>
      </c>
      <c r="AS14" s="39">
        <v>10.56</v>
      </c>
      <c r="AT14" s="39">
        <v>10.65</v>
      </c>
      <c r="AU14" s="21">
        <f>IF(OR(설정!$E$8&gt;설정!$F$8,COUNT(H14:AT14)=0),"",MIN(BE14:CQ14))</f>
        <v>6.15</v>
      </c>
      <c r="AV14" s="21">
        <f t="shared" si="0"/>
        <v>470</v>
      </c>
      <c r="AW14" s="21">
        <f>IF(OR(설정!$E$8&gt;설정!$F$8,COUNT(H14:AT14)=0),"",MAX(BE14:CQ14))</f>
        <v>7.41</v>
      </c>
      <c r="AX14" s="21">
        <f t="shared" si="1"/>
        <v>550</v>
      </c>
      <c r="AY14" s="35"/>
      <c r="AZ14" s="19">
        <f>IF(AY14&lt;&gt;"",AY14,IF(설정!$C$8="최소",AV14,AX14))</f>
        <v>470</v>
      </c>
      <c r="BA14" s="20">
        <f>IF(AZ14="","",IF(OR(AZ14&lt;굴절률!$A$6,AZ14&gt;굴절률!$A$44),"",IF(COUNTIFS(굴절률!$A$6:$A$44,AZ14)&gt;0,INDEX(굴절률!$D$6:$D$44,MATCH(AZ14,굴절률!$A$6:$A$44,0)),INDEX(굴절률!$D$6:$D$44,MATCH(AZ14,굴절률!$A$6:$A$44,1))+(AZ14-INDEX(굴절률!$A$6:$A$44,MATCH(AZ14,굴절률!$A$6:$A$44,1)))*(INDEX(굴절률!$D$6:$D$44,MATCH(AZ14,굴절률!$A$6:$A$44,1)+1)-INDEX(굴절률!$D$6:$D$44,MATCH(AZ14,굴절률!$A$6:$A$44,1)))/(INDEX(굴절률!$A$6:$A$44,MATCH(AZ14,굴절률!$A$6:$A$44,1)+1)-INDEX(굴절률!$A$6:$A$44,MATCH(AZ14,굴절률!$A$6:$A$44,1))))))</f>
        <v>1.4710099999999999</v>
      </c>
      <c r="BB14" s="20">
        <f>설정!$C$16</f>
        <v>10</v>
      </c>
      <c r="BC14" s="21">
        <f>IF(OR(AZ14="",설정!$C$16="",설정!$C$16&lt;8,설정!$C$16&gt;15),"",IF(COUNTIFS('TMM 계산표'!$B$5:$I$5,설정!$C$16)&gt;0,INDEX('TMM 계산표'!$B$6:$I$3806,MATCH(AZ14,'TMM 계산표'!$A$6:$A$3806,1),MATCH(설정!$C$16,'TMM 계산표'!$B$5:$I$5,0)),INDEX('TMM 계산표'!$B$6:$I$3806,MATCH(AZ14,'TMM 계산표'!$A$6:$A$3806,1),MATCH(설정!$C$16,'TMM 계산표'!$B$5:$I$5,1))+(설정!$C$16-INDEX('TMM 계산표'!$B$5:$I$5,1,MATCH(설정!$C$16,'TMM 계산표'!$B$5:$I$5,1)))*(INDEX('TMM 계산표'!$B$6:$I$3806,MATCH(AZ14,'TMM 계산표'!$A$6:$A$3806,1),MATCH(설정!$C$16,'TMM 계산표'!$B$5:$I$5,1)+1)-INDEX('TMM 계산표'!$B$6:$I$3806,MATCH(AZ14,'TMM 계산표'!$A$6:$A$3806,1),MATCH(설정!$C$16,'TMM 계산표'!$B$5:$I$5,1)))/(INDEX('TMM 계산표'!$B$5:$I$5,1,MATCH(설정!$C$16,'TMM 계산표'!$B$5:$I$5,1)+1)-INDEX('TMM 계산표'!$B$5:$I$5,1,MATCH(설정!$C$16,'TMM 계산표'!$B$5:$I$5,1)))))</f>
        <v>94.359263123580774</v>
      </c>
      <c r="BD14" s="23" t="str">
        <f>IF(COUNT(H14:AT14)=0,"입력 필요",IF(COUNT(H14:AT14)&lt;&gt;39,"데이터 점검",IF(OR(설정!$C$16="",설정!$C$16&lt;8,설정!$C$16&gt;15),"Nb 두께 입력 확인",IF(OR(설정!$E$8&gt;설정!$F$8,설정!$E$8&lt;360,설정!$F$8&gt;740),"검색 범위 오류",IF(AY14&lt;&gt;"","수동 파장",IF(OR(AZ14=설정!$E$8,AZ14=설정!$F$8),"경계 극값 확인","완료"))))))</f>
        <v>완료</v>
      </c>
      <c r="BE14" s="40" t="str">
        <f>IF(AND(BE$5&gt;=설정!$E$8,BE$5&lt;=설정!$F$8),H14,"")</f>
        <v/>
      </c>
      <c r="BF14" s="40" t="str">
        <f>IF(AND(BF$5&gt;=설정!$E$8,BF$5&lt;=설정!$F$8),I14,"")</f>
        <v/>
      </c>
      <c r="BG14" s="40" t="str">
        <f>IF(AND(BG$5&gt;=설정!$E$8,BG$5&lt;=설정!$F$8),J14,"")</f>
        <v/>
      </c>
      <c r="BH14" s="40" t="str">
        <f>IF(AND(BH$5&gt;=설정!$E$8,BH$5&lt;=설정!$F$8),K14,"")</f>
        <v/>
      </c>
      <c r="BI14" s="40" t="str">
        <f>IF(AND(BI$5&gt;=설정!$E$8,BI$5&lt;=설정!$F$8),L14,"")</f>
        <v/>
      </c>
      <c r="BJ14" s="40" t="str">
        <f>IF(AND(BJ$5&gt;=설정!$E$8,BJ$5&lt;=설정!$F$8),M14,"")</f>
        <v/>
      </c>
      <c r="BK14" s="40" t="str">
        <f>IF(AND(BK$5&gt;=설정!$E$8,BK$5&lt;=설정!$F$8),N14,"")</f>
        <v/>
      </c>
      <c r="BL14" s="40">
        <f>IF(AND(BL$5&gt;=설정!$E$8,BL$5&lt;=설정!$F$8),O14,"")</f>
        <v>6.96</v>
      </c>
      <c r="BM14" s="40">
        <f>IF(AND(BM$5&gt;=설정!$E$8,BM$5&lt;=설정!$F$8),P14,"")</f>
        <v>6.59</v>
      </c>
      <c r="BN14" s="40">
        <f>IF(AND(BN$5&gt;=설정!$E$8,BN$5&lt;=설정!$F$8),Q14,"")</f>
        <v>6.34</v>
      </c>
      <c r="BO14" s="40">
        <f>IF(AND(BO$5&gt;=설정!$E$8,BO$5&lt;=설정!$F$8),R14,"")</f>
        <v>6.21</v>
      </c>
      <c r="BP14" s="40">
        <f>IF(AND(BP$5&gt;=설정!$E$8,BP$5&lt;=설정!$F$8),S14,"")</f>
        <v>6.15</v>
      </c>
      <c r="BQ14" s="40">
        <f>IF(AND(BQ$5&gt;=설정!$E$8,BQ$5&lt;=설정!$F$8),T14,"")</f>
        <v>6.19</v>
      </c>
      <c r="BR14" s="40">
        <f>IF(AND(BR$5&gt;=설정!$E$8,BR$5&lt;=설정!$F$8),U14,"")</f>
        <v>6.29</v>
      </c>
      <c r="BS14" s="40">
        <f>IF(AND(BS$5&gt;=설정!$E$8,BS$5&lt;=설정!$F$8),V14,"")</f>
        <v>6.44</v>
      </c>
      <c r="BT14" s="40">
        <f>IF(AND(BT$5&gt;=설정!$E$8,BT$5&lt;=설정!$F$8),W14,"")</f>
        <v>6.58</v>
      </c>
      <c r="BU14" s="40">
        <f>IF(AND(BU$5&gt;=설정!$E$8,BU$5&lt;=설정!$F$8),X14,"")</f>
        <v>6.76</v>
      </c>
      <c r="BV14" s="40">
        <f>IF(AND(BV$5&gt;=설정!$E$8,BV$5&lt;=설정!$F$8),Y14,"")</f>
        <v>6.97</v>
      </c>
      <c r="BW14" s="40">
        <f>IF(AND(BW$5&gt;=설정!$E$8,BW$5&lt;=설정!$F$8),Z14,"")</f>
        <v>7.21</v>
      </c>
      <c r="BX14" s="40">
        <f>IF(AND(BX$5&gt;=설정!$E$8,BX$5&lt;=설정!$F$8),AA14,"")</f>
        <v>7.41</v>
      </c>
      <c r="BY14" s="40" t="str">
        <f>IF(AND(BY$5&gt;=설정!$E$8,BY$5&lt;=설정!$F$8),AB14,"")</f>
        <v/>
      </c>
      <c r="BZ14" s="40" t="str">
        <f>IF(AND(BZ$5&gt;=설정!$E$8,BZ$5&lt;=설정!$F$8),AC14,"")</f>
        <v/>
      </c>
      <c r="CA14" s="40" t="str">
        <f>IF(AND(CA$5&gt;=설정!$E$8,CA$5&lt;=설정!$F$8),AD14,"")</f>
        <v/>
      </c>
      <c r="CB14" s="40" t="str">
        <f>IF(AND(CB$5&gt;=설정!$E$8,CB$5&lt;=설정!$F$8),AE14,"")</f>
        <v/>
      </c>
      <c r="CC14" s="40" t="str">
        <f>IF(AND(CC$5&gt;=설정!$E$8,CC$5&lt;=설정!$F$8),AF14,"")</f>
        <v/>
      </c>
      <c r="CD14" s="40" t="str">
        <f>IF(AND(CD$5&gt;=설정!$E$8,CD$5&lt;=설정!$F$8),AG14,"")</f>
        <v/>
      </c>
      <c r="CE14" s="40" t="str">
        <f>IF(AND(CE$5&gt;=설정!$E$8,CE$5&lt;=설정!$F$8),AH14,"")</f>
        <v/>
      </c>
      <c r="CF14" s="40" t="str">
        <f>IF(AND(CF$5&gt;=설정!$E$8,CF$5&lt;=설정!$F$8),AI14,"")</f>
        <v/>
      </c>
      <c r="CG14" s="40" t="str">
        <f>IF(AND(CG$5&gt;=설정!$E$8,CG$5&lt;=설정!$F$8),AJ14,"")</f>
        <v/>
      </c>
      <c r="CH14" s="40" t="str">
        <f>IF(AND(CH$5&gt;=설정!$E$8,CH$5&lt;=설정!$F$8),AK14,"")</f>
        <v/>
      </c>
      <c r="CI14" s="40" t="str">
        <f>IF(AND(CI$5&gt;=설정!$E$8,CI$5&lt;=설정!$F$8),AL14,"")</f>
        <v/>
      </c>
      <c r="CJ14" s="40" t="str">
        <f>IF(AND(CJ$5&gt;=설정!$E$8,CJ$5&lt;=설정!$F$8),AM14,"")</f>
        <v/>
      </c>
      <c r="CK14" s="40" t="str">
        <f>IF(AND(CK$5&gt;=설정!$E$8,CK$5&lt;=설정!$F$8),AN14,"")</f>
        <v/>
      </c>
      <c r="CL14" s="40" t="str">
        <f>IF(AND(CL$5&gt;=설정!$E$8,CL$5&lt;=설정!$F$8),AO14,"")</f>
        <v/>
      </c>
      <c r="CM14" s="40" t="str">
        <f>IF(AND(CM$5&gt;=설정!$E$8,CM$5&lt;=설정!$F$8),AP14,"")</f>
        <v/>
      </c>
      <c r="CN14" s="40" t="str">
        <f>IF(AND(CN$5&gt;=설정!$E$8,CN$5&lt;=설정!$F$8),AQ14,"")</f>
        <v/>
      </c>
      <c r="CO14" s="40" t="str">
        <f>IF(AND(CO$5&gt;=설정!$E$8,CO$5&lt;=설정!$F$8),AR14,"")</f>
        <v/>
      </c>
      <c r="CP14" s="40" t="str">
        <f>IF(AND(CP$5&gt;=설정!$E$8,CP$5&lt;=설정!$F$8),AS14,"")</f>
        <v/>
      </c>
      <c r="CQ14" s="40" t="str">
        <f>IF(AND(CQ$5&gt;=설정!$E$8,CQ$5&lt;=설정!$F$8),AT14,"")</f>
        <v/>
      </c>
    </row>
    <row r="15" spans="1:95" ht="19.95" customHeight="1">
      <c r="A15" s="28">
        <v>10</v>
      </c>
      <c r="B15" s="25" t="s">
        <v>107</v>
      </c>
      <c r="C15" s="39">
        <v>32.39</v>
      </c>
      <c r="D15" s="39">
        <v>4.63</v>
      </c>
      <c r="E15" s="39">
        <v>1.69</v>
      </c>
      <c r="F15" s="39">
        <v>7.26</v>
      </c>
      <c r="G15" s="25" t="s">
        <v>83</v>
      </c>
      <c r="H15" s="39">
        <v>17.489999999999998</v>
      </c>
      <c r="I15" s="39">
        <v>14.98</v>
      </c>
      <c r="J15" s="39">
        <v>13.1</v>
      </c>
      <c r="K15" s="39">
        <v>11.46</v>
      </c>
      <c r="L15" s="39">
        <v>10.14</v>
      </c>
      <c r="M15" s="39">
        <v>9.0399999999999991</v>
      </c>
      <c r="N15" s="39">
        <v>8.11</v>
      </c>
      <c r="O15" s="39">
        <v>7.43</v>
      </c>
      <c r="P15" s="39">
        <v>6.96</v>
      </c>
      <c r="Q15" s="39">
        <v>6.62</v>
      </c>
      <c r="R15" s="39">
        <v>6.37</v>
      </c>
      <c r="S15" s="39">
        <v>6.24</v>
      </c>
      <c r="T15" s="39">
        <v>6.2</v>
      </c>
      <c r="U15" s="39">
        <v>6.24</v>
      </c>
      <c r="V15" s="39">
        <v>6.32</v>
      </c>
      <c r="W15" s="39">
        <v>6.42</v>
      </c>
      <c r="X15" s="39">
        <v>6.56</v>
      </c>
      <c r="Y15" s="39">
        <v>6.74</v>
      </c>
      <c r="Z15" s="39">
        <v>6.93</v>
      </c>
      <c r="AA15" s="39">
        <v>7.12</v>
      </c>
      <c r="AB15" s="39">
        <v>7.32</v>
      </c>
      <c r="AC15" s="39">
        <v>7.54</v>
      </c>
      <c r="AD15" s="39">
        <v>7.74</v>
      </c>
      <c r="AE15" s="39">
        <v>7.93</v>
      </c>
      <c r="AF15" s="39">
        <v>8.15</v>
      </c>
      <c r="AG15" s="39">
        <v>8.35</v>
      </c>
      <c r="AH15" s="39">
        <v>8.5299999999999994</v>
      </c>
      <c r="AI15" s="39">
        <v>8.7100000000000009</v>
      </c>
      <c r="AJ15" s="39">
        <v>8.91</v>
      </c>
      <c r="AK15" s="39">
        <v>9.06</v>
      </c>
      <c r="AL15" s="39">
        <v>9.25</v>
      </c>
      <c r="AM15" s="39">
        <v>9.3699999999999992</v>
      </c>
      <c r="AN15" s="39">
        <v>9.5399999999999991</v>
      </c>
      <c r="AO15" s="39">
        <v>9.6999999999999993</v>
      </c>
      <c r="AP15" s="39">
        <v>9.84</v>
      </c>
      <c r="AQ15" s="39">
        <v>9.9700000000000006</v>
      </c>
      <c r="AR15" s="39">
        <v>10.06</v>
      </c>
      <c r="AS15" s="39">
        <v>10.199999999999999</v>
      </c>
      <c r="AT15" s="39">
        <v>10.31</v>
      </c>
      <c r="AU15" s="21">
        <f>IF(OR(설정!$E$8&gt;설정!$F$8,COUNT(H15:AT15)=0),"",MIN(BE15:CQ15))</f>
        <v>6.2</v>
      </c>
      <c r="AV15" s="21">
        <f t="shared" si="0"/>
        <v>480</v>
      </c>
      <c r="AW15" s="21">
        <f>IF(OR(설정!$E$8&gt;설정!$F$8,COUNT(H15:AT15)=0),"",MAX(BE15:CQ15))</f>
        <v>7.43</v>
      </c>
      <c r="AX15" s="21">
        <f t="shared" si="1"/>
        <v>430</v>
      </c>
      <c r="AY15" s="35"/>
      <c r="AZ15" s="19">
        <f>IF(AY15&lt;&gt;"",AY15,IF(설정!$C$8="최소",AV15,AX15))</f>
        <v>480</v>
      </c>
      <c r="BA15" s="20">
        <f>IF(AZ15="","",IF(OR(AZ15&lt;굴절률!$A$6,AZ15&gt;굴절률!$A$44),"",IF(COUNTIFS(굴절률!$A$6:$A$44,AZ15)&gt;0,INDEX(굴절률!$D$6:$D$44,MATCH(AZ15,굴절률!$A$6:$A$44,0)),INDEX(굴절률!$D$6:$D$44,MATCH(AZ15,굴절률!$A$6:$A$44,1))+(AZ15-INDEX(굴절률!$A$6:$A$44,MATCH(AZ15,굴절률!$A$6:$A$44,1)))*(INDEX(굴절률!$D$6:$D$44,MATCH(AZ15,굴절률!$A$6:$A$44,1)+1)-INDEX(굴절률!$D$6:$D$44,MATCH(AZ15,굴절률!$A$6:$A$44,1)))/(INDEX(굴절률!$A$6:$A$44,MATCH(AZ15,굴절률!$A$6:$A$44,1)+1)-INDEX(굴절률!$A$6:$A$44,MATCH(AZ15,굴절률!$A$6:$A$44,1))))))</f>
        <v>1.4706900000000001</v>
      </c>
      <c r="BB15" s="20">
        <f>설정!$C$16</f>
        <v>10</v>
      </c>
      <c r="BC15" s="21">
        <f>IF(OR(AZ15="",설정!$C$16="",설정!$C$16&lt;8,설정!$C$16&gt;15),"",IF(COUNTIFS('TMM 계산표'!$B$5:$I$5,설정!$C$16)&gt;0,INDEX('TMM 계산표'!$B$6:$I$3806,MATCH(AZ15,'TMM 계산표'!$A$6:$A$3806,1),MATCH(설정!$C$16,'TMM 계산표'!$B$5:$I$5,0)),INDEX('TMM 계산표'!$B$6:$I$3806,MATCH(AZ15,'TMM 계산표'!$A$6:$A$3806,1),MATCH(설정!$C$16,'TMM 계산표'!$B$5:$I$5,1))+(설정!$C$16-INDEX('TMM 계산표'!$B$5:$I$5,1,MATCH(설정!$C$16,'TMM 계산표'!$B$5:$I$5,1)))*(INDEX('TMM 계산표'!$B$6:$I$3806,MATCH(AZ15,'TMM 계산표'!$A$6:$A$3806,1),MATCH(설정!$C$16,'TMM 계산표'!$B$5:$I$5,1)+1)-INDEX('TMM 계산표'!$B$6:$I$3806,MATCH(AZ15,'TMM 계산표'!$A$6:$A$3806,1),MATCH(설정!$C$16,'TMM 계산표'!$B$5:$I$5,1)))/(INDEX('TMM 계산표'!$B$5:$I$5,1,MATCH(설정!$C$16,'TMM 계산표'!$B$5:$I$5,1)+1)-INDEX('TMM 계산표'!$B$5:$I$5,1,MATCH(설정!$C$16,'TMM 계산표'!$B$5:$I$5,1)))))</f>
        <v>96.286802851041898</v>
      </c>
      <c r="BD15" s="23" t="str">
        <f>IF(COUNT(H15:AT15)=0,"입력 필요",IF(COUNT(H15:AT15)&lt;&gt;39,"데이터 점검",IF(OR(설정!$C$16="",설정!$C$16&lt;8,설정!$C$16&gt;15),"Nb 두께 입력 확인",IF(OR(설정!$E$8&gt;설정!$F$8,설정!$E$8&lt;360,설정!$F$8&gt;740),"검색 범위 오류",IF(AY15&lt;&gt;"","수동 파장",IF(OR(AZ15=설정!$E$8,AZ15=설정!$F$8),"경계 극값 확인","완료"))))))</f>
        <v>완료</v>
      </c>
      <c r="BE15" s="40" t="str">
        <f>IF(AND(BE$5&gt;=설정!$E$8,BE$5&lt;=설정!$F$8),H15,"")</f>
        <v/>
      </c>
      <c r="BF15" s="40" t="str">
        <f>IF(AND(BF$5&gt;=설정!$E$8,BF$5&lt;=설정!$F$8),I15,"")</f>
        <v/>
      </c>
      <c r="BG15" s="40" t="str">
        <f>IF(AND(BG$5&gt;=설정!$E$8,BG$5&lt;=설정!$F$8),J15,"")</f>
        <v/>
      </c>
      <c r="BH15" s="40" t="str">
        <f>IF(AND(BH$5&gt;=설정!$E$8,BH$5&lt;=설정!$F$8),K15,"")</f>
        <v/>
      </c>
      <c r="BI15" s="40" t="str">
        <f>IF(AND(BI$5&gt;=설정!$E$8,BI$5&lt;=설정!$F$8),L15,"")</f>
        <v/>
      </c>
      <c r="BJ15" s="40" t="str">
        <f>IF(AND(BJ$5&gt;=설정!$E$8,BJ$5&lt;=설정!$F$8),M15,"")</f>
        <v/>
      </c>
      <c r="BK15" s="40" t="str">
        <f>IF(AND(BK$5&gt;=설정!$E$8,BK$5&lt;=설정!$F$8),N15,"")</f>
        <v/>
      </c>
      <c r="BL15" s="40">
        <f>IF(AND(BL$5&gt;=설정!$E$8,BL$5&lt;=설정!$F$8),O15,"")</f>
        <v>7.43</v>
      </c>
      <c r="BM15" s="40">
        <f>IF(AND(BM$5&gt;=설정!$E$8,BM$5&lt;=설정!$F$8),P15,"")</f>
        <v>6.96</v>
      </c>
      <c r="BN15" s="40">
        <f>IF(AND(BN$5&gt;=설정!$E$8,BN$5&lt;=설정!$F$8),Q15,"")</f>
        <v>6.62</v>
      </c>
      <c r="BO15" s="40">
        <f>IF(AND(BO$5&gt;=설정!$E$8,BO$5&lt;=설정!$F$8),R15,"")</f>
        <v>6.37</v>
      </c>
      <c r="BP15" s="40">
        <f>IF(AND(BP$5&gt;=설정!$E$8,BP$5&lt;=설정!$F$8),S15,"")</f>
        <v>6.24</v>
      </c>
      <c r="BQ15" s="40">
        <f>IF(AND(BQ$5&gt;=설정!$E$8,BQ$5&lt;=설정!$F$8),T15,"")</f>
        <v>6.2</v>
      </c>
      <c r="BR15" s="40">
        <f>IF(AND(BR$5&gt;=설정!$E$8,BR$5&lt;=설정!$F$8),U15,"")</f>
        <v>6.24</v>
      </c>
      <c r="BS15" s="40">
        <f>IF(AND(BS$5&gt;=설정!$E$8,BS$5&lt;=설정!$F$8),V15,"")</f>
        <v>6.32</v>
      </c>
      <c r="BT15" s="40">
        <f>IF(AND(BT$5&gt;=설정!$E$8,BT$5&lt;=설정!$F$8),W15,"")</f>
        <v>6.42</v>
      </c>
      <c r="BU15" s="40">
        <f>IF(AND(BU$5&gt;=설정!$E$8,BU$5&lt;=설정!$F$8),X15,"")</f>
        <v>6.56</v>
      </c>
      <c r="BV15" s="40">
        <f>IF(AND(BV$5&gt;=설정!$E$8,BV$5&lt;=설정!$F$8),Y15,"")</f>
        <v>6.74</v>
      </c>
      <c r="BW15" s="40">
        <f>IF(AND(BW$5&gt;=설정!$E$8,BW$5&lt;=설정!$F$8),Z15,"")</f>
        <v>6.93</v>
      </c>
      <c r="BX15" s="40">
        <f>IF(AND(BX$5&gt;=설정!$E$8,BX$5&lt;=설정!$F$8),AA15,"")</f>
        <v>7.12</v>
      </c>
      <c r="BY15" s="40" t="str">
        <f>IF(AND(BY$5&gt;=설정!$E$8,BY$5&lt;=설정!$F$8),AB15,"")</f>
        <v/>
      </c>
      <c r="BZ15" s="40" t="str">
        <f>IF(AND(BZ$5&gt;=설정!$E$8,BZ$5&lt;=설정!$F$8),AC15,"")</f>
        <v/>
      </c>
      <c r="CA15" s="40" t="str">
        <f>IF(AND(CA$5&gt;=설정!$E$8,CA$5&lt;=설정!$F$8),AD15,"")</f>
        <v/>
      </c>
      <c r="CB15" s="40" t="str">
        <f>IF(AND(CB$5&gt;=설정!$E$8,CB$5&lt;=설정!$F$8),AE15,"")</f>
        <v/>
      </c>
      <c r="CC15" s="40" t="str">
        <f>IF(AND(CC$5&gt;=설정!$E$8,CC$5&lt;=설정!$F$8),AF15,"")</f>
        <v/>
      </c>
      <c r="CD15" s="40" t="str">
        <f>IF(AND(CD$5&gt;=설정!$E$8,CD$5&lt;=설정!$F$8),AG15,"")</f>
        <v/>
      </c>
      <c r="CE15" s="40" t="str">
        <f>IF(AND(CE$5&gt;=설정!$E$8,CE$5&lt;=설정!$F$8),AH15,"")</f>
        <v/>
      </c>
      <c r="CF15" s="40" t="str">
        <f>IF(AND(CF$5&gt;=설정!$E$8,CF$5&lt;=설정!$F$8),AI15,"")</f>
        <v/>
      </c>
      <c r="CG15" s="40" t="str">
        <f>IF(AND(CG$5&gt;=설정!$E$8,CG$5&lt;=설정!$F$8),AJ15,"")</f>
        <v/>
      </c>
      <c r="CH15" s="40" t="str">
        <f>IF(AND(CH$5&gt;=설정!$E$8,CH$5&lt;=설정!$F$8),AK15,"")</f>
        <v/>
      </c>
      <c r="CI15" s="40" t="str">
        <f>IF(AND(CI$5&gt;=설정!$E$8,CI$5&lt;=설정!$F$8),AL15,"")</f>
        <v/>
      </c>
      <c r="CJ15" s="40" t="str">
        <f>IF(AND(CJ$5&gt;=설정!$E$8,CJ$5&lt;=설정!$F$8),AM15,"")</f>
        <v/>
      </c>
      <c r="CK15" s="40" t="str">
        <f>IF(AND(CK$5&gt;=설정!$E$8,CK$5&lt;=설정!$F$8),AN15,"")</f>
        <v/>
      </c>
      <c r="CL15" s="40" t="str">
        <f>IF(AND(CL$5&gt;=설정!$E$8,CL$5&lt;=설정!$F$8),AO15,"")</f>
        <v/>
      </c>
      <c r="CM15" s="40" t="str">
        <f>IF(AND(CM$5&gt;=설정!$E$8,CM$5&lt;=설정!$F$8),AP15,"")</f>
        <v/>
      </c>
      <c r="CN15" s="40" t="str">
        <f>IF(AND(CN$5&gt;=설정!$E$8,CN$5&lt;=설정!$F$8),AQ15,"")</f>
        <v/>
      </c>
      <c r="CO15" s="40" t="str">
        <f>IF(AND(CO$5&gt;=설정!$E$8,CO$5&lt;=설정!$F$8),AR15,"")</f>
        <v/>
      </c>
      <c r="CP15" s="40" t="str">
        <f>IF(AND(CP$5&gt;=설정!$E$8,CP$5&lt;=설정!$F$8),AS15,"")</f>
        <v/>
      </c>
      <c r="CQ15" s="40" t="str">
        <f>IF(AND(CQ$5&gt;=설정!$E$8,CQ$5&lt;=설정!$F$8),AT15,"")</f>
        <v/>
      </c>
    </row>
    <row r="16" spans="1:95" ht="19.95" customHeight="1">
      <c r="A16" s="28">
        <v>11</v>
      </c>
      <c r="B16" s="25" t="s">
        <v>108</v>
      </c>
      <c r="C16" s="39">
        <v>32.299999999999997</v>
      </c>
      <c r="D16" s="39">
        <v>4.6500000000000004</v>
      </c>
      <c r="E16" s="39">
        <v>1</v>
      </c>
      <c r="F16" s="39">
        <v>7.22</v>
      </c>
      <c r="G16" s="25" t="s">
        <v>83</v>
      </c>
      <c r="H16" s="39">
        <v>17.68</v>
      </c>
      <c r="I16" s="39">
        <v>15.24</v>
      </c>
      <c r="J16" s="39">
        <v>13.35</v>
      </c>
      <c r="K16" s="39">
        <v>11.72</v>
      </c>
      <c r="L16" s="39">
        <v>10.4</v>
      </c>
      <c r="M16" s="39">
        <v>9.26</v>
      </c>
      <c r="N16" s="39">
        <v>8.32</v>
      </c>
      <c r="O16" s="39">
        <v>7.62</v>
      </c>
      <c r="P16" s="39">
        <v>7.13</v>
      </c>
      <c r="Q16" s="39">
        <v>6.75</v>
      </c>
      <c r="R16" s="39">
        <v>6.5</v>
      </c>
      <c r="S16" s="39">
        <v>6.34</v>
      </c>
      <c r="T16" s="39">
        <v>6.25</v>
      </c>
      <c r="U16" s="39">
        <v>6.3</v>
      </c>
      <c r="V16" s="39">
        <v>6.35</v>
      </c>
      <c r="W16" s="39">
        <v>6.44</v>
      </c>
      <c r="X16" s="39">
        <v>6.55</v>
      </c>
      <c r="Y16" s="39">
        <v>6.71</v>
      </c>
      <c r="Z16" s="39">
        <v>6.89</v>
      </c>
      <c r="AA16" s="39">
        <v>7.06</v>
      </c>
      <c r="AB16" s="39">
        <v>7.26</v>
      </c>
      <c r="AC16" s="39">
        <v>7.46</v>
      </c>
      <c r="AD16" s="39">
        <v>7.66</v>
      </c>
      <c r="AE16" s="39">
        <v>7.83</v>
      </c>
      <c r="AF16" s="39">
        <v>8.0500000000000007</v>
      </c>
      <c r="AG16" s="39">
        <v>8.25</v>
      </c>
      <c r="AH16" s="39">
        <v>8.43</v>
      </c>
      <c r="AI16" s="39">
        <v>8.59</v>
      </c>
      <c r="AJ16" s="39">
        <v>8.8000000000000007</v>
      </c>
      <c r="AK16" s="39">
        <v>8.93</v>
      </c>
      <c r="AL16" s="39">
        <v>9.1300000000000008</v>
      </c>
      <c r="AM16" s="39">
        <v>9.26</v>
      </c>
      <c r="AN16" s="39">
        <v>9.43</v>
      </c>
      <c r="AO16" s="39">
        <v>9.6</v>
      </c>
      <c r="AP16" s="39">
        <v>9.7200000000000006</v>
      </c>
      <c r="AQ16" s="39">
        <v>9.86</v>
      </c>
      <c r="AR16" s="39">
        <v>9.94</v>
      </c>
      <c r="AS16" s="39">
        <v>10.07</v>
      </c>
      <c r="AT16" s="39">
        <v>10.18</v>
      </c>
      <c r="AU16" s="21">
        <f>IF(OR(설정!$E$8&gt;설정!$F$8,COUNT(H16:AT16)=0),"",MIN(BE16:CQ16))</f>
        <v>6.25</v>
      </c>
      <c r="AV16" s="21">
        <f t="shared" si="0"/>
        <v>480</v>
      </c>
      <c r="AW16" s="21">
        <f>IF(OR(설정!$E$8&gt;설정!$F$8,COUNT(H16:AT16)=0),"",MAX(BE16:CQ16))</f>
        <v>7.62</v>
      </c>
      <c r="AX16" s="21">
        <f t="shared" si="1"/>
        <v>430</v>
      </c>
      <c r="AY16" s="35"/>
      <c r="AZ16" s="19">
        <f>IF(AY16&lt;&gt;"",AY16,IF(설정!$C$8="최소",AV16,AX16))</f>
        <v>480</v>
      </c>
      <c r="BA16" s="20">
        <f>IF(AZ16="","",IF(OR(AZ16&lt;굴절률!$A$6,AZ16&gt;굴절률!$A$44),"",IF(COUNTIFS(굴절률!$A$6:$A$44,AZ16)&gt;0,INDEX(굴절률!$D$6:$D$44,MATCH(AZ16,굴절률!$A$6:$A$44,0)),INDEX(굴절률!$D$6:$D$44,MATCH(AZ16,굴절률!$A$6:$A$44,1))+(AZ16-INDEX(굴절률!$A$6:$A$44,MATCH(AZ16,굴절률!$A$6:$A$44,1)))*(INDEX(굴절률!$D$6:$D$44,MATCH(AZ16,굴절률!$A$6:$A$44,1)+1)-INDEX(굴절률!$D$6:$D$44,MATCH(AZ16,굴절률!$A$6:$A$44,1)))/(INDEX(굴절률!$A$6:$A$44,MATCH(AZ16,굴절률!$A$6:$A$44,1)+1)-INDEX(굴절률!$A$6:$A$44,MATCH(AZ16,굴절률!$A$6:$A$44,1))))))</f>
        <v>1.4706900000000001</v>
      </c>
      <c r="BB16" s="20">
        <f>설정!$C$16</f>
        <v>10</v>
      </c>
      <c r="BC16" s="21">
        <f>IF(OR(AZ16="",설정!$C$16="",설정!$C$16&lt;8,설정!$C$16&gt;15),"",IF(COUNTIFS('TMM 계산표'!$B$5:$I$5,설정!$C$16)&gt;0,INDEX('TMM 계산표'!$B$6:$I$3806,MATCH(AZ16,'TMM 계산표'!$A$6:$A$3806,1),MATCH(설정!$C$16,'TMM 계산표'!$B$5:$I$5,0)),INDEX('TMM 계산표'!$B$6:$I$3806,MATCH(AZ16,'TMM 계산표'!$A$6:$A$3806,1),MATCH(설정!$C$16,'TMM 계산표'!$B$5:$I$5,1))+(설정!$C$16-INDEX('TMM 계산표'!$B$5:$I$5,1,MATCH(설정!$C$16,'TMM 계산표'!$B$5:$I$5,1)))*(INDEX('TMM 계산표'!$B$6:$I$3806,MATCH(AZ16,'TMM 계산표'!$A$6:$A$3806,1),MATCH(설정!$C$16,'TMM 계산표'!$B$5:$I$5,1)+1)-INDEX('TMM 계산표'!$B$6:$I$3806,MATCH(AZ16,'TMM 계산표'!$A$6:$A$3806,1),MATCH(설정!$C$16,'TMM 계산표'!$B$5:$I$5,1)))/(INDEX('TMM 계산표'!$B$5:$I$5,1,MATCH(설정!$C$16,'TMM 계산표'!$B$5:$I$5,1)+1)-INDEX('TMM 계산표'!$B$5:$I$5,1,MATCH(설정!$C$16,'TMM 계산표'!$B$5:$I$5,1)))))</f>
        <v>96.286802851041898</v>
      </c>
      <c r="BD16" s="23" t="str">
        <f>IF(COUNT(H16:AT16)=0,"입력 필요",IF(COUNT(H16:AT16)&lt;&gt;39,"데이터 점검",IF(OR(설정!$C$16="",설정!$C$16&lt;8,설정!$C$16&gt;15),"Nb 두께 입력 확인",IF(OR(설정!$E$8&gt;설정!$F$8,설정!$E$8&lt;360,설정!$F$8&gt;740),"검색 범위 오류",IF(AY16&lt;&gt;"","수동 파장",IF(OR(AZ16=설정!$E$8,AZ16=설정!$F$8),"경계 극값 확인","완료"))))))</f>
        <v>완료</v>
      </c>
      <c r="BE16" s="40" t="str">
        <f>IF(AND(BE$5&gt;=설정!$E$8,BE$5&lt;=설정!$F$8),H16,"")</f>
        <v/>
      </c>
      <c r="BF16" s="40" t="str">
        <f>IF(AND(BF$5&gt;=설정!$E$8,BF$5&lt;=설정!$F$8),I16,"")</f>
        <v/>
      </c>
      <c r="BG16" s="40" t="str">
        <f>IF(AND(BG$5&gt;=설정!$E$8,BG$5&lt;=설정!$F$8),J16,"")</f>
        <v/>
      </c>
      <c r="BH16" s="40" t="str">
        <f>IF(AND(BH$5&gt;=설정!$E$8,BH$5&lt;=설정!$F$8),K16,"")</f>
        <v/>
      </c>
      <c r="BI16" s="40" t="str">
        <f>IF(AND(BI$5&gt;=설정!$E$8,BI$5&lt;=설정!$F$8),L16,"")</f>
        <v/>
      </c>
      <c r="BJ16" s="40" t="str">
        <f>IF(AND(BJ$5&gt;=설정!$E$8,BJ$5&lt;=설정!$F$8),M16,"")</f>
        <v/>
      </c>
      <c r="BK16" s="40" t="str">
        <f>IF(AND(BK$5&gt;=설정!$E$8,BK$5&lt;=설정!$F$8),N16,"")</f>
        <v/>
      </c>
      <c r="BL16" s="40">
        <f>IF(AND(BL$5&gt;=설정!$E$8,BL$5&lt;=설정!$F$8),O16,"")</f>
        <v>7.62</v>
      </c>
      <c r="BM16" s="40">
        <f>IF(AND(BM$5&gt;=설정!$E$8,BM$5&lt;=설정!$F$8),P16,"")</f>
        <v>7.13</v>
      </c>
      <c r="BN16" s="40">
        <f>IF(AND(BN$5&gt;=설정!$E$8,BN$5&lt;=설정!$F$8),Q16,"")</f>
        <v>6.75</v>
      </c>
      <c r="BO16" s="40">
        <f>IF(AND(BO$5&gt;=설정!$E$8,BO$5&lt;=설정!$F$8),R16,"")</f>
        <v>6.5</v>
      </c>
      <c r="BP16" s="40">
        <f>IF(AND(BP$5&gt;=설정!$E$8,BP$5&lt;=설정!$F$8),S16,"")</f>
        <v>6.34</v>
      </c>
      <c r="BQ16" s="40">
        <f>IF(AND(BQ$5&gt;=설정!$E$8,BQ$5&lt;=설정!$F$8),T16,"")</f>
        <v>6.25</v>
      </c>
      <c r="BR16" s="40">
        <f>IF(AND(BR$5&gt;=설정!$E$8,BR$5&lt;=설정!$F$8),U16,"")</f>
        <v>6.3</v>
      </c>
      <c r="BS16" s="40">
        <f>IF(AND(BS$5&gt;=설정!$E$8,BS$5&lt;=설정!$F$8),V16,"")</f>
        <v>6.35</v>
      </c>
      <c r="BT16" s="40">
        <f>IF(AND(BT$5&gt;=설정!$E$8,BT$5&lt;=설정!$F$8),W16,"")</f>
        <v>6.44</v>
      </c>
      <c r="BU16" s="40">
        <f>IF(AND(BU$5&gt;=설정!$E$8,BU$5&lt;=설정!$F$8),X16,"")</f>
        <v>6.55</v>
      </c>
      <c r="BV16" s="40">
        <f>IF(AND(BV$5&gt;=설정!$E$8,BV$5&lt;=설정!$F$8),Y16,"")</f>
        <v>6.71</v>
      </c>
      <c r="BW16" s="40">
        <f>IF(AND(BW$5&gt;=설정!$E$8,BW$5&lt;=설정!$F$8),Z16,"")</f>
        <v>6.89</v>
      </c>
      <c r="BX16" s="40">
        <f>IF(AND(BX$5&gt;=설정!$E$8,BX$5&lt;=설정!$F$8),AA16,"")</f>
        <v>7.06</v>
      </c>
      <c r="BY16" s="40" t="str">
        <f>IF(AND(BY$5&gt;=설정!$E$8,BY$5&lt;=설정!$F$8),AB16,"")</f>
        <v/>
      </c>
      <c r="BZ16" s="40" t="str">
        <f>IF(AND(BZ$5&gt;=설정!$E$8,BZ$5&lt;=설정!$F$8),AC16,"")</f>
        <v/>
      </c>
      <c r="CA16" s="40" t="str">
        <f>IF(AND(CA$5&gt;=설정!$E$8,CA$5&lt;=설정!$F$8),AD16,"")</f>
        <v/>
      </c>
      <c r="CB16" s="40" t="str">
        <f>IF(AND(CB$5&gt;=설정!$E$8,CB$5&lt;=설정!$F$8),AE16,"")</f>
        <v/>
      </c>
      <c r="CC16" s="40" t="str">
        <f>IF(AND(CC$5&gt;=설정!$E$8,CC$5&lt;=설정!$F$8),AF16,"")</f>
        <v/>
      </c>
      <c r="CD16" s="40" t="str">
        <f>IF(AND(CD$5&gt;=설정!$E$8,CD$5&lt;=설정!$F$8),AG16,"")</f>
        <v/>
      </c>
      <c r="CE16" s="40" t="str">
        <f>IF(AND(CE$5&gt;=설정!$E$8,CE$5&lt;=설정!$F$8),AH16,"")</f>
        <v/>
      </c>
      <c r="CF16" s="40" t="str">
        <f>IF(AND(CF$5&gt;=설정!$E$8,CF$5&lt;=설정!$F$8),AI16,"")</f>
        <v/>
      </c>
      <c r="CG16" s="40" t="str">
        <f>IF(AND(CG$5&gt;=설정!$E$8,CG$5&lt;=설정!$F$8),AJ16,"")</f>
        <v/>
      </c>
      <c r="CH16" s="40" t="str">
        <f>IF(AND(CH$5&gt;=설정!$E$8,CH$5&lt;=설정!$F$8),AK16,"")</f>
        <v/>
      </c>
      <c r="CI16" s="40" t="str">
        <f>IF(AND(CI$5&gt;=설정!$E$8,CI$5&lt;=설정!$F$8),AL16,"")</f>
        <v/>
      </c>
      <c r="CJ16" s="40" t="str">
        <f>IF(AND(CJ$5&gt;=설정!$E$8,CJ$5&lt;=설정!$F$8),AM16,"")</f>
        <v/>
      </c>
      <c r="CK16" s="40" t="str">
        <f>IF(AND(CK$5&gt;=설정!$E$8,CK$5&lt;=설정!$F$8),AN16,"")</f>
        <v/>
      </c>
      <c r="CL16" s="40" t="str">
        <f>IF(AND(CL$5&gt;=설정!$E$8,CL$5&lt;=설정!$F$8),AO16,"")</f>
        <v/>
      </c>
      <c r="CM16" s="40" t="str">
        <f>IF(AND(CM$5&gt;=설정!$E$8,CM$5&lt;=설정!$F$8),AP16,"")</f>
        <v/>
      </c>
      <c r="CN16" s="40" t="str">
        <f>IF(AND(CN$5&gt;=설정!$E$8,CN$5&lt;=설정!$F$8),AQ16,"")</f>
        <v/>
      </c>
      <c r="CO16" s="40" t="str">
        <f>IF(AND(CO$5&gt;=설정!$E$8,CO$5&lt;=설정!$F$8),AR16,"")</f>
        <v/>
      </c>
      <c r="CP16" s="40" t="str">
        <f>IF(AND(CP$5&gt;=설정!$E$8,CP$5&lt;=설정!$F$8),AS16,"")</f>
        <v/>
      </c>
      <c r="CQ16" s="40" t="str">
        <f>IF(AND(CQ$5&gt;=설정!$E$8,CQ$5&lt;=설정!$F$8),AT16,"")</f>
        <v/>
      </c>
    </row>
    <row r="17" spans="1:95" ht="19.95" customHeight="1">
      <c r="A17" s="28">
        <v>12</v>
      </c>
      <c r="B17" s="25" t="s">
        <v>109</v>
      </c>
      <c r="C17" s="39">
        <v>32.270000000000003</v>
      </c>
      <c r="D17" s="39">
        <v>4.4800000000000004</v>
      </c>
      <c r="E17" s="39">
        <v>0.89</v>
      </c>
      <c r="F17" s="39">
        <v>7.21</v>
      </c>
      <c r="G17" s="25" t="s">
        <v>83</v>
      </c>
      <c r="H17" s="39">
        <v>17.21</v>
      </c>
      <c r="I17" s="39">
        <v>14.9</v>
      </c>
      <c r="J17" s="39">
        <v>13.11</v>
      </c>
      <c r="K17" s="39">
        <v>11.54</v>
      </c>
      <c r="L17" s="39">
        <v>10.28</v>
      </c>
      <c r="M17" s="39">
        <v>9.2100000000000009</v>
      </c>
      <c r="N17" s="39">
        <v>8.2899999999999991</v>
      </c>
      <c r="O17" s="39">
        <v>7.62</v>
      </c>
      <c r="P17" s="39">
        <v>7.14</v>
      </c>
      <c r="Q17" s="39">
        <v>6.79</v>
      </c>
      <c r="R17" s="39">
        <v>6.52</v>
      </c>
      <c r="S17" s="39">
        <v>6.38</v>
      </c>
      <c r="T17" s="39">
        <v>6.29</v>
      </c>
      <c r="U17" s="39">
        <v>6.34</v>
      </c>
      <c r="V17" s="39">
        <v>6.38</v>
      </c>
      <c r="W17" s="39">
        <v>6.46</v>
      </c>
      <c r="X17" s="39">
        <v>6.56</v>
      </c>
      <c r="Y17" s="39">
        <v>6.72</v>
      </c>
      <c r="Z17" s="39">
        <v>6.9</v>
      </c>
      <c r="AA17" s="39">
        <v>7.05</v>
      </c>
      <c r="AB17" s="39">
        <v>7.23</v>
      </c>
      <c r="AC17" s="39">
        <v>7.44</v>
      </c>
      <c r="AD17" s="39">
        <v>7.62</v>
      </c>
      <c r="AE17" s="39">
        <v>7.8</v>
      </c>
      <c r="AF17" s="39">
        <v>8.01</v>
      </c>
      <c r="AG17" s="39">
        <v>8.19</v>
      </c>
      <c r="AH17" s="39">
        <v>8.36</v>
      </c>
      <c r="AI17" s="39">
        <v>8.52</v>
      </c>
      <c r="AJ17" s="39">
        <v>8.7200000000000006</v>
      </c>
      <c r="AK17" s="39">
        <v>8.8699999999999992</v>
      </c>
      <c r="AL17" s="39">
        <v>9.0500000000000007</v>
      </c>
      <c r="AM17" s="39">
        <v>9.16</v>
      </c>
      <c r="AN17" s="39">
        <v>9.32</v>
      </c>
      <c r="AO17" s="39">
        <v>9.49</v>
      </c>
      <c r="AP17" s="39">
        <v>9.6199999999999992</v>
      </c>
      <c r="AQ17" s="39">
        <v>9.77</v>
      </c>
      <c r="AR17" s="39">
        <v>9.84</v>
      </c>
      <c r="AS17" s="39">
        <v>9.99</v>
      </c>
      <c r="AT17" s="39">
        <v>10.1</v>
      </c>
      <c r="AU17" s="21">
        <f>IF(OR(설정!$E$8&gt;설정!$F$8,COUNT(H17:AT17)=0),"",MIN(BE17:CQ17))</f>
        <v>6.29</v>
      </c>
      <c r="AV17" s="21">
        <f t="shared" si="0"/>
        <v>480</v>
      </c>
      <c r="AW17" s="21">
        <f>IF(OR(설정!$E$8&gt;설정!$F$8,COUNT(H17:AT17)=0),"",MAX(BE17:CQ17))</f>
        <v>7.62</v>
      </c>
      <c r="AX17" s="21">
        <f t="shared" si="1"/>
        <v>430</v>
      </c>
      <c r="AY17" s="35"/>
      <c r="AZ17" s="19">
        <f>IF(AY17&lt;&gt;"",AY17,IF(설정!$C$8="최소",AV17,AX17))</f>
        <v>480</v>
      </c>
      <c r="BA17" s="20">
        <f>IF(AZ17="","",IF(OR(AZ17&lt;굴절률!$A$6,AZ17&gt;굴절률!$A$44),"",IF(COUNTIFS(굴절률!$A$6:$A$44,AZ17)&gt;0,INDEX(굴절률!$D$6:$D$44,MATCH(AZ17,굴절률!$A$6:$A$44,0)),INDEX(굴절률!$D$6:$D$44,MATCH(AZ17,굴절률!$A$6:$A$44,1))+(AZ17-INDEX(굴절률!$A$6:$A$44,MATCH(AZ17,굴절률!$A$6:$A$44,1)))*(INDEX(굴절률!$D$6:$D$44,MATCH(AZ17,굴절률!$A$6:$A$44,1)+1)-INDEX(굴절률!$D$6:$D$44,MATCH(AZ17,굴절률!$A$6:$A$44,1)))/(INDEX(굴절률!$A$6:$A$44,MATCH(AZ17,굴절률!$A$6:$A$44,1)+1)-INDEX(굴절률!$A$6:$A$44,MATCH(AZ17,굴절률!$A$6:$A$44,1))))))</f>
        <v>1.4706900000000001</v>
      </c>
      <c r="BB17" s="20">
        <f>설정!$C$16</f>
        <v>10</v>
      </c>
      <c r="BC17" s="21">
        <f>IF(OR(AZ17="",설정!$C$16="",설정!$C$16&lt;8,설정!$C$16&gt;15),"",IF(COUNTIFS('TMM 계산표'!$B$5:$I$5,설정!$C$16)&gt;0,INDEX('TMM 계산표'!$B$6:$I$3806,MATCH(AZ17,'TMM 계산표'!$A$6:$A$3806,1),MATCH(설정!$C$16,'TMM 계산표'!$B$5:$I$5,0)),INDEX('TMM 계산표'!$B$6:$I$3806,MATCH(AZ17,'TMM 계산표'!$A$6:$A$3806,1),MATCH(설정!$C$16,'TMM 계산표'!$B$5:$I$5,1))+(설정!$C$16-INDEX('TMM 계산표'!$B$5:$I$5,1,MATCH(설정!$C$16,'TMM 계산표'!$B$5:$I$5,1)))*(INDEX('TMM 계산표'!$B$6:$I$3806,MATCH(AZ17,'TMM 계산표'!$A$6:$A$3806,1),MATCH(설정!$C$16,'TMM 계산표'!$B$5:$I$5,1)+1)-INDEX('TMM 계산표'!$B$6:$I$3806,MATCH(AZ17,'TMM 계산표'!$A$6:$A$3806,1),MATCH(설정!$C$16,'TMM 계산표'!$B$5:$I$5,1)))/(INDEX('TMM 계산표'!$B$5:$I$5,1,MATCH(설정!$C$16,'TMM 계산표'!$B$5:$I$5,1)+1)-INDEX('TMM 계산표'!$B$5:$I$5,1,MATCH(설정!$C$16,'TMM 계산표'!$B$5:$I$5,1)))))</f>
        <v>96.286802851041898</v>
      </c>
      <c r="BD17" s="23" t="str">
        <f>IF(COUNT(H17:AT17)=0,"입력 필요",IF(COUNT(H17:AT17)&lt;&gt;39,"데이터 점검",IF(OR(설정!$C$16="",설정!$C$16&lt;8,설정!$C$16&gt;15),"Nb 두께 입력 확인",IF(OR(설정!$E$8&gt;설정!$F$8,설정!$E$8&lt;360,설정!$F$8&gt;740),"검색 범위 오류",IF(AY17&lt;&gt;"","수동 파장",IF(OR(AZ17=설정!$E$8,AZ17=설정!$F$8),"경계 극값 확인","완료"))))))</f>
        <v>완료</v>
      </c>
      <c r="BE17" s="40" t="str">
        <f>IF(AND(BE$5&gt;=설정!$E$8,BE$5&lt;=설정!$F$8),H17,"")</f>
        <v/>
      </c>
      <c r="BF17" s="40" t="str">
        <f>IF(AND(BF$5&gt;=설정!$E$8,BF$5&lt;=설정!$F$8),I17,"")</f>
        <v/>
      </c>
      <c r="BG17" s="40" t="str">
        <f>IF(AND(BG$5&gt;=설정!$E$8,BG$5&lt;=설정!$F$8),J17,"")</f>
        <v/>
      </c>
      <c r="BH17" s="40" t="str">
        <f>IF(AND(BH$5&gt;=설정!$E$8,BH$5&lt;=설정!$F$8),K17,"")</f>
        <v/>
      </c>
      <c r="BI17" s="40" t="str">
        <f>IF(AND(BI$5&gt;=설정!$E$8,BI$5&lt;=설정!$F$8),L17,"")</f>
        <v/>
      </c>
      <c r="BJ17" s="40" t="str">
        <f>IF(AND(BJ$5&gt;=설정!$E$8,BJ$5&lt;=설정!$F$8),M17,"")</f>
        <v/>
      </c>
      <c r="BK17" s="40" t="str">
        <f>IF(AND(BK$5&gt;=설정!$E$8,BK$5&lt;=설정!$F$8),N17,"")</f>
        <v/>
      </c>
      <c r="BL17" s="40">
        <f>IF(AND(BL$5&gt;=설정!$E$8,BL$5&lt;=설정!$F$8),O17,"")</f>
        <v>7.62</v>
      </c>
      <c r="BM17" s="40">
        <f>IF(AND(BM$5&gt;=설정!$E$8,BM$5&lt;=설정!$F$8),P17,"")</f>
        <v>7.14</v>
      </c>
      <c r="BN17" s="40">
        <f>IF(AND(BN$5&gt;=설정!$E$8,BN$5&lt;=설정!$F$8),Q17,"")</f>
        <v>6.79</v>
      </c>
      <c r="BO17" s="40">
        <f>IF(AND(BO$5&gt;=설정!$E$8,BO$5&lt;=설정!$F$8),R17,"")</f>
        <v>6.52</v>
      </c>
      <c r="BP17" s="40">
        <f>IF(AND(BP$5&gt;=설정!$E$8,BP$5&lt;=설정!$F$8),S17,"")</f>
        <v>6.38</v>
      </c>
      <c r="BQ17" s="40">
        <f>IF(AND(BQ$5&gt;=설정!$E$8,BQ$5&lt;=설정!$F$8),T17,"")</f>
        <v>6.29</v>
      </c>
      <c r="BR17" s="40">
        <f>IF(AND(BR$5&gt;=설정!$E$8,BR$5&lt;=설정!$F$8),U17,"")</f>
        <v>6.34</v>
      </c>
      <c r="BS17" s="40">
        <f>IF(AND(BS$5&gt;=설정!$E$8,BS$5&lt;=설정!$F$8),V17,"")</f>
        <v>6.38</v>
      </c>
      <c r="BT17" s="40">
        <f>IF(AND(BT$5&gt;=설정!$E$8,BT$5&lt;=설정!$F$8),W17,"")</f>
        <v>6.46</v>
      </c>
      <c r="BU17" s="40">
        <f>IF(AND(BU$5&gt;=설정!$E$8,BU$5&lt;=설정!$F$8),X17,"")</f>
        <v>6.56</v>
      </c>
      <c r="BV17" s="40">
        <f>IF(AND(BV$5&gt;=설정!$E$8,BV$5&lt;=설정!$F$8),Y17,"")</f>
        <v>6.72</v>
      </c>
      <c r="BW17" s="40">
        <f>IF(AND(BW$5&gt;=설정!$E$8,BW$5&lt;=설정!$F$8),Z17,"")</f>
        <v>6.9</v>
      </c>
      <c r="BX17" s="40">
        <f>IF(AND(BX$5&gt;=설정!$E$8,BX$5&lt;=설정!$F$8),AA17,"")</f>
        <v>7.05</v>
      </c>
      <c r="BY17" s="40" t="str">
        <f>IF(AND(BY$5&gt;=설정!$E$8,BY$5&lt;=설정!$F$8),AB17,"")</f>
        <v/>
      </c>
      <c r="BZ17" s="40" t="str">
        <f>IF(AND(BZ$5&gt;=설정!$E$8,BZ$5&lt;=설정!$F$8),AC17,"")</f>
        <v/>
      </c>
      <c r="CA17" s="40" t="str">
        <f>IF(AND(CA$5&gt;=설정!$E$8,CA$5&lt;=설정!$F$8),AD17,"")</f>
        <v/>
      </c>
      <c r="CB17" s="40" t="str">
        <f>IF(AND(CB$5&gt;=설정!$E$8,CB$5&lt;=설정!$F$8),AE17,"")</f>
        <v/>
      </c>
      <c r="CC17" s="40" t="str">
        <f>IF(AND(CC$5&gt;=설정!$E$8,CC$5&lt;=설정!$F$8),AF17,"")</f>
        <v/>
      </c>
      <c r="CD17" s="40" t="str">
        <f>IF(AND(CD$5&gt;=설정!$E$8,CD$5&lt;=설정!$F$8),AG17,"")</f>
        <v/>
      </c>
      <c r="CE17" s="40" t="str">
        <f>IF(AND(CE$5&gt;=설정!$E$8,CE$5&lt;=설정!$F$8),AH17,"")</f>
        <v/>
      </c>
      <c r="CF17" s="40" t="str">
        <f>IF(AND(CF$5&gt;=설정!$E$8,CF$5&lt;=설정!$F$8),AI17,"")</f>
        <v/>
      </c>
      <c r="CG17" s="40" t="str">
        <f>IF(AND(CG$5&gt;=설정!$E$8,CG$5&lt;=설정!$F$8),AJ17,"")</f>
        <v/>
      </c>
      <c r="CH17" s="40" t="str">
        <f>IF(AND(CH$5&gt;=설정!$E$8,CH$5&lt;=설정!$F$8),AK17,"")</f>
        <v/>
      </c>
      <c r="CI17" s="40" t="str">
        <f>IF(AND(CI$5&gt;=설정!$E$8,CI$5&lt;=설정!$F$8),AL17,"")</f>
        <v/>
      </c>
      <c r="CJ17" s="40" t="str">
        <f>IF(AND(CJ$5&gt;=설정!$E$8,CJ$5&lt;=설정!$F$8),AM17,"")</f>
        <v/>
      </c>
      <c r="CK17" s="40" t="str">
        <f>IF(AND(CK$5&gt;=설정!$E$8,CK$5&lt;=설정!$F$8),AN17,"")</f>
        <v/>
      </c>
      <c r="CL17" s="40" t="str">
        <f>IF(AND(CL$5&gt;=설정!$E$8,CL$5&lt;=설정!$F$8),AO17,"")</f>
        <v/>
      </c>
      <c r="CM17" s="40" t="str">
        <f>IF(AND(CM$5&gt;=설정!$E$8,CM$5&lt;=설정!$F$8),AP17,"")</f>
        <v/>
      </c>
      <c r="CN17" s="40" t="str">
        <f>IF(AND(CN$5&gt;=설정!$E$8,CN$5&lt;=설정!$F$8),AQ17,"")</f>
        <v/>
      </c>
      <c r="CO17" s="40" t="str">
        <f>IF(AND(CO$5&gt;=설정!$E$8,CO$5&lt;=설정!$F$8),AR17,"")</f>
        <v/>
      </c>
      <c r="CP17" s="40" t="str">
        <f>IF(AND(CP$5&gt;=설정!$E$8,CP$5&lt;=설정!$F$8),AS17,"")</f>
        <v/>
      </c>
      <c r="CQ17" s="40" t="str">
        <f>IF(AND(CQ$5&gt;=설정!$E$8,CQ$5&lt;=설정!$F$8),AT17,"")</f>
        <v/>
      </c>
    </row>
    <row r="18" spans="1:95" ht="19.95" customHeight="1">
      <c r="A18" s="28">
        <v>13</v>
      </c>
      <c r="B18" s="25" t="s">
        <v>110</v>
      </c>
      <c r="C18" s="39">
        <v>32.24</v>
      </c>
      <c r="D18" s="39">
        <v>4.34</v>
      </c>
      <c r="E18" s="39">
        <v>1.1000000000000001</v>
      </c>
      <c r="F18" s="39">
        <v>7.19</v>
      </c>
      <c r="G18" s="25" t="s">
        <v>83</v>
      </c>
      <c r="H18" s="39">
        <v>16.739999999999998</v>
      </c>
      <c r="I18" s="39">
        <v>14.45</v>
      </c>
      <c r="J18" s="39">
        <v>12.76</v>
      </c>
      <c r="K18" s="39">
        <v>11.25</v>
      </c>
      <c r="L18" s="39">
        <v>10.029999999999999</v>
      </c>
      <c r="M18" s="39">
        <v>9.02</v>
      </c>
      <c r="N18" s="39">
        <v>8.14</v>
      </c>
      <c r="O18" s="39">
        <v>7.53</v>
      </c>
      <c r="P18" s="39">
        <v>7.05</v>
      </c>
      <c r="Q18" s="39">
        <v>6.73</v>
      </c>
      <c r="R18" s="39">
        <v>6.47</v>
      </c>
      <c r="S18" s="39">
        <v>6.35</v>
      </c>
      <c r="T18" s="39">
        <v>6.28</v>
      </c>
      <c r="U18" s="39">
        <v>6.32</v>
      </c>
      <c r="V18" s="39">
        <v>6.38</v>
      </c>
      <c r="W18" s="39">
        <v>6.44</v>
      </c>
      <c r="X18" s="39">
        <v>6.58</v>
      </c>
      <c r="Y18" s="39">
        <v>6.72</v>
      </c>
      <c r="Z18" s="39">
        <v>6.88</v>
      </c>
      <c r="AA18" s="39">
        <v>7.05</v>
      </c>
      <c r="AB18" s="39">
        <v>7.22</v>
      </c>
      <c r="AC18" s="39">
        <v>7.43</v>
      </c>
      <c r="AD18" s="39">
        <v>7.61</v>
      </c>
      <c r="AE18" s="39">
        <v>7.77</v>
      </c>
      <c r="AF18" s="39">
        <v>7.99</v>
      </c>
      <c r="AG18" s="39">
        <v>8.18</v>
      </c>
      <c r="AH18" s="39">
        <v>8.33</v>
      </c>
      <c r="AI18" s="39">
        <v>8.48</v>
      </c>
      <c r="AJ18" s="39">
        <v>8.6999999999999993</v>
      </c>
      <c r="AK18" s="39">
        <v>8.82</v>
      </c>
      <c r="AL18" s="39">
        <v>8.99</v>
      </c>
      <c r="AM18" s="39">
        <v>9.11</v>
      </c>
      <c r="AN18" s="39">
        <v>9.27</v>
      </c>
      <c r="AO18" s="39">
        <v>9.44</v>
      </c>
      <c r="AP18" s="39">
        <v>9.58</v>
      </c>
      <c r="AQ18" s="39">
        <v>9.69</v>
      </c>
      <c r="AR18" s="39">
        <v>9.76</v>
      </c>
      <c r="AS18" s="39">
        <v>9.89</v>
      </c>
      <c r="AT18" s="39">
        <v>10.02</v>
      </c>
      <c r="AU18" s="21">
        <f>IF(OR(설정!$E$8&gt;설정!$F$8,COUNT(H18:AT18)=0),"",MIN(BE18:CQ18))</f>
        <v>6.28</v>
      </c>
      <c r="AV18" s="21">
        <f t="shared" si="0"/>
        <v>480</v>
      </c>
      <c r="AW18" s="21">
        <f>IF(OR(설정!$E$8&gt;설정!$F$8,COUNT(H18:AT18)=0),"",MAX(BE18:CQ18))</f>
        <v>7.53</v>
      </c>
      <c r="AX18" s="21">
        <f t="shared" si="1"/>
        <v>430</v>
      </c>
      <c r="AY18" s="35"/>
      <c r="AZ18" s="19">
        <f>IF(AY18&lt;&gt;"",AY18,IF(설정!$C$8="최소",AV18,AX18))</f>
        <v>480</v>
      </c>
      <c r="BA18" s="20">
        <f>IF(AZ18="","",IF(OR(AZ18&lt;굴절률!$A$6,AZ18&gt;굴절률!$A$44),"",IF(COUNTIFS(굴절률!$A$6:$A$44,AZ18)&gt;0,INDEX(굴절률!$D$6:$D$44,MATCH(AZ18,굴절률!$A$6:$A$44,0)),INDEX(굴절률!$D$6:$D$44,MATCH(AZ18,굴절률!$A$6:$A$44,1))+(AZ18-INDEX(굴절률!$A$6:$A$44,MATCH(AZ18,굴절률!$A$6:$A$44,1)))*(INDEX(굴절률!$D$6:$D$44,MATCH(AZ18,굴절률!$A$6:$A$44,1)+1)-INDEX(굴절률!$D$6:$D$44,MATCH(AZ18,굴절률!$A$6:$A$44,1)))/(INDEX(굴절률!$A$6:$A$44,MATCH(AZ18,굴절률!$A$6:$A$44,1)+1)-INDEX(굴절률!$A$6:$A$44,MATCH(AZ18,굴절률!$A$6:$A$44,1))))))</f>
        <v>1.4706900000000001</v>
      </c>
      <c r="BB18" s="20">
        <f>설정!$C$16</f>
        <v>10</v>
      </c>
      <c r="BC18" s="21">
        <f>IF(OR(AZ18="",설정!$C$16="",설정!$C$16&lt;8,설정!$C$16&gt;15),"",IF(COUNTIFS('TMM 계산표'!$B$5:$I$5,설정!$C$16)&gt;0,INDEX('TMM 계산표'!$B$6:$I$3806,MATCH(AZ18,'TMM 계산표'!$A$6:$A$3806,1),MATCH(설정!$C$16,'TMM 계산표'!$B$5:$I$5,0)),INDEX('TMM 계산표'!$B$6:$I$3806,MATCH(AZ18,'TMM 계산표'!$A$6:$A$3806,1),MATCH(설정!$C$16,'TMM 계산표'!$B$5:$I$5,1))+(설정!$C$16-INDEX('TMM 계산표'!$B$5:$I$5,1,MATCH(설정!$C$16,'TMM 계산표'!$B$5:$I$5,1)))*(INDEX('TMM 계산표'!$B$6:$I$3806,MATCH(AZ18,'TMM 계산표'!$A$6:$A$3806,1),MATCH(설정!$C$16,'TMM 계산표'!$B$5:$I$5,1)+1)-INDEX('TMM 계산표'!$B$6:$I$3806,MATCH(AZ18,'TMM 계산표'!$A$6:$A$3806,1),MATCH(설정!$C$16,'TMM 계산표'!$B$5:$I$5,1)))/(INDEX('TMM 계산표'!$B$5:$I$5,1,MATCH(설정!$C$16,'TMM 계산표'!$B$5:$I$5,1)+1)-INDEX('TMM 계산표'!$B$5:$I$5,1,MATCH(설정!$C$16,'TMM 계산표'!$B$5:$I$5,1)))))</f>
        <v>96.286802851041898</v>
      </c>
      <c r="BD18" s="23" t="str">
        <f>IF(COUNT(H18:AT18)=0,"입력 필요",IF(COUNT(H18:AT18)&lt;&gt;39,"데이터 점검",IF(OR(설정!$C$16="",설정!$C$16&lt;8,설정!$C$16&gt;15),"Nb 두께 입력 확인",IF(OR(설정!$E$8&gt;설정!$F$8,설정!$E$8&lt;360,설정!$F$8&gt;740),"검색 범위 오류",IF(AY18&lt;&gt;"","수동 파장",IF(OR(AZ18=설정!$E$8,AZ18=설정!$F$8),"경계 극값 확인","완료"))))))</f>
        <v>완료</v>
      </c>
      <c r="BE18" s="40" t="str">
        <f>IF(AND(BE$5&gt;=설정!$E$8,BE$5&lt;=설정!$F$8),H18,"")</f>
        <v/>
      </c>
      <c r="BF18" s="40" t="str">
        <f>IF(AND(BF$5&gt;=설정!$E$8,BF$5&lt;=설정!$F$8),I18,"")</f>
        <v/>
      </c>
      <c r="BG18" s="40" t="str">
        <f>IF(AND(BG$5&gt;=설정!$E$8,BG$5&lt;=설정!$F$8),J18,"")</f>
        <v/>
      </c>
      <c r="BH18" s="40" t="str">
        <f>IF(AND(BH$5&gt;=설정!$E$8,BH$5&lt;=설정!$F$8),K18,"")</f>
        <v/>
      </c>
      <c r="BI18" s="40" t="str">
        <f>IF(AND(BI$5&gt;=설정!$E$8,BI$5&lt;=설정!$F$8),L18,"")</f>
        <v/>
      </c>
      <c r="BJ18" s="40" t="str">
        <f>IF(AND(BJ$5&gt;=설정!$E$8,BJ$5&lt;=설정!$F$8),M18,"")</f>
        <v/>
      </c>
      <c r="BK18" s="40" t="str">
        <f>IF(AND(BK$5&gt;=설정!$E$8,BK$5&lt;=설정!$F$8),N18,"")</f>
        <v/>
      </c>
      <c r="BL18" s="40">
        <f>IF(AND(BL$5&gt;=설정!$E$8,BL$5&lt;=설정!$F$8),O18,"")</f>
        <v>7.53</v>
      </c>
      <c r="BM18" s="40">
        <f>IF(AND(BM$5&gt;=설정!$E$8,BM$5&lt;=설정!$F$8),P18,"")</f>
        <v>7.05</v>
      </c>
      <c r="BN18" s="40">
        <f>IF(AND(BN$5&gt;=설정!$E$8,BN$5&lt;=설정!$F$8),Q18,"")</f>
        <v>6.73</v>
      </c>
      <c r="BO18" s="40">
        <f>IF(AND(BO$5&gt;=설정!$E$8,BO$5&lt;=설정!$F$8),R18,"")</f>
        <v>6.47</v>
      </c>
      <c r="BP18" s="40">
        <f>IF(AND(BP$5&gt;=설정!$E$8,BP$5&lt;=설정!$F$8),S18,"")</f>
        <v>6.35</v>
      </c>
      <c r="BQ18" s="40">
        <f>IF(AND(BQ$5&gt;=설정!$E$8,BQ$5&lt;=설정!$F$8),T18,"")</f>
        <v>6.28</v>
      </c>
      <c r="BR18" s="40">
        <f>IF(AND(BR$5&gt;=설정!$E$8,BR$5&lt;=설정!$F$8),U18,"")</f>
        <v>6.32</v>
      </c>
      <c r="BS18" s="40">
        <f>IF(AND(BS$5&gt;=설정!$E$8,BS$5&lt;=설정!$F$8),V18,"")</f>
        <v>6.38</v>
      </c>
      <c r="BT18" s="40">
        <f>IF(AND(BT$5&gt;=설정!$E$8,BT$5&lt;=설정!$F$8),W18,"")</f>
        <v>6.44</v>
      </c>
      <c r="BU18" s="40">
        <f>IF(AND(BU$5&gt;=설정!$E$8,BU$5&lt;=설정!$F$8),X18,"")</f>
        <v>6.58</v>
      </c>
      <c r="BV18" s="40">
        <f>IF(AND(BV$5&gt;=설정!$E$8,BV$5&lt;=설정!$F$8),Y18,"")</f>
        <v>6.72</v>
      </c>
      <c r="BW18" s="40">
        <f>IF(AND(BW$5&gt;=설정!$E$8,BW$5&lt;=설정!$F$8),Z18,"")</f>
        <v>6.88</v>
      </c>
      <c r="BX18" s="40">
        <f>IF(AND(BX$5&gt;=설정!$E$8,BX$5&lt;=설정!$F$8),AA18,"")</f>
        <v>7.05</v>
      </c>
      <c r="BY18" s="40" t="str">
        <f>IF(AND(BY$5&gt;=설정!$E$8,BY$5&lt;=설정!$F$8),AB18,"")</f>
        <v/>
      </c>
      <c r="BZ18" s="40" t="str">
        <f>IF(AND(BZ$5&gt;=설정!$E$8,BZ$5&lt;=설정!$F$8),AC18,"")</f>
        <v/>
      </c>
      <c r="CA18" s="40" t="str">
        <f>IF(AND(CA$5&gt;=설정!$E$8,CA$5&lt;=설정!$F$8),AD18,"")</f>
        <v/>
      </c>
      <c r="CB18" s="40" t="str">
        <f>IF(AND(CB$5&gt;=설정!$E$8,CB$5&lt;=설정!$F$8),AE18,"")</f>
        <v/>
      </c>
      <c r="CC18" s="40" t="str">
        <f>IF(AND(CC$5&gt;=설정!$E$8,CC$5&lt;=설정!$F$8),AF18,"")</f>
        <v/>
      </c>
      <c r="CD18" s="40" t="str">
        <f>IF(AND(CD$5&gt;=설정!$E$8,CD$5&lt;=설정!$F$8),AG18,"")</f>
        <v/>
      </c>
      <c r="CE18" s="40" t="str">
        <f>IF(AND(CE$5&gt;=설정!$E$8,CE$5&lt;=설정!$F$8),AH18,"")</f>
        <v/>
      </c>
      <c r="CF18" s="40" t="str">
        <f>IF(AND(CF$5&gt;=설정!$E$8,CF$5&lt;=설정!$F$8),AI18,"")</f>
        <v/>
      </c>
      <c r="CG18" s="40" t="str">
        <f>IF(AND(CG$5&gt;=설정!$E$8,CG$5&lt;=설정!$F$8),AJ18,"")</f>
        <v/>
      </c>
      <c r="CH18" s="40" t="str">
        <f>IF(AND(CH$5&gt;=설정!$E$8,CH$5&lt;=설정!$F$8),AK18,"")</f>
        <v/>
      </c>
      <c r="CI18" s="40" t="str">
        <f>IF(AND(CI$5&gt;=설정!$E$8,CI$5&lt;=설정!$F$8),AL18,"")</f>
        <v/>
      </c>
      <c r="CJ18" s="40" t="str">
        <f>IF(AND(CJ$5&gt;=설정!$E$8,CJ$5&lt;=설정!$F$8),AM18,"")</f>
        <v/>
      </c>
      <c r="CK18" s="40" t="str">
        <f>IF(AND(CK$5&gt;=설정!$E$8,CK$5&lt;=설정!$F$8),AN18,"")</f>
        <v/>
      </c>
      <c r="CL18" s="40" t="str">
        <f>IF(AND(CL$5&gt;=설정!$E$8,CL$5&lt;=설정!$F$8),AO18,"")</f>
        <v/>
      </c>
      <c r="CM18" s="40" t="str">
        <f>IF(AND(CM$5&gt;=설정!$E$8,CM$5&lt;=설정!$F$8),AP18,"")</f>
        <v/>
      </c>
      <c r="CN18" s="40" t="str">
        <f>IF(AND(CN$5&gt;=설정!$E$8,CN$5&lt;=설정!$F$8),AQ18,"")</f>
        <v/>
      </c>
      <c r="CO18" s="40" t="str">
        <f>IF(AND(CO$5&gt;=설정!$E$8,CO$5&lt;=설정!$F$8),AR18,"")</f>
        <v/>
      </c>
      <c r="CP18" s="40" t="str">
        <f>IF(AND(CP$5&gt;=설정!$E$8,CP$5&lt;=설정!$F$8),AS18,"")</f>
        <v/>
      </c>
      <c r="CQ18" s="40" t="str">
        <f>IF(AND(CQ$5&gt;=설정!$E$8,CQ$5&lt;=설정!$F$8),AT18,"")</f>
        <v/>
      </c>
    </row>
    <row r="20" spans="1:95">
      <c r="A20" s="41" t="s">
        <v>96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</row>
  </sheetData>
  <phoneticPr fontId="8" type="noConversion"/>
  <conditionalFormatting sqref="BD6:BD18">
    <cfRule type="containsText" dxfId="2" priority="1" operator="containsText" text="오류"/>
    <cfRule type="containsText" dxfId="1" priority="3" operator="containsText" text="확인"/>
    <cfRule type="containsText" dxfId="0" priority="5" operator="containsText" text="완료"/>
  </conditionalFormatting>
  <dataValidations count="1">
    <dataValidation type="whole" sqref="AY6:AY18" xr:uid="{00000000-0002-0000-0300-000000000000}">
      <formula1>360</formula1>
      <formula2>740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2:D46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14" customWidth="1"/>
    <col min="2" max="4" width="17" customWidth="1"/>
  </cols>
  <sheetData>
    <row r="2" spans="1:4" ht="24" customHeight="1">
      <c r="A2" s="1" t="s">
        <v>111</v>
      </c>
      <c r="B2" s="1"/>
      <c r="C2" s="1"/>
      <c r="D2" s="1"/>
    </row>
    <row r="3" spans="1:4">
      <c r="A3" s="2" t="s">
        <v>112</v>
      </c>
      <c r="B3" s="2"/>
      <c r="C3" s="2"/>
      <c r="D3" s="2"/>
    </row>
    <row r="5" spans="1:4">
      <c r="A5" s="11" t="s">
        <v>113</v>
      </c>
      <c r="B5" s="12" t="s">
        <v>114</v>
      </c>
      <c r="C5" s="12" t="s">
        <v>115</v>
      </c>
      <c r="D5" s="13" t="s">
        <v>21</v>
      </c>
    </row>
    <row r="6" spans="1:4">
      <c r="A6" s="14">
        <v>360</v>
      </c>
      <c r="B6" s="16">
        <v>1.88059</v>
      </c>
      <c r="C6" s="16">
        <v>2.5669400000000002</v>
      </c>
      <c r="D6" s="16">
        <v>1.47675</v>
      </c>
    </row>
    <row r="7" spans="1:4">
      <c r="A7" s="18">
        <v>370</v>
      </c>
      <c r="B7" s="20">
        <v>1.8704799999999999</v>
      </c>
      <c r="C7" s="20">
        <v>2.52705</v>
      </c>
      <c r="D7" s="20">
        <v>1.4759899999999999</v>
      </c>
    </row>
    <row r="8" spans="1:4">
      <c r="A8" s="18">
        <v>380</v>
      </c>
      <c r="B8" s="20">
        <v>1.8619699999999999</v>
      </c>
      <c r="C8" s="20">
        <v>2.4968400000000002</v>
      </c>
      <c r="D8" s="20">
        <v>1.47529</v>
      </c>
    </row>
    <row r="9" spans="1:4">
      <c r="A9" s="18">
        <v>390</v>
      </c>
      <c r="B9" s="20">
        <v>1.8546899999999999</v>
      </c>
      <c r="C9" s="20">
        <v>2.4723199999999999</v>
      </c>
      <c r="D9" s="20">
        <v>1.47465</v>
      </c>
    </row>
    <row r="10" spans="1:4">
      <c r="A10" s="18">
        <v>400</v>
      </c>
      <c r="B10" s="20">
        <v>1.8484</v>
      </c>
      <c r="C10" s="20">
        <v>2.4518200000000001</v>
      </c>
      <c r="D10" s="20">
        <v>1.4740599999999999</v>
      </c>
    </row>
    <row r="11" spans="1:4">
      <c r="A11" s="18">
        <v>410</v>
      </c>
      <c r="B11" s="20">
        <v>1.8428899999999999</v>
      </c>
      <c r="C11" s="20">
        <v>2.4343499999999998</v>
      </c>
      <c r="D11" s="20">
        <v>1.4735199999999999</v>
      </c>
    </row>
    <row r="12" spans="1:4">
      <c r="A12" s="18">
        <v>420</v>
      </c>
      <c r="B12" s="20">
        <v>1.83805</v>
      </c>
      <c r="C12" s="20">
        <v>2.41926</v>
      </c>
      <c r="D12" s="20">
        <v>1.47302</v>
      </c>
    </row>
    <row r="13" spans="1:4">
      <c r="A13" s="18">
        <v>430</v>
      </c>
      <c r="B13" s="20">
        <v>1.8337399999999999</v>
      </c>
      <c r="C13" s="20">
        <v>2.40605</v>
      </c>
      <c r="D13" s="20">
        <v>1.47255</v>
      </c>
    </row>
    <row r="14" spans="1:4">
      <c r="A14" s="18">
        <v>440</v>
      </c>
      <c r="B14" s="20">
        <v>1.82989</v>
      </c>
      <c r="C14" s="20">
        <v>2.3944000000000001</v>
      </c>
      <c r="D14" s="20">
        <v>1.4721299999999999</v>
      </c>
    </row>
    <row r="15" spans="1:4">
      <c r="A15" s="18">
        <v>450</v>
      </c>
      <c r="B15" s="20">
        <v>1.8264400000000001</v>
      </c>
      <c r="C15" s="20">
        <v>2.3840400000000002</v>
      </c>
      <c r="D15" s="20">
        <v>1.47173</v>
      </c>
    </row>
    <row r="16" spans="1:4">
      <c r="A16" s="18">
        <v>460</v>
      </c>
      <c r="B16" s="20">
        <v>1.8233200000000001</v>
      </c>
      <c r="C16" s="20">
        <v>2.3747600000000002</v>
      </c>
      <c r="D16" s="20">
        <v>1.47136</v>
      </c>
    </row>
    <row r="17" spans="1:4">
      <c r="A17" s="18">
        <v>470</v>
      </c>
      <c r="B17" s="20">
        <v>1.8204899999999999</v>
      </c>
      <c r="C17" s="20">
        <v>2.3664100000000001</v>
      </c>
      <c r="D17" s="20">
        <v>1.4710099999999999</v>
      </c>
    </row>
    <row r="18" spans="1:4">
      <c r="A18" s="18">
        <v>480</v>
      </c>
      <c r="B18" s="20">
        <v>1.81792</v>
      </c>
      <c r="C18" s="20">
        <v>2.3588499999999999</v>
      </c>
      <c r="D18" s="20">
        <v>1.4706900000000001</v>
      </c>
    </row>
    <row r="19" spans="1:4">
      <c r="A19" s="18">
        <v>490</v>
      </c>
      <c r="B19" s="20">
        <v>1.8155600000000001</v>
      </c>
      <c r="C19" s="20">
        <v>2.3519800000000002</v>
      </c>
      <c r="D19" s="20">
        <v>1.4703900000000001</v>
      </c>
    </row>
    <row r="20" spans="1:4">
      <c r="A20" s="18">
        <v>500</v>
      </c>
      <c r="B20" s="20">
        <v>1.8133999999999999</v>
      </c>
      <c r="C20" s="20">
        <v>2.3456999999999999</v>
      </c>
      <c r="D20" s="20">
        <v>1.47011</v>
      </c>
    </row>
    <row r="21" spans="1:4">
      <c r="A21" s="18">
        <v>510</v>
      </c>
      <c r="B21" s="20">
        <v>1.81142</v>
      </c>
      <c r="C21" s="20">
        <v>2.33996</v>
      </c>
      <c r="D21" s="20">
        <v>1.46984</v>
      </c>
    </row>
    <row r="22" spans="1:4">
      <c r="A22" s="18">
        <v>520</v>
      </c>
      <c r="B22" s="20">
        <v>1.80959</v>
      </c>
      <c r="C22" s="20">
        <v>2.3346800000000001</v>
      </c>
      <c r="D22" s="20">
        <v>1.46959</v>
      </c>
    </row>
    <row r="23" spans="1:4">
      <c r="A23" s="18">
        <v>530</v>
      </c>
      <c r="B23" s="20">
        <v>1.80789</v>
      </c>
      <c r="C23" s="20">
        <v>2.3298100000000002</v>
      </c>
      <c r="D23" s="20">
        <v>1.46936</v>
      </c>
    </row>
    <row r="24" spans="1:4">
      <c r="A24" s="18">
        <v>540</v>
      </c>
      <c r="B24" s="20">
        <v>1.8063199999999999</v>
      </c>
      <c r="C24" s="20">
        <v>2.3252999999999999</v>
      </c>
      <c r="D24" s="20">
        <v>1.4691399999999999</v>
      </c>
    </row>
    <row r="25" spans="1:4">
      <c r="A25" s="18">
        <v>550</v>
      </c>
      <c r="B25" s="20">
        <v>1.8048599999999999</v>
      </c>
      <c r="C25" s="20">
        <v>2.3211300000000001</v>
      </c>
      <c r="D25" s="20">
        <v>1.4689300000000001</v>
      </c>
    </row>
    <row r="26" spans="1:4">
      <c r="A26" s="18">
        <v>560</v>
      </c>
      <c r="B26" s="20">
        <v>1.8035000000000001</v>
      </c>
      <c r="C26" s="20">
        <v>2.31725</v>
      </c>
      <c r="D26" s="20">
        <v>1.4687300000000001</v>
      </c>
    </row>
    <row r="27" spans="1:4">
      <c r="A27" s="18">
        <v>570</v>
      </c>
      <c r="B27" s="20">
        <v>1.80223</v>
      </c>
      <c r="C27" s="20">
        <v>2.3136399999999999</v>
      </c>
      <c r="D27" s="20">
        <v>1.46855</v>
      </c>
    </row>
    <row r="28" spans="1:4">
      <c r="A28" s="18">
        <v>580</v>
      </c>
      <c r="B28" s="20">
        <v>1.80104</v>
      </c>
      <c r="C28" s="20">
        <v>2.31026</v>
      </c>
      <c r="D28" s="20">
        <v>1.46837</v>
      </c>
    </row>
    <row r="29" spans="1:4">
      <c r="A29" s="18">
        <v>590</v>
      </c>
      <c r="B29" s="20">
        <v>1.79993</v>
      </c>
      <c r="C29" s="20">
        <v>2.3071100000000002</v>
      </c>
      <c r="D29" s="20">
        <v>1.46821</v>
      </c>
    </row>
    <row r="30" spans="1:4">
      <c r="A30" s="18">
        <v>600</v>
      </c>
      <c r="B30" s="20">
        <v>1.7988900000000001</v>
      </c>
      <c r="C30" s="20">
        <v>2.30416</v>
      </c>
      <c r="D30" s="20">
        <v>1.4680500000000001</v>
      </c>
    </row>
    <row r="31" spans="1:4">
      <c r="A31" s="18">
        <v>610</v>
      </c>
      <c r="B31" s="20">
        <v>1.7979099999999999</v>
      </c>
      <c r="C31" s="20">
        <v>2.30139</v>
      </c>
      <c r="D31" s="20">
        <v>1.4679</v>
      </c>
    </row>
    <row r="32" spans="1:4">
      <c r="A32" s="18">
        <v>620</v>
      </c>
      <c r="B32" s="20">
        <v>1.7969900000000001</v>
      </c>
      <c r="C32" s="20">
        <v>2.2987799999999998</v>
      </c>
      <c r="D32" s="20">
        <v>1.46776</v>
      </c>
    </row>
    <row r="33" spans="1:4">
      <c r="A33" s="18">
        <v>630</v>
      </c>
      <c r="B33" s="20">
        <v>1.7961199999999999</v>
      </c>
      <c r="C33" s="20">
        <v>2.2963300000000002</v>
      </c>
      <c r="D33" s="20">
        <v>1.4676199999999999</v>
      </c>
    </row>
    <row r="34" spans="1:4">
      <c r="A34" s="18">
        <v>640</v>
      </c>
      <c r="B34" s="20">
        <v>1.7952999999999999</v>
      </c>
      <c r="C34" s="20">
        <v>2.2940200000000002</v>
      </c>
      <c r="D34" s="20">
        <v>1.46749</v>
      </c>
    </row>
    <row r="35" spans="1:4">
      <c r="A35" s="18">
        <v>650</v>
      </c>
      <c r="B35" s="20">
        <v>1.7945199999999999</v>
      </c>
      <c r="C35" s="20">
        <v>2.2918400000000001</v>
      </c>
      <c r="D35" s="20">
        <v>1.4673700000000001</v>
      </c>
    </row>
    <row r="36" spans="1:4">
      <c r="A36" s="18">
        <v>660</v>
      </c>
      <c r="B36" s="20">
        <v>1.79379</v>
      </c>
      <c r="C36" s="20">
        <v>2.2897799999999999</v>
      </c>
      <c r="D36" s="20">
        <v>1.4672499999999999</v>
      </c>
    </row>
    <row r="37" spans="1:4">
      <c r="A37" s="18">
        <v>670</v>
      </c>
      <c r="B37" s="20">
        <v>1.7930900000000001</v>
      </c>
      <c r="C37" s="20">
        <v>2.28783</v>
      </c>
      <c r="D37" s="20">
        <v>1.4671400000000001</v>
      </c>
    </row>
    <row r="38" spans="1:4">
      <c r="A38" s="18">
        <v>680</v>
      </c>
      <c r="B38" s="20">
        <v>1.79243</v>
      </c>
      <c r="C38" s="20">
        <v>2.2859799999999999</v>
      </c>
      <c r="D38" s="20">
        <v>1.4670300000000001</v>
      </c>
    </row>
    <row r="39" spans="1:4">
      <c r="A39" s="18">
        <v>690</v>
      </c>
      <c r="B39" s="20">
        <v>1.7918099999999999</v>
      </c>
      <c r="C39" s="20">
        <v>2.2842199999999999</v>
      </c>
      <c r="D39" s="20">
        <v>1.4669300000000001</v>
      </c>
    </row>
    <row r="40" spans="1:4">
      <c r="A40" s="18">
        <v>700</v>
      </c>
      <c r="B40" s="20">
        <v>1.79121</v>
      </c>
      <c r="C40" s="20">
        <v>2.2825600000000001</v>
      </c>
      <c r="D40" s="20">
        <v>1.4668399999999999</v>
      </c>
    </row>
    <row r="41" spans="1:4">
      <c r="A41" s="18">
        <v>710</v>
      </c>
      <c r="B41" s="20">
        <v>1.7906500000000001</v>
      </c>
      <c r="C41" s="20">
        <v>2.2809699999999999</v>
      </c>
      <c r="D41" s="20">
        <v>1.4667399999999999</v>
      </c>
    </row>
    <row r="42" spans="1:4">
      <c r="A42" s="18">
        <v>720</v>
      </c>
      <c r="B42" s="20">
        <v>1.7901100000000001</v>
      </c>
      <c r="C42" s="20">
        <v>2.2794699999999999</v>
      </c>
      <c r="D42" s="20">
        <v>1.46665</v>
      </c>
    </row>
    <row r="43" spans="1:4">
      <c r="A43" s="18">
        <v>730</v>
      </c>
      <c r="B43" s="20">
        <v>1.7896000000000001</v>
      </c>
      <c r="C43" s="20">
        <v>2.2780300000000002</v>
      </c>
      <c r="D43" s="20">
        <v>1.4665699999999999</v>
      </c>
    </row>
    <row r="44" spans="1:4">
      <c r="A44" s="18">
        <v>740</v>
      </c>
      <c r="B44" s="20">
        <v>1.78911</v>
      </c>
      <c r="C44" s="20">
        <v>2.2766700000000002</v>
      </c>
      <c r="D44" s="20">
        <v>1.4664900000000001</v>
      </c>
    </row>
    <row r="46" spans="1:4">
      <c r="A46" s="41" t="s">
        <v>116</v>
      </c>
      <c r="B46" s="41"/>
      <c r="C46" s="41"/>
      <c r="D46" s="41"/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5A5A5"/>
  </sheetPr>
  <dimension ref="A2:I3808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18" customWidth="1"/>
    <col min="2" max="9" width="13" customWidth="1"/>
  </cols>
  <sheetData>
    <row r="2" spans="1:9" ht="24" customHeight="1">
      <c r="A2" s="1" t="s">
        <v>117</v>
      </c>
      <c r="B2" s="1"/>
      <c r="C2" s="1"/>
      <c r="D2" s="1"/>
      <c r="E2" s="1"/>
      <c r="F2" s="1"/>
      <c r="G2" s="1"/>
      <c r="H2" s="1"/>
      <c r="I2" s="1"/>
    </row>
    <row r="3" spans="1:9">
      <c r="A3" s="2" t="s">
        <v>118</v>
      </c>
      <c r="B3" s="2"/>
      <c r="C3" s="2"/>
      <c r="D3" s="2"/>
      <c r="E3" s="2"/>
      <c r="F3" s="2"/>
      <c r="G3" s="2"/>
      <c r="H3" s="2"/>
      <c r="I3" s="2"/>
    </row>
    <row r="5" spans="1:9">
      <c r="A5" s="11" t="s">
        <v>119</v>
      </c>
      <c r="B5" s="12">
        <v>8</v>
      </c>
      <c r="C5" s="12">
        <v>9</v>
      </c>
      <c r="D5" s="12">
        <v>10</v>
      </c>
      <c r="E5" s="12">
        <v>11</v>
      </c>
      <c r="F5" s="12">
        <v>12</v>
      </c>
      <c r="G5" s="12">
        <v>13</v>
      </c>
      <c r="H5" s="12">
        <v>14</v>
      </c>
      <c r="I5" s="13">
        <v>15</v>
      </c>
    </row>
    <row r="6" spans="1:9">
      <c r="A6" s="15">
        <v>360</v>
      </c>
      <c r="B6" s="42">
        <v>71.885302137373429</v>
      </c>
      <c r="C6" s="42">
        <v>71.424683492201524</v>
      </c>
      <c r="D6" s="42">
        <v>70.773756834616705</v>
      </c>
      <c r="E6" s="42">
        <v>69.979167159254359</v>
      </c>
      <c r="F6" s="42">
        <v>69.077766092628025</v>
      </c>
      <c r="G6" s="42">
        <v>68.099075637360443</v>
      </c>
      <c r="H6" s="42">
        <v>67.067401029770451</v>
      </c>
      <c r="I6" s="42">
        <v>66.003547030431662</v>
      </c>
    </row>
    <row r="7" spans="1:9">
      <c r="A7" s="19">
        <v>360.1</v>
      </c>
      <c r="B7" s="43">
        <v>71.906348560957781</v>
      </c>
      <c r="C7" s="43">
        <v>71.446614896700964</v>
      </c>
      <c r="D7" s="43">
        <v>70.796464130300706</v>
      </c>
      <c r="E7" s="43">
        <v>70.002540285727292</v>
      </c>
      <c r="F7" s="43">
        <v>69.101696575846574</v>
      </c>
      <c r="G7" s="43">
        <v>68.123455758175425</v>
      </c>
      <c r="H7" s="43">
        <v>67.092121141810964</v>
      </c>
      <c r="I7" s="43">
        <v>66.028491815030037</v>
      </c>
    </row>
    <row r="8" spans="1:9">
      <c r="A8" s="19">
        <v>360.2</v>
      </c>
      <c r="B8" s="43">
        <v>71.9297328408461</v>
      </c>
      <c r="C8" s="43">
        <v>71.470982965322406</v>
      </c>
      <c r="D8" s="43">
        <v>70.821694883258914</v>
      </c>
      <c r="E8" s="43">
        <v>70.028511519160219</v>
      </c>
      <c r="F8" s="43">
        <v>69.128287846526035</v>
      </c>
      <c r="G8" s="43">
        <v>68.150547474405272</v>
      </c>
      <c r="H8" s="43">
        <v>67.119591595658989</v>
      </c>
      <c r="I8" s="43">
        <v>66.056213031305305</v>
      </c>
    </row>
    <row r="9" spans="1:9">
      <c r="A9" s="19">
        <v>360.3</v>
      </c>
      <c r="B9" s="43">
        <v>71.953115972673572</v>
      </c>
      <c r="C9" s="43">
        <v>71.495350351800795</v>
      </c>
      <c r="D9" s="43">
        <v>70.84692553496825</v>
      </c>
      <c r="E9" s="43">
        <v>70.054483324730313</v>
      </c>
      <c r="F9" s="43">
        <v>69.154880452668635</v>
      </c>
      <c r="G9" s="43">
        <v>68.177641392551095</v>
      </c>
      <c r="H9" s="43">
        <v>67.14706524722294</v>
      </c>
      <c r="I9" s="43">
        <v>66.083938607476625</v>
      </c>
    </row>
    <row r="10" spans="1:9">
      <c r="A10" s="19">
        <v>360.4</v>
      </c>
      <c r="B10" s="43">
        <v>71.976497955835754</v>
      </c>
      <c r="C10" s="43">
        <v>71.51971705499534</v>
      </c>
      <c r="D10" s="43">
        <v>70.872156083799069</v>
      </c>
      <c r="E10" s="43">
        <v>70.080455700267208</v>
      </c>
      <c r="F10" s="43">
        <v>69.181474391449711</v>
      </c>
      <c r="G10" s="43">
        <v>68.2047375089262</v>
      </c>
      <c r="H10" s="43">
        <v>67.174542091590439</v>
      </c>
      <c r="I10" s="43">
        <v>66.111668537014452</v>
      </c>
    </row>
    <row r="11" spans="1:9">
      <c r="A11" s="19">
        <v>360.5</v>
      </c>
      <c r="B11" s="43">
        <v>71.999878789727632</v>
      </c>
      <c r="C11" s="43">
        <v>71.544083073790148</v>
      </c>
      <c r="D11" s="43">
        <v>70.897386528147166</v>
      </c>
      <c r="E11" s="43">
        <v>70.106428643638992</v>
      </c>
      <c r="F11" s="43">
        <v>69.208069660102012</v>
      </c>
      <c r="G11" s="43">
        <v>68.231835819881326</v>
      </c>
      <c r="H11" s="43">
        <v>67.202022123958272</v>
      </c>
      <c r="I11" s="43">
        <v>66.139402813596917</v>
      </c>
    </row>
    <row r="12" spans="1:9">
      <c r="A12" s="19">
        <v>360.6</v>
      </c>
      <c r="B12" s="43">
        <v>72.023258473747347</v>
      </c>
      <c r="C12" s="43">
        <v>71.56844840705412</v>
      </c>
      <c r="D12" s="43">
        <v>70.92261686639867</v>
      </c>
      <c r="E12" s="43">
        <v>70.132402152695477</v>
      </c>
      <c r="F12" s="43">
        <v>69.23466625579934</v>
      </c>
      <c r="G12" s="43">
        <v>68.258936321724178</v>
      </c>
      <c r="H12" s="43">
        <v>67.22950533943353</v>
      </c>
      <c r="I12" s="43">
        <v>66.167141430739775</v>
      </c>
    </row>
    <row r="13" spans="1:9">
      <c r="A13" s="19">
        <v>360.7</v>
      </c>
      <c r="B13" s="43">
        <v>72.046637007295573</v>
      </c>
      <c r="C13" s="43">
        <v>71.592813053668436</v>
      </c>
      <c r="D13" s="43">
        <v>70.947847096946504</v>
      </c>
      <c r="E13" s="43">
        <v>70.158376225316715</v>
      </c>
      <c r="F13" s="43">
        <v>69.261264175767593</v>
      </c>
      <c r="G13" s="43">
        <v>68.286039010806036</v>
      </c>
      <c r="H13" s="43">
        <v>67.256991733252363</v>
      </c>
      <c r="I13" s="43">
        <v>66.194884382112917</v>
      </c>
    </row>
    <row r="14" spans="1:9">
      <c r="A14" s="19">
        <v>360.8</v>
      </c>
      <c r="B14" s="43">
        <v>72.070014389775992</v>
      </c>
      <c r="C14" s="43">
        <v>71.617177012513366</v>
      </c>
      <c r="D14" s="43">
        <v>70.973077218188251</v>
      </c>
      <c r="E14" s="43">
        <v>70.184350859363946</v>
      </c>
      <c r="F14" s="43">
        <v>69.287863417233382</v>
      </c>
      <c r="G14" s="43">
        <v>68.313143883495542</v>
      </c>
      <c r="H14" s="43">
        <v>67.284481300535759</v>
      </c>
      <c r="I14" s="43">
        <v>66.222631661313414</v>
      </c>
    </row>
    <row r="15" spans="1:9">
      <c r="A15" s="19">
        <v>360.9</v>
      </c>
      <c r="B15" s="43">
        <v>72.093390620592345</v>
      </c>
      <c r="C15" s="43">
        <v>71.641540282473841</v>
      </c>
      <c r="D15" s="43">
        <v>70.998307228524482</v>
      </c>
      <c r="E15" s="43">
        <v>70.210326052706392</v>
      </c>
      <c r="F15" s="43">
        <v>69.314463977400607</v>
      </c>
      <c r="G15" s="43">
        <v>68.340250936132122</v>
      </c>
      <c r="H15" s="43">
        <v>67.311974036525413</v>
      </c>
      <c r="I15" s="43">
        <v>66.250383262006551</v>
      </c>
    </row>
    <row r="16" spans="1:9">
      <c r="A16" s="19">
        <v>361</v>
      </c>
      <c r="B16" s="43">
        <v>72.116765699154485</v>
      </c>
      <c r="C16" s="43">
        <v>71.665902862433228</v>
      </c>
      <c r="D16" s="43">
        <v>71.023537126349567</v>
      </c>
      <c r="E16" s="43">
        <v>70.236301803214587</v>
      </c>
      <c r="F16" s="43">
        <v>69.341065853497952</v>
      </c>
      <c r="G16" s="43">
        <v>68.367360165084051</v>
      </c>
      <c r="H16" s="43">
        <v>67.339469936378407</v>
      </c>
      <c r="I16" s="43">
        <v>66.278139177803155</v>
      </c>
    </row>
    <row r="17" spans="1:9">
      <c r="A17" s="19">
        <v>361.1</v>
      </c>
      <c r="B17" s="43">
        <v>72.140139624870926</v>
      </c>
      <c r="C17" s="43">
        <v>71.690264751280267</v>
      </c>
      <c r="D17" s="43">
        <v>71.048766910069276</v>
      </c>
      <c r="E17" s="43">
        <v>70.262278108783363</v>
      </c>
      <c r="F17" s="43">
        <v>69.367669042755409</v>
      </c>
      <c r="G17" s="43">
        <v>68.394471566711985</v>
      </c>
      <c r="H17" s="43">
        <v>67.366968995328676</v>
      </c>
      <c r="I17" s="43">
        <v>66.305899402385108</v>
      </c>
    </row>
    <row r="18" spans="1:9">
      <c r="A18" s="19">
        <v>361.2</v>
      </c>
      <c r="B18" s="43">
        <v>72.163512397154022</v>
      </c>
      <c r="C18" s="43">
        <v>71.714625947907876</v>
      </c>
      <c r="D18" s="43">
        <v>71.073996578095972</v>
      </c>
      <c r="E18" s="43">
        <v>70.288254967289561</v>
      </c>
      <c r="F18" s="43">
        <v>69.394273542424401</v>
      </c>
      <c r="G18" s="43">
        <v>68.421585137433965</v>
      </c>
      <c r="H18" s="43">
        <v>67.394471208610582</v>
      </c>
      <c r="I18" s="43">
        <v>66.333663929427445</v>
      </c>
    </row>
    <row r="19" spans="1:9">
      <c r="A19" s="19">
        <v>361.3</v>
      </c>
      <c r="B19" s="43">
        <v>72.186884015419423</v>
      </c>
      <c r="C19" s="43">
        <v>71.738986451207694</v>
      </c>
      <c r="D19" s="43">
        <v>71.099226128839405</v>
      </c>
      <c r="E19" s="43">
        <v>70.314232376619657</v>
      </c>
      <c r="F19" s="43">
        <v>69.420879349741057</v>
      </c>
      <c r="G19" s="43">
        <v>68.44870087360232</v>
      </c>
      <c r="H19" s="43">
        <v>67.421976571434726</v>
      </c>
      <c r="I19" s="43">
        <v>66.361432752629383</v>
      </c>
    </row>
    <row r="20" spans="1:9">
      <c r="A20" s="19">
        <v>361.4</v>
      </c>
      <c r="B20" s="43">
        <v>72.210254479082522</v>
      </c>
      <c r="C20" s="43">
        <v>71.763346260079061</v>
      </c>
      <c r="D20" s="43">
        <v>71.124455560713017</v>
      </c>
      <c r="E20" s="43">
        <v>70.340210334673628</v>
      </c>
      <c r="F20" s="43">
        <v>69.447486461955066</v>
      </c>
      <c r="G20" s="43">
        <v>68.475818771646232</v>
      </c>
      <c r="H20" s="43">
        <v>67.449485079066307</v>
      </c>
      <c r="I20" s="43">
        <v>66.389205865723994</v>
      </c>
    </row>
    <row r="21" spans="1:9">
      <c r="A21" s="19">
        <v>361.5</v>
      </c>
      <c r="B21" s="43">
        <v>72.233623787564284</v>
      </c>
      <c r="C21" s="43">
        <v>71.787705373416514</v>
      </c>
      <c r="D21" s="43">
        <v>71.149684872134316</v>
      </c>
      <c r="E21" s="43">
        <v>70.366188839343579</v>
      </c>
      <c r="F21" s="43">
        <v>69.474094876322738</v>
      </c>
      <c r="G21" s="43">
        <v>68.50293882794719</v>
      </c>
      <c r="H21" s="43">
        <v>67.476996726748268</v>
      </c>
      <c r="I21" s="43">
        <v>66.416983262376135</v>
      </c>
    </row>
    <row r="22" spans="1:9">
      <c r="A22" s="19">
        <v>361.6</v>
      </c>
      <c r="B22" s="43">
        <v>72.256991940286298</v>
      </c>
      <c r="C22" s="43">
        <v>71.812063790123489</v>
      </c>
      <c r="D22" s="43">
        <v>71.174914061518876</v>
      </c>
      <c r="E22" s="43">
        <v>70.392167888522948</v>
      </c>
      <c r="F22" s="43">
        <v>69.500704590089526</v>
      </c>
      <c r="G22" s="43">
        <v>68.5300610389111</v>
      </c>
      <c r="H22" s="43">
        <v>67.504511509725063</v>
      </c>
      <c r="I22" s="43">
        <v>66.444764936325782</v>
      </c>
    </row>
    <row r="23" spans="1:9">
      <c r="A23" s="19">
        <v>361.7</v>
      </c>
      <c r="B23" s="43">
        <v>72.280358936670666</v>
      </c>
      <c r="C23" s="43">
        <v>71.836421509104952</v>
      </c>
      <c r="D23" s="43">
        <v>71.200143127299015</v>
      </c>
      <c r="E23" s="43">
        <v>70.418147480136383</v>
      </c>
      <c r="F23" s="43">
        <v>69.527315600547723</v>
      </c>
      <c r="G23" s="43">
        <v>68.557185400989965</v>
      </c>
      <c r="H23" s="43">
        <v>67.532029423313617</v>
      </c>
      <c r="I23" s="43">
        <v>66.472550881387264</v>
      </c>
    </row>
    <row r="24" spans="1:9">
      <c r="A24" s="19">
        <v>361.8</v>
      </c>
      <c r="B24" s="43">
        <v>72.303724776146368</v>
      </c>
      <c r="C24" s="43">
        <v>71.860778529262689</v>
      </c>
      <c r="D24" s="43">
        <v>71.225372067884024</v>
      </c>
      <c r="E24" s="43">
        <v>70.444127612059816</v>
      </c>
      <c r="F24" s="43">
        <v>69.553927904943919</v>
      </c>
      <c r="G24" s="43">
        <v>68.584311910549133</v>
      </c>
      <c r="H24" s="43">
        <v>67.559550462747637</v>
      </c>
      <c r="I24" s="43">
        <v>66.500341091197896</v>
      </c>
    </row>
    <row r="25" spans="1:9">
      <c r="A25" s="19">
        <v>361.9</v>
      </c>
      <c r="B25" s="43">
        <v>72.327089458140307</v>
      </c>
      <c r="C25" s="43">
        <v>71.885134849511502</v>
      </c>
      <c r="D25" s="43">
        <v>71.250600881727564</v>
      </c>
      <c r="E25" s="43">
        <v>70.470108282241313</v>
      </c>
      <c r="F25" s="43">
        <v>69.580541500570092</v>
      </c>
      <c r="G25" s="43">
        <v>68.611440564092021</v>
      </c>
      <c r="H25" s="43">
        <v>67.587074623363662</v>
      </c>
      <c r="I25" s="43">
        <v>66.528135559645619</v>
      </c>
    </row>
    <row r="26" spans="1:9">
      <c r="A26" s="19">
        <v>362</v>
      </c>
      <c r="B26" s="43">
        <v>72.350452982085102</v>
      </c>
      <c r="C26" s="43">
        <v>71.909490468756815</v>
      </c>
      <c r="D26" s="43">
        <v>71.275829567238418</v>
      </c>
      <c r="E26" s="43">
        <v>70.496089488573546</v>
      </c>
      <c r="F26" s="43">
        <v>69.607156384695855</v>
      </c>
      <c r="G26" s="43">
        <v>68.638571358008477</v>
      </c>
      <c r="H26" s="43">
        <v>67.614601900423679</v>
      </c>
      <c r="I26" s="43">
        <v>66.555934280442699</v>
      </c>
    </row>
    <row r="27" spans="1:9">
      <c r="A27" s="19">
        <v>362.1</v>
      </c>
      <c r="B27" s="43">
        <v>72.373815347412858</v>
      </c>
      <c r="C27" s="43">
        <v>71.933845385916584</v>
      </c>
      <c r="D27" s="43">
        <v>71.301058122867119</v>
      </c>
      <c r="E27" s="43">
        <v>70.522071228981787</v>
      </c>
      <c r="F27" s="43">
        <v>69.633772554622794</v>
      </c>
      <c r="G27" s="43">
        <v>68.665704288784212</v>
      </c>
      <c r="H27" s="43">
        <v>67.642132289295347</v>
      </c>
      <c r="I27" s="43">
        <v>66.583737247445328</v>
      </c>
    </row>
    <row r="28" spans="1:9">
      <c r="A28" s="19">
        <v>362.2</v>
      </c>
      <c r="B28" s="43">
        <v>72.397176553559206</v>
      </c>
      <c r="C28" s="43">
        <v>71.958199599903736</v>
      </c>
      <c r="D28" s="43">
        <v>71.326286547040297</v>
      </c>
      <c r="E28" s="43">
        <v>70.548053501390712</v>
      </c>
      <c r="F28" s="43">
        <v>69.660390007618759</v>
      </c>
      <c r="G28" s="43">
        <v>68.692839352831868</v>
      </c>
      <c r="H28" s="43">
        <v>67.669665785237328</v>
      </c>
      <c r="I28" s="43">
        <v>66.611544454374524</v>
      </c>
    </row>
    <row r="29" spans="1:9">
      <c r="A29" s="19">
        <v>362.3</v>
      </c>
      <c r="B29" s="43">
        <v>72.420536599962787</v>
      </c>
      <c r="C29" s="43">
        <v>71.982553109639554</v>
      </c>
      <c r="D29" s="43">
        <v>71.351514838209198</v>
      </c>
      <c r="E29" s="43">
        <v>70.57403630372724</v>
      </c>
      <c r="F29" s="43">
        <v>69.687008740993662</v>
      </c>
      <c r="G29" s="43">
        <v>68.719976546650145</v>
      </c>
      <c r="H29" s="43">
        <v>67.697202383637801</v>
      </c>
      <c r="I29" s="43">
        <v>66.639355895150999</v>
      </c>
    </row>
    <row r="30" spans="1:9">
      <c r="A30" s="19">
        <v>362.4</v>
      </c>
      <c r="B30" s="43">
        <v>72.443895486064946</v>
      </c>
      <c r="C30" s="43">
        <v>72.006905914043642</v>
      </c>
      <c r="D30" s="43">
        <v>71.376742994813526</v>
      </c>
      <c r="E30" s="43">
        <v>70.600019633923608</v>
      </c>
      <c r="F30" s="43">
        <v>69.713628752059435</v>
      </c>
      <c r="G30" s="43">
        <v>68.747115866687295</v>
      </c>
      <c r="H30" s="43">
        <v>67.724742079805623</v>
      </c>
      <c r="I30" s="43">
        <v>66.667171563542183</v>
      </c>
    </row>
    <row r="31" spans="1:9">
      <c r="A31" s="19">
        <v>362.5</v>
      </c>
      <c r="B31" s="43">
        <v>72.467253211305746</v>
      </c>
      <c r="C31" s="43">
        <v>72.031258012042315</v>
      </c>
      <c r="D31" s="43">
        <v>71.401971015300262</v>
      </c>
      <c r="E31" s="43">
        <v>70.626003489920947</v>
      </c>
      <c r="F31" s="43">
        <v>69.740250038113231</v>
      </c>
      <c r="G31" s="43">
        <v>68.774257309443811</v>
      </c>
      <c r="H31" s="43">
        <v>67.752284869122889</v>
      </c>
      <c r="I31" s="43">
        <v>66.6949914534529</v>
      </c>
    </row>
    <row r="32" spans="1:9">
      <c r="A32" s="19">
        <v>362.6</v>
      </c>
      <c r="B32" s="43">
        <v>72.490609775133237</v>
      </c>
      <c r="C32" s="43">
        <v>72.055609402559895</v>
      </c>
      <c r="D32" s="43">
        <v>71.427198898121617</v>
      </c>
      <c r="E32" s="43">
        <v>70.651987869657006</v>
      </c>
      <c r="F32" s="43">
        <v>69.766872596477413</v>
      </c>
      <c r="G32" s="43">
        <v>68.801400871383322</v>
      </c>
      <c r="H32" s="43">
        <v>67.779830746944583</v>
      </c>
      <c r="I32" s="43">
        <v>66.722815558725358</v>
      </c>
    </row>
    <row r="33" spans="1:9">
      <c r="A33" s="19">
        <v>362.7</v>
      </c>
      <c r="B33" s="43">
        <v>72.513965176993651</v>
      </c>
      <c r="C33" s="43">
        <v>72.079960084524686</v>
      </c>
      <c r="D33" s="43">
        <v>71.452426641723974</v>
      </c>
      <c r="E33" s="43">
        <v>70.677972771063651</v>
      </c>
      <c r="F33" s="43">
        <v>69.793496424450524</v>
      </c>
      <c r="G33" s="43">
        <v>68.828546549001317</v>
      </c>
      <c r="H33" s="43">
        <v>67.8073797086154</v>
      </c>
      <c r="I33" s="43">
        <v>66.750643873204837</v>
      </c>
    </row>
    <row r="34" spans="1:9">
      <c r="A34" s="19">
        <v>362.8</v>
      </c>
      <c r="B34" s="43">
        <v>72.53731941633697</v>
      </c>
      <c r="C34" s="43">
        <v>72.104310056870531</v>
      </c>
      <c r="D34" s="43">
        <v>71.477654244568072</v>
      </c>
      <c r="E34" s="43">
        <v>70.70395819209773</v>
      </c>
      <c r="F34" s="43">
        <v>69.820121519378205</v>
      </c>
      <c r="G34" s="43">
        <v>68.855694338796752</v>
      </c>
      <c r="H34" s="43">
        <v>67.834931749539606</v>
      </c>
      <c r="I34" s="43">
        <v>66.778476390806532</v>
      </c>
    </row>
    <row r="35" spans="1:9">
      <c r="A35" s="19">
        <v>362.9</v>
      </c>
      <c r="B35" s="43">
        <v>72.560672492614287</v>
      </c>
      <c r="C35" s="43">
        <v>72.128659318528662</v>
      </c>
      <c r="D35" s="43">
        <v>71.502881705115442</v>
      </c>
      <c r="E35" s="43">
        <v>70.729944130711203</v>
      </c>
      <c r="F35" s="43">
        <v>69.846747878573041</v>
      </c>
      <c r="G35" s="43">
        <v>68.882844237296553</v>
      </c>
      <c r="H35" s="43">
        <v>67.862486865123572</v>
      </c>
      <c r="I35" s="43">
        <v>66.806313105461982</v>
      </c>
    </row>
    <row r="36" spans="1:9">
      <c r="A36" s="19">
        <v>363</v>
      </c>
      <c r="B36" s="43">
        <v>72.584024405281099</v>
      </c>
      <c r="C36" s="43">
        <v>72.153007868436021</v>
      </c>
      <c r="D36" s="43">
        <v>71.528109021828811</v>
      </c>
      <c r="E36" s="43">
        <v>70.75593058486163</v>
      </c>
      <c r="F36" s="43">
        <v>69.873375499385673</v>
      </c>
      <c r="G36" s="43">
        <v>68.909996240982423</v>
      </c>
      <c r="H36" s="43">
        <v>67.890045050762382</v>
      </c>
      <c r="I36" s="43">
        <v>66.83415401104287</v>
      </c>
    </row>
    <row r="37" spans="1:9">
      <c r="A37" s="19">
        <v>363.1</v>
      </c>
      <c r="B37" s="43">
        <v>72.607375153794408</v>
      </c>
      <c r="C37" s="43">
        <v>72.17735570553333</v>
      </c>
      <c r="D37" s="43">
        <v>71.553336193164967</v>
      </c>
      <c r="E37" s="43">
        <v>70.781917552501852</v>
      </c>
      <c r="F37" s="43">
        <v>69.9000043791427</v>
      </c>
      <c r="G37" s="43">
        <v>68.937150346396407</v>
      </c>
      <c r="H37" s="43">
        <v>67.917606301856949</v>
      </c>
      <c r="I37" s="43">
        <v>66.861999101491222</v>
      </c>
    </row>
    <row r="38" spans="1:9">
      <c r="A38" s="19">
        <v>363.2</v>
      </c>
      <c r="B38" s="43">
        <v>72.630724737613235</v>
      </c>
      <c r="C38" s="43">
        <v>72.201702828758414</v>
      </c>
      <c r="D38" s="43">
        <v>71.578563217596297</v>
      </c>
      <c r="E38" s="43">
        <v>70.807905031596334</v>
      </c>
      <c r="F38" s="43">
        <v>69.926634515195246</v>
      </c>
      <c r="G38" s="43">
        <v>68.96430655005264</v>
      </c>
      <c r="H38" s="43">
        <v>67.945170613836041</v>
      </c>
      <c r="I38" s="43">
        <v>66.889848370765947</v>
      </c>
    </row>
    <row r="39" spans="1:9">
      <c r="A39" s="19">
        <v>363.3</v>
      </c>
      <c r="B39" s="43">
        <v>72.654073156197398</v>
      </c>
      <c r="C39" s="43">
        <v>72.226049237059328</v>
      </c>
      <c r="D39" s="43">
        <v>71.603790093600082</v>
      </c>
      <c r="E39" s="43">
        <v>70.833893020113607</v>
      </c>
      <c r="F39" s="43">
        <v>69.953265904891055</v>
      </c>
      <c r="G39" s="43">
        <v>68.991464848515193</v>
      </c>
      <c r="H39" s="43">
        <v>67.972737982138597</v>
      </c>
      <c r="I39" s="43">
        <v>66.917701812814926</v>
      </c>
    </row>
    <row r="40" spans="1:9">
      <c r="A40" s="19">
        <v>363.4</v>
      </c>
      <c r="B40" s="43">
        <v>72.677420409012797</v>
      </c>
      <c r="C40" s="43">
        <v>72.250394929378871</v>
      </c>
      <c r="D40" s="43">
        <v>71.629016819642771</v>
      </c>
      <c r="E40" s="43">
        <v>70.859881516023364</v>
      </c>
      <c r="F40" s="43">
        <v>69.979898545588952</v>
      </c>
      <c r="G40" s="43">
        <v>69.018625238294391</v>
      </c>
      <c r="H40" s="43">
        <v>68.000308402208788</v>
      </c>
      <c r="I40" s="43">
        <v>66.945559421590929</v>
      </c>
    </row>
    <row r="41" spans="1:9">
      <c r="A41" s="19">
        <v>363.5</v>
      </c>
      <c r="B41" s="43">
        <v>72.700766495524903</v>
      </c>
      <c r="C41" s="43">
        <v>72.27473990466757</v>
      </c>
      <c r="D41" s="43">
        <v>71.654243394205935</v>
      </c>
      <c r="E41" s="43">
        <v>70.885870517301157</v>
      </c>
      <c r="F41" s="43">
        <v>70.006532434642537</v>
      </c>
      <c r="G41" s="43">
        <v>69.045787715951263</v>
      </c>
      <c r="H41" s="43">
        <v>68.027881869483735</v>
      </c>
      <c r="I41" s="43">
        <v>66.973421191082792</v>
      </c>
    </row>
    <row r="42" spans="1:9">
      <c r="A42" s="19">
        <v>363.6</v>
      </c>
      <c r="B42" s="43">
        <v>72.724111415202771</v>
      </c>
      <c r="C42" s="43">
        <v>72.299084161874362</v>
      </c>
      <c r="D42" s="43">
        <v>71.679469815755368</v>
      </c>
      <c r="E42" s="43">
        <v>70.911860021917619</v>
      </c>
      <c r="F42" s="43">
        <v>70.03316756941058</v>
      </c>
      <c r="G42" s="43">
        <v>69.072952278024076</v>
      </c>
      <c r="H42" s="43">
        <v>68.055458379420372</v>
      </c>
      <c r="I42" s="43">
        <v>67.001287115271936</v>
      </c>
    </row>
    <row r="43" spans="1:9">
      <c r="A43" s="19">
        <v>363.7</v>
      </c>
      <c r="B43" s="43">
        <v>72.747455167513721</v>
      </c>
      <c r="C43" s="43">
        <v>72.323427699959012</v>
      </c>
      <c r="D43" s="43">
        <v>71.704696082801689</v>
      </c>
      <c r="E43" s="43">
        <v>70.937850027870297</v>
      </c>
      <c r="F43" s="43">
        <v>70.059803947302555</v>
      </c>
      <c r="G43" s="43">
        <v>69.100118921144627</v>
      </c>
      <c r="H43" s="43">
        <v>68.083037927544211</v>
      </c>
      <c r="I43" s="43">
        <v>67.029157188228993</v>
      </c>
    </row>
    <row r="44" spans="1:9">
      <c r="A44" s="19">
        <v>363.8</v>
      </c>
      <c r="B44" s="43">
        <v>72.770797751936129</v>
      </c>
      <c r="C44" s="43">
        <v>72.34777051787205</v>
      </c>
      <c r="D44" s="43">
        <v>71.729922193807766</v>
      </c>
      <c r="E44" s="43">
        <v>70.963840533133094</v>
      </c>
      <c r="F44" s="43">
        <v>70.086441565641422</v>
      </c>
      <c r="G44" s="43">
        <v>69.127287641812615</v>
      </c>
      <c r="H44" s="43">
        <v>68.110620509278903</v>
      </c>
      <c r="I44" s="43">
        <v>67.057031403897128</v>
      </c>
    </row>
    <row r="45" spans="1:9">
      <c r="A45" s="19">
        <v>363.9</v>
      </c>
      <c r="B45" s="43">
        <v>72.794139167941552</v>
      </c>
      <c r="C45" s="43">
        <v>72.37211261457557</v>
      </c>
      <c r="D45" s="43">
        <v>71.755148147272507</v>
      </c>
      <c r="E45" s="43">
        <v>70.989831535705093</v>
      </c>
      <c r="F45" s="43">
        <v>70.113080421862009</v>
      </c>
      <c r="G45" s="43">
        <v>69.154458436640965</v>
      </c>
      <c r="H45" s="43">
        <v>68.138206120162749</v>
      </c>
      <c r="I45" s="43">
        <v>67.084909756360531</v>
      </c>
    </row>
    <row r="46" spans="1:9">
      <c r="A46" s="19">
        <v>364</v>
      </c>
      <c r="B46" s="43">
        <v>72.817479415010183</v>
      </c>
      <c r="C46" s="43">
        <v>72.396453989028117</v>
      </c>
      <c r="D46" s="43">
        <v>71.780373941679443</v>
      </c>
      <c r="E46" s="43">
        <v>71.015823033567301</v>
      </c>
      <c r="F46" s="43">
        <v>70.139720513302905</v>
      </c>
      <c r="G46" s="43">
        <v>69.181631302191818</v>
      </c>
      <c r="H46" s="43">
        <v>68.165794755636256</v>
      </c>
      <c r="I46" s="43">
        <v>67.112792239613782</v>
      </c>
    </row>
    <row r="47" spans="1:9">
      <c r="A47" s="19">
        <v>364.1</v>
      </c>
      <c r="B47" s="43">
        <v>72.84081849261969</v>
      </c>
      <c r="C47" s="43">
        <v>72.420794640194174</v>
      </c>
      <c r="D47" s="43">
        <v>71.805599575535808</v>
      </c>
      <c r="E47" s="43">
        <v>71.041815024725338</v>
      </c>
      <c r="F47" s="43">
        <v>70.166361837389957</v>
      </c>
      <c r="G47" s="43">
        <v>69.208806235091146</v>
      </c>
      <c r="H47" s="43">
        <v>68.193386411264839</v>
      </c>
      <c r="I47" s="43">
        <v>67.140678847760057</v>
      </c>
    </row>
    <row r="48" spans="1:9">
      <c r="A48" s="19">
        <v>364.2</v>
      </c>
      <c r="B48" s="43">
        <v>72.864156400255155</v>
      </c>
      <c r="C48" s="43">
        <v>72.445134567042032</v>
      </c>
      <c r="D48" s="43">
        <v>71.830825047325249</v>
      </c>
      <c r="E48" s="43">
        <v>71.067807507178514</v>
      </c>
      <c r="F48" s="43">
        <v>70.193004391497425</v>
      </c>
      <c r="G48" s="43">
        <v>69.235983231897279</v>
      </c>
      <c r="H48" s="43">
        <v>68.220981082535673</v>
      </c>
      <c r="I48" s="43">
        <v>67.168569574841257</v>
      </c>
    </row>
    <row r="49" spans="1:9">
      <c r="A49" s="19">
        <v>364.3</v>
      </c>
      <c r="B49" s="43">
        <v>72.887493137399218</v>
      </c>
      <c r="C49" s="43">
        <v>72.469473768538904</v>
      </c>
      <c r="D49" s="43">
        <v>71.856050355559432</v>
      </c>
      <c r="E49" s="43">
        <v>71.093800478936174</v>
      </c>
      <c r="F49" s="43">
        <v>70.219648173040639</v>
      </c>
      <c r="G49" s="43">
        <v>69.263162289253899</v>
      </c>
      <c r="H49" s="43">
        <v>68.248578765016589</v>
      </c>
      <c r="I49" s="43">
        <v>67.196464414990658</v>
      </c>
    </row>
    <row r="50" spans="1:9">
      <c r="A50" s="19">
        <v>364.4</v>
      </c>
      <c r="B50" s="43">
        <v>72.910828703541313</v>
      </c>
      <c r="C50" s="43">
        <v>72.49381224365564</v>
      </c>
      <c r="D50" s="43">
        <v>71.881275498734482</v>
      </c>
      <c r="E50" s="43">
        <v>71.119793937992085</v>
      </c>
      <c r="F50" s="43">
        <v>70.246293179413044</v>
      </c>
      <c r="G50" s="43">
        <v>69.290343403752047</v>
      </c>
      <c r="H50" s="43">
        <v>68.276179454179356</v>
      </c>
      <c r="I50" s="43">
        <v>67.224363362222476</v>
      </c>
    </row>
    <row r="51" spans="1:9">
      <c r="A51" s="19">
        <v>364.5</v>
      </c>
      <c r="B51" s="43">
        <v>72.934163098168625</v>
      </c>
      <c r="C51" s="43">
        <v>72.518149991368574</v>
      </c>
      <c r="D51" s="43">
        <v>71.906500475367125</v>
      </c>
      <c r="E51" s="43">
        <v>71.145787882390664</v>
      </c>
      <c r="F51" s="43">
        <v>70.272939408066804</v>
      </c>
      <c r="G51" s="43">
        <v>69.317526572051037</v>
      </c>
      <c r="H51" s="43">
        <v>68.303783145675567</v>
      </c>
      <c r="I51" s="43">
        <v>67.252266410757017</v>
      </c>
    </row>
    <row r="52" spans="1:9">
      <c r="A52" s="19">
        <v>364.6</v>
      </c>
      <c r="B52" s="43">
        <v>72.957496320773146</v>
      </c>
      <c r="C52" s="43">
        <v>72.542487010650859</v>
      </c>
      <c r="D52" s="43">
        <v>71.931725283954989</v>
      </c>
      <c r="E52" s="43">
        <v>71.171782310122865</v>
      </c>
      <c r="F52" s="43">
        <v>70.299586856367512</v>
      </c>
      <c r="G52" s="43">
        <v>69.344711790730202</v>
      </c>
      <c r="H52" s="43">
        <v>68.331389834973578</v>
      </c>
      <c r="I52" s="43">
        <v>67.280173554616596</v>
      </c>
    </row>
    <row r="53" spans="1:9">
      <c r="A53" s="19">
        <v>364.7</v>
      </c>
      <c r="B53" s="43">
        <v>72.980828370849679</v>
      </c>
      <c r="C53" s="43">
        <v>72.566823300483151</v>
      </c>
      <c r="D53" s="43">
        <v>71.95694992302154</v>
      </c>
      <c r="E53" s="43">
        <v>71.197777219208945</v>
      </c>
      <c r="F53" s="43">
        <v>70.326235521773015</v>
      </c>
      <c r="G53" s="43">
        <v>69.371899056453856</v>
      </c>
      <c r="H53" s="43">
        <v>68.358999517696645</v>
      </c>
      <c r="I53" s="43">
        <v>67.308084787998865</v>
      </c>
    </row>
    <row r="54" spans="1:9">
      <c r="A54" s="19">
        <v>364.8</v>
      </c>
      <c r="B54" s="43">
        <v>73.00415924789624</v>
      </c>
      <c r="C54" s="43">
        <v>72.591158859843517</v>
      </c>
      <c r="D54" s="43">
        <v>71.982174391066764</v>
      </c>
      <c r="E54" s="43">
        <v>71.223772607679166</v>
      </c>
      <c r="F54" s="43">
        <v>70.352885401695659</v>
      </c>
      <c r="G54" s="43">
        <v>69.399088365853743</v>
      </c>
      <c r="H54" s="43">
        <v>68.386612189398051</v>
      </c>
      <c r="I54" s="43">
        <v>67.336000105005724</v>
      </c>
    </row>
    <row r="55" spans="1:9">
      <c r="A55" s="19">
        <v>364.9</v>
      </c>
      <c r="B55" s="43">
        <v>73.027488951410362</v>
      </c>
      <c r="C55" s="43">
        <v>72.615493687717617</v>
      </c>
      <c r="D55" s="43">
        <v>72.007398686617989</v>
      </c>
      <c r="E55" s="43">
        <v>71.249768473558106</v>
      </c>
      <c r="F55" s="43">
        <v>70.379536493556003</v>
      </c>
      <c r="G55" s="43">
        <v>69.42627971556729</v>
      </c>
      <c r="H55" s="43">
        <v>68.414227845659781</v>
      </c>
      <c r="I55" s="43">
        <v>67.363919499830331</v>
      </c>
    </row>
    <row r="56" spans="1:9">
      <c r="A56" s="19">
        <v>365</v>
      </c>
      <c r="B56" s="43">
        <v>73.050817480892874</v>
      </c>
      <c r="C56" s="43">
        <v>72.63982778309267</v>
      </c>
      <c r="D56" s="43">
        <v>72.03262280820141</v>
      </c>
      <c r="E56" s="43">
        <v>71.275764814881796</v>
      </c>
      <c r="F56" s="43">
        <v>70.406188794812778</v>
      </c>
      <c r="G56" s="43">
        <v>69.453473102271516</v>
      </c>
      <c r="H56" s="43">
        <v>68.44184648208514</v>
      </c>
      <c r="I56" s="43">
        <v>67.39184296662782</v>
      </c>
    </row>
    <row r="57" spans="1:9">
      <c r="A57" s="19">
        <v>365.1</v>
      </c>
      <c r="B57" s="43">
        <v>73.074144835847136</v>
      </c>
      <c r="C57" s="43">
        <v>72.66416114495641</v>
      </c>
      <c r="D57" s="43">
        <v>72.057846754334719</v>
      </c>
      <c r="E57" s="43">
        <v>71.301761629683853</v>
      </c>
      <c r="F57" s="43">
        <v>70.43284230291664</v>
      </c>
      <c r="G57" s="43">
        <v>69.480668522629543</v>
      </c>
      <c r="H57" s="43">
        <v>68.469468094309946</v>
      </c>
      <c r="I57" s="43">
        <v>67.419770499619176</v>
      </c>
    </row>
    <row r="58" spans="1:9">
      <c r="A58" s="19">
        <v>365.2</v>
      </c>
      <c r="B58" s="43">
        <v>73.097471015780997</v>
      </c>
      <c r="C58" s="43">
        <v>72.688493772298841</v>
      </c>
      <c r="D58" s="43">
        <v>72.083070523544109</v>
      </c>
      <c r="E58" s="43">
        <v>71.327758916003404</v>
      </c>
      <c r="F58" s="43">
        <v>70.459497015282523</v>
      </c>
      <c r="G58" s="43">
        <v>69.507865973297669</v>
      </c>
      <c r="H58" s="43">
        <v>68.497092677887622</v>
      </c>
      <c r="I58" s="43">
        <v>67.447702092959446</v>
      </c>
    </row>
    <row r="59" spans="1:9">
      <c r="A59" s="19">
        <v>365.3</v>
      </c>
      <c r="B59" s="43">
        <v>73.120796020198298</v>
      </c>
      <c r="C59" s="43">
        <v>72.712825664114717</v>
      </c>
      <c r="D59" s="43">
        <v>72.108294114365037</v>
      </c>
      <c r="E59" s="43">
        <v>71.353756671887311</v>
      </c>
      <c r="F59" s="43">
        <v>70.486152929402408</v>
      </c>
      <c r="G59" s="43">
        <v>69.535065450970563</v>
      </c>
      <c r="H59" s="43">
        <v>68.524720228521744</v>
      </c>
      <c r="I59" s="43">
        <v>67.475637740890249</v>
      </c>
    </row>
    <row r="60" spans="1:9">
      <c r="A60" s="19">
        <v>365.4</v>
      </c>
      <c r="B60" s="43">
        <v>73.144119848613428</v>
      </c>
      <c r="C60" s="43">
        <v>72.737156819399587</v>
      </c>
      <c r="D60" s="43">
        <v>72.133517525325544</v>
      </c>
      <c r="E60" s="43">
        <v>71.379754895370183</v>
      </c>
      <c r="F60" s="43">
        <v>70.512810042708395</v>
      </c>
      <c r="G60" s="43">
        <v>69.562266952320385</v>
      </c>
      <c r="H60" s="43">
        <v>68.55235074179032</v>
      </c>
      <c r="I60" s="43">
        <v>67.503577437612222</v>
      </c>
    </row>
    <row r="61" spans="1:9">
      <c r="A61" s="19">
        <v>365.5</v>
      </c>
      <c r="B61" s="43">
        <v>73.167442500540062</v>
      </c>
      <c r="C61" s="43">
        <v>72.76148723715076</v>
      </c>
      <c r="D61" s="43">
        <v>72.15874075495617</v>
      </c>
      <c r="E61" s="43">
        <v>71.405753584502605</v>
      </c>
      <c r="F61" s="43">
        <v>70.539468352659895</v>
      </c>
      <c r="G61" s="43">
        <v>69.589470474020658</v>
      </c>
      <c r="H61" s="43">
        <v>68.579984213353612</v>
      </c>
      <c r="I61" s="43">
        <v>67.531521177374742</v>
      </c>
    </row>
    <row r="62" spans="1:9">
      <c r="A62" s="19">
        <v>365.6</v>
      </c>
      <c r="B62" s="43">
        <v>73.190763975490057</v>
      </c>
      <c r="C62" s="43">
        <v>72.785816916371175</v>
      </c>
      <c r="D62" s="43">
        <v>72.183963801805675</v>
      </c>
      <c r="E62" s="43">
        <v>71.431752737351104</v>
      </c>
      <c r="F62" s="43">
        <v>70.566127856742355</v>
      </c>
      <c r="G62" s="43">
        <v>69.616676012802799</v>
      </c>
      <c r="H62" s="43">
        <v>68.607620638877677</v>
      </c>
      <c r="I62" s="43">
        <v>67.559468954425682</v>
      </c>
    </row>
    <row r="63" spans="1:9">
      <c r="A63" s="19">
        <v>365.7</v>
      </c>
      <c r="B63" s="43">
        <v>73.214084272977715</v>
      </c>
      <c r="C63" s="43">
        <v>72.810145856064537</v>
      </c>
      <c r="D63" s="43">
        <v>72.20918666441716</v>
      </c>
      <c r="E63" s="43">
        <v>71.457752351983203</v>
      </c>
      <c r="F63" s="43">
        <v>70.592788552441419</v>
      </c>
      <c r="G63" s="43">
        <v>69.643883565376058</v>
      </c>
      <c r="H63" s="43">
        <v>68.635260014047873</v>
      </c>
      <c r="I63" s="43">
        <v>67.587420763076693</v>
      </c>
    </row>
    <row r="64" spans="1:9">
      <c r="A64" s="19">
        <v>365.8</v>
      </c>
      <c r="B64" s="43">
        <v>73.237403392531093</v>
      </c>
      <c r="C64" s="43">
        <v>72.834474055234551</v>
      </c>
      <c r="D64" s="43">
        <v>72.234409341325517</v>
      </c>
      <c r="E64" s="43">
        <v>71.483752426434904</v>
      </c>
      <c r="F64" s="43">
        <v>70.619450437203</v>
      </c>
      <c r="G64" s="43">
        <v>69.67109312842652</v>
      </c>
      <c r="H64" s="43">
        <v>68.662902334483732</v>
      </c>
      <c r="I64" s="43">
        <v>67.615376597502745</v>
      </c>
    </row>
    <row r="65" spans="1:9">
      <c r="A65" s="19">
        <v>365.9</v>
      </c>
      <c r="B65" s="43">
        <v>73.260721333666368</v>
      </c>
      <c r="C65" s="43">
        <v>72.858801512890722</v>
      </c>
      <c r="D65" s="43">
        <v>72.259631831086296</v>
      </c>
      <c r="E65" s="43">
        <v>71.509752958789534</v>
      </c>
      <c r="F65" s="43">
        <v>70.646113508534626</v>
      </c>
      <c r="G65" s="43">
        <v>69.698304698694955</v>
      </c>
      <c r="H65" s="43">
        <v>68.69054759593314</v>
      </c>
      <c r="I65" s="43">
        <v>67.643336452094132</v>
      </c>
    </row>
    <row r="66" spans="1:9">
      <c r="A66" s="19">
        <v>366</v>
      </c>
      <c r="B66" s="43">
        <v>73.284038095911313</v>
      </c>
      <c r="C66" s="43">
        <v>72.883128228043773</v>
      </c>
      <c r="D66" s="43">
        <v>72.284854132240952</v>
      </c>
      <c r="E66" s="43">
        <v>71.535753947101938</v>
      </c>
      <c r="F66" s="43">
        <v>70.672777763911625</v>
      </c>
      <c r="G66" s="43">
        <v>69.725518272878332</v>
      </c>
      <c r="H66" s="43">
        <v>68.718195794022193</v>
      </c>
      <c r="I66" s="43">
        <v>67.671300321061693</v>
      </c>
    </row>
    <row r="67" spans="1:9">
      <c r="A67" s="19">
        <v>366.1</v>
      </c>
      <c r="B67" s="43">
        <v>73.30735367878961</v>
      </c>
      <c r="C67" s="43">
        <v>72.907454199707303</v>
      </c>
      <c r="D67" s="43">
        <v>72.31007624335362</v>
      </c>
      <c r="E67" s="43">
        <v>71.561755389456124</v>
      </c>
      <c r="F67" s="43">
        <v>70.699443200841785</v>
      </c>
      <c r="G67" s="43">
        <v>69.752733847740672</v>
      </c>
      <c r="H67" s="43">
        <v>68.745846924502445</v>
      </c>
      <c r="I67" s="43">
        <v>67.699268198788843</v>
      </c>
    </row>
    <row r="68" spans="1:9">
      <c r="A68" s="19">
        <v>366.2</v>
      </c>
      <c r="B68" s="43">
        <v>73.33066808183392</v>
      </c>
      <c r="C68" s="43">
        <v>72.931779426895588</v>
      </c>
      <c r="D68" s="43">
        <v>72.335298162970304</v>
      </c>
      <c r="E68" s="43">
        <v>71.587757283923537</v>
      </c>
      <c r="F68" s="43">
        <v>70.726109816796424</v>
      </c>
      <c r="G68" s="43">
        <v>69.779951419991789</v>
      </c>
      <c r="H68" s="43">
        <v>68.773500983032847</v>
      </c>
      <c r="I68" s="43">
        <v>67.727240079564382</v>
      </c>
    </row>
    <row r="69" spans="1:9">
      <c r="A69" s="19">
        <v>366.3</v>
      </c>
      <c r="B69" s="43">
        <v>73.353981304570794</v>
      </c>
      <c r="C69" s="43">
        <v>72.956103908628961</v>
      </c>
      <c r="D69" s="43">
        <v>72.360519889655137</v>
      </c>
      <c r="E69" s="43">
        <v>71.613759628587275</v>
      </c>
      <c r="F69" s="43">
        <v>70.752777609312631</v>
      </c>
      <c r="G69" s="43">
        <v>69.807170986417731</v>
      </c>
      <c r="H69" s="43">
        <v>68.801157965414518</v>
      </c>
      <c r="I69" s="43">
        <v>67.755215957728211</v>
      </c>
    </row>
    <row r="70" spans="1:9">
      <c r="A70" s="19">
        <v>366.4</v>
      </c>
      <c r="B70" s="43">
        <v>73.377293346540483</v>
      </c>
      <c r="C70" s="43">
        <v>72.980427643925481</v>
      </c>
      <c r="D70" s="43">
        <v>72.38574142196839</v>
      </c>
      <c r="E70" s="43">
        <v>71.63976242152404</v>
      </c>
      <c r="F70" s="43">
        <v>70.779446575879575</v>
      </c>
      <c r="G70" s="43">
        <v>69.834392543723055</v>
      </c>
      <c r="H70" s="43">
        <v>68.828817867303826</v>
      </c>
      <c r="I70" s="43">
        <v>67.783195827650843</v>
      </c>
    </row>
    <row r="71" spans="1:9">
      <c r="A71" s="19">
        <v>366.5</v>
      </c>
      <c r="B71" s="43">
        <v>73.400604207274085</v>
      </c>
      <c r="C71" s="43">
        <v>73.004750631809969</v>
      </c>
      <c r="D71" s="43">
        <v>72.410962758476359</v>
      </c>
      <c r="E71" s="43">
        <v>71.665765660835234</v>
      </c>
      <c r="F71" s="43">
        <v>70.806116714009477</v>
      </c>
      <c r="G71" s="43">
        <v>69.861616088717909</v>
      </c>
      <c r="H71" s="43">
        <v>68.856480684482733</v>
      </c>
      <c r="I71" s="43">
        <v>67.811179683681019</v>
      </c>
    </row>
    <row r="72" spans="1:9">
      <c r="A72" s="19">
        <v>366.6</v>
      </c>
      <c r="B72" s="43">
        <v>73.423913886308839</v>
      </c>
      <c r="C72" s="43">
        <v>73.029072871308244</v>
      </c>
      <c r="D72" s="43">
        <v>72.436183897746787</v>
      </c>
      <c r="E72" s="43">
        <v>71.691769344601425</v>
      </c>
      <c r="F72" s="43">
        <v>70.832788021243374</v>
      </c>
      <c r="G72" s="43">
        <v>69.888841618150281</v>
      </c>
      <c r="H72" s="43">
        <v>68.88414641268912</v>
      </c>
      <c r="I72" s="43">
        <v>67.839167520192547</v>
      </c>
    </row>
    <row r="73" spans="1:9">
      <c r="A73" s="19">
        <v>366.7</v>
      </c>
      <c r="B73" s="43">
        <v>73.44722238319099</v>
      </c>
      <c r="C73" s="43">
        <v>73.053394361446919</v>
      </c>
      <c r="D73" s="43">
        <v>72.461404838345601</v>
      </c>
      <c r="E73" s="43">
        <v>71.71777347091637</v>
      </c>
      <c r="F73" s="43">
        <v>70.859460495066742</v>
      </c>
      <c r="G73" s="43">
        <v>69.916069128770516</v>
      </c>
      <c r="H73" s="43">
        <v>68.911815047669108</v>
      </c>
      <c r="I73" s="43">
        <v>67.867159331566882</v>
      </c>
    </row>
    <row r="74" spans="1:9">
      <c r="A74" s="19">
        <v>366.8</v>
      </c>
      <c r="B74" s="43">
        <v>73.470529697461728</v>
      </c>
      <c r="C74" s="43">
        <v>73.077715101256928</v>
      </c>
      <c r="D74" s="43">
        <v>72.486625578847992</v>
      </c>
      <c r="E74" s="43">
        <v>71.743778037884113</v>
      </c>
      <c r="F74" s="43">
        <v>70.886134133041736</v>
      </c>
      <c r="G74" s="43">
        <v>69.943298617379099</v>
      </c>
      <c r="H74" s="43">
        <v>68.939486585198779</v>
      </c>
      <c r="I74" s="43">
        <v>67.895155112198722</v>
      </c>
    </row>
    <row r="75" spans="1:9">
      <c r="A75" s="19">
        <v>366.9</v>
      </c>
      <c r="B75" s="43">
        <v>73.493835828664572</v>
      </c>
      <c r="C75" s="43">
        <v>73.102035089771391</v>
      </c>
      <c r="D75" s="43">
        <v>72.511846117833045</v>
      </c>
      <c r="E75" s="43">
        <v>71.769783043601279</v>
      </c>
      <c r="F75" s="43">
        <v>70.912808932684186</v>
      </c>
      <c r="G75" s="43">
        <v>69.970530080763098</v>
      </c>
      <c r="H75" s="43">
        <v>68.967161021055517</v>
      </c>
      <c r="I75" s="43">
        <v>67.923154856520711</v>
      </c>
    </row>
    <row r="76" spans="1:9">
      <c r="A76" s="19">
        <v>367</v>
      </c>
      <c r="B76" s="43">
        <v>73.517140776349777</v>
      </c>
      <c r="C76" s="43">
        <v>73.126354326025677</v>
      </c>
      <c r="D76" s="43">
        <v>72.53706645387831</v>
      </c>
      <c r="E76" s="43">
        <v>71.795788486182374</v>
      </c>
      <c r="F76" s="43">
        <v>70.939484891539934</v>
      </c>
      <c r="G76" s="43">
        <v>69.997763515731691</v>
      </c>
      <c r="H76" s="43">
        <v>68.994838351030069</v>
      </c>
      <c r="I76" s="43">
        <v>67.951158558960515</v>
      </c>
    </row>
    <row r="77" spans="1:9">
      <c r="A77" s="19">
        <v>367.1</v>
      </c>
      <c r="B77" s="43">
        <v>73.54044454006555</v>
      </c>
      <c r="C77" s="43">
        <v>73.150672809057284</v>
      </c>
      <c r="D77" s="43">
        <v>72.562286585564294</v>
      </c>
      <c r="E77" s="43">
        <v>71.821794363730078</v>
      </c>
      <c r="F77" s="43">
        <v>70.966162007147517</v>
      </c>
      <c r="G77" s="43">
        <v>70.024998919058845</v>
      </c>
      <c r="H77" s="43">
        <v>69.022518570896239</v>
      </c>
      <c r="I77" s="43">
        <v>67.979166213948702</v>
      </c>
    </row>
    <row r="78" spans="1:9">
      <c r="A78" s="19">
        <v>367.2</v>
      </c>
      <c r="B78" s="43">
        <v>73.563747119364308</v>
      </c>
      <c r="C78" s="43">
        <v>73.17499053790641</v>
      </c>
      <c r="D78" s="43">
        <v>72.587506511476676</v>
      </c>
      <c r="E78" s="43">
        <v>71.847800674354943</v>
      </c>
      <c r="F78" s="43">
        <v>70.992840277052039</v>
      </c>
      <c r="G78" s="43">
        <v>70.052236287563261</v>
      </c>
      <c r="H78" s="43">
        <v>69.050201676493231</v>
      </c>
      <c r="I78" s="43">
        <v>68.00717781590339</v>
      </c>
    </row>
    <row r="79" spans="1:9">
      <c r="A79" s="19">
        <v>367.3</v>
      </c>
      <c r="B79" s="43">
        <v>73.58704851380142</v>
      </c>
      <c r="C79" s="43">
        <v>73.199307511616041</v>
      </c>
      <c r="D79" s="43">
        <v>72.612726230203918</v>
      </c>
      <c r="E79" s="43">
        <v>71.873807416188924</v>
      </c>
      <c r="F79" s="43">
        <v>71.019519698824979</v>
      </c>
      <c r="G79" s="43">
        <v>70.07947561806165</v>
      </c>
      <c r="H79" s="43">
        <v>69.077887663611875</v>
      </c>
      <c r="I79" s="43">
        <v>68.035193359330691</v>
      </c>
    </row>
    <row r="80" spans="1:9">
      <c r="A80" s="19">
        <v>367.4</v>
      </c>
      <c r="B80" s="43">
        <v>73.610348722933651</v>
      </c>
      <c r="C80" s="43">
        <v>73.223623729231036</v>
      </c>
      <c r="D80" s="43">
        <v>72.637945740335113</v>
      </c>
      <c r="E80" s="43">
        <v>71.899814587330809</v>
      </c>
      <c r="F80" s="43">
        <v>71.046200270002345</v>
      </c>
      <c r="G80" s="43">
        <v>70.106716907374079</v>
      </c>
      <c r="H80" s="43">
        <v>69.105576528059942</v>
      </c>
      <c r="I80" s="43">
        <v>68.063212838692067</v>
      </c>
    </row>
    <row r="81" spans="1:9">
      <c r="A81" s="19">
        <v>367.5</v>
      </c>
      <c r="B81" s="43">
        <v>73.633647746322197</v>
      </c>
      <c r="C81" s="43">
        <v>73.247939189798672</v>
      </c>
      <c r="D81" s="43">
        <v>72.663165040463326</v>
      </c>
      <c r="E81" s="43">
        <v>71.925822185919003</v>
      </c>
      <c r="F81" s="43">
        <v>71.072881988149675</v>
      </c>
      <c r="G81" s="43">
        <v>70.13396015232027</v>
      </c>
      <c r="H81" s="43">
        <v>69.133268265712672</v>
      </c>
      <c r="I81" s="43">
        <v>68.091236248437866</v>
      </c>
    </row>
    <row r="82" spans="1:9">
      <c r="A82" s="19">
        <v>367.6</v>
      </c>
      <c r="B82" s="43">
        <v>73.656945583526294</v>
      </c>
      <c r="C82" s="43">
        <v>73.272253892369008</v>
      </c>
      <c r="D82" s="43">
        <v>72.688384129185721</v>
      </c>
      <c r="E82" s="43">
        <v>71.951830210074775</v>
      </c>
      <c r="F82" s="43">
        <v>71.09956485085408</v>
      </c>
      <c r="G82" s="43">
        <v>70.161205349747576</v>
      </c>
      <c r="H82" s="43">
        <v>69.160962872379741</v>
      </c>
      <c r="I82" s="43">
        <v>68.119263583118169</v>
      </c>
    </row>
    <row r="83" spans="1:9">
      <c r="A83" s="19">
        <v>367.7</v>
      </c>
      <c r="B83" s="43">
        <v>73.680242234110693</v>
      </c>
      <c r="C83" s="43">
        <v>73.296567835996171</v>
      </c>
      <c r="D83" s="43">
        <v>72.713603005102044</v>
      </c>
      <c r="E83" s="43">
        <v>71.977838657942613</v>
      </c>
      <c r="F83" s="43">
        <v>71.126248855677431</v>
      </c>
      <c r="G83" s="43">
        <v>70.188452496504055</v>
      </c>
      <c r="H83" s="43">
        <v>69.188660343942018</v>
      </c>
      <c r="I83" s="43">
        <v>68.147294837219789</v>
      </c>
    </row>
    <row r="84" spans="1:9">
      <c r="A84" s="19">
        <v>367.8</v>
      </c>
      <c r="B84" s="43">
        <v>73.703537697643299</v>
      </c>
      <c r="C84" s="43">
        <v>73.32088101973207</v>
      </c>
      <c r="D84" s="43">
        <v>72.738821666811788</v>
      </c>
      <c r="E84" s="43">
        <v>72.003847527636509</v>
      </c>
      <c r="F84" s="43">
        <v>71.152934000179471</v>
      </c>
      <c r="G84" s="43">
        <v>70.215701589404887</v>
      </c>
      <c r="H84" s="43">
        <v>69.21636067619562</v>
      </c>
      <c r="I84" s="43">
        <v>68.17533000525296</v>
      </c>
    </row>
    <row r="85" spans="1:9">
      <c r="A85" s="19">
        <v>367.9</v>
      </c>
      <c r="B85" s="43">
        <v>73.72683197369048</v>
      </c>
      <c r="C85" s="43">
        <v>73.345193442636969</v>
      </c>
      <c r="D85" s="43">
        <v>72.764040112922856</v>
      </c>
      <c r="E85" s="43">
        <v>72.02985681732298</v>
      </c>
      <c r="F85" s="43">
        <v>71.179620281972944</v>
      </c>
      <c r="G85" s="43">
        <v>70.242952625361681</v>
      </c>
      <c r="H85" s="43">
        <v>69.2440638650925</v>
      </c>
      <c r="I85" s="43">
        <v>68.203369081814458</v>
      </c>
    </row>
    <row r="86" spans="1:9">
      <c r="A86" s="19">
        <v>368</v>
      </c>
      <c r="B86" s="43">
        <v>73.750125061826935</v>
      </c>
      <c r="C86" s="43">
        <v>73.369505103768233</v>
      </c>
      <c r="D86" s="43">
        <v>72.789258342037471</v>
      </c>
      <c r="E86" s="43">
        <v>72.055866525109479</v>
      </c>
      <c r="F86" s="43">
        <v>71.206307698619099</v>
      </c>
      <c r="G86" s="43">
        <v>70.270205601175235</v>
      </c>
      <c r="H86" s="43">
        <v>69.271769906434201</v>
      </c>
      <c r="I86" s="43">
        <v>68.231412061370008</v>
      </c>
    </row>
    <row r="87" spans="1:9">
      <c r="A87" s="19">
        <v>368.1</v>
      </c>
      <c r="B87" s="43">
        <v>73.773416961621137</v>
      </c>
      <c r="C87" s="43">
        <v>73.393816002189823</v>
      </c>
      <c r="D87" s="43">
        <v>72.8144763527728</v>
      </c>
      <c r="E87" s="43">
        <v>72.08187664917449</v>
      </c>
      <c r="F87" s="43">
        <v>71.232996247732558</v>
      </c>
      <c r="G87" s="43">
        <v>70.297460513757414</v>
      </c>
      <c r="H87" s="43">
        <v>69.299478796179301</v>
      </c>
      <c r="I87" s="43">
        <v>68.25945893853725</v>
      </c>
    </row>
    <row r="88" spans="1:9">
      <c r="A88" s="19">
        <v>368.2</v>
      </c>
      <c r="B88" s="43">
        <v>73.796707672652389</v>
      </c>
      <c r="C88" s="43">
        <v>73.418126136964986</v>
      </c>
      <c r="D88" s="43">
        <v>72.839694143737404</v>
      </c>
      <c r="E88" s="43">
        <v>72.107887187644053</v>
      </c>
      <c r="F88" s="43">
        <v>71.259685926898698</v>
      </c>
      <c r="G88" s="43">
        <v>70.324717359949034</v>
      </c>
      <c r="H88" s="43">
        <v>69.327190530162824</v>
      </c>
      <c r="I88" s="43">
        <v>68.287509707837387</v>
      </c>
    </row>
    <row r="89" spans="1:9">
      <c r="A89" s="19">
        <v>368.3</v>
      </c>
      <c r="B89" s="43">
        <v>73.819997194495386</v>
      </c>
      <c r="C89" s="43">
        <v>73.442435507162457</v>
      </c>
      <c r="D89" s="43">
        <v>72.864911713550697</v>
      </c>
      <c r="E89" s="43">
        <v>72.133898138695315</v>
      </c>
      <c r="F89" s="43">
        <v>71.286376733722051</v>
      </c>
      <c r="G89" s="43">
        <v>70.351976136665797</v>
      </c>
      <c r="H89" s="43">
        <v>69.354905104329333</v>
      </c>
      <c r="I89" s="43">
        <v>68.315564363927194</v>
      </c>
    </row>
    <row r="90" spans="1:9">
      <c r="A90" s="19">
        <v>368.4</v>
      </c>
      <c r="B90" s="43">
        <v>73.843285526738555</v>
      </c>
      <c r="C90" s="43">
        <v>73.466744111849863</v>
      </c>
      <c r="D90" s="43">
        <v>72.890129060823966</v>
      </c>
      <c r="E90" s="43">
        <v>72.159909500453892</v>
      </c>
      <c r="F90" s="43">
        <v>71.313068665798482</v>
      </c>
      <c r="G90" s="43">
        <v>70.379236840757585</v>
      </c>
      <c r="H90" s="43">
        <v>69.382622514558989</v>
      </c>
      <c r="I90" s="43">
        <v>68.343622901318582</v>
      </c>
    </row>
    <row r="91" spans="1:9">
      <c r="A91" s="19">
        <v>368.5</v>
      </c>
      <c r="B91" s="43">
        <v>73.866572668953268</v>
      </c>
      <c r="C91" s="43">
        <v>73.491051950100143</v>
      </c>
      <c r="D91" s="43">
        <v>72.915346184192003</v>
      </c>
      <c r="E91" s="43">
        <v>72.185921271108754</v>
      </c>
      <c r="F91" s="43">
        <v>71.339761720764216</v>
      </c>
      <c r="G91" s="43">
        <v>70.406499469155989</v>
      </c>
      <c r="H91" s="43">
        <v>69.410342756819773</v>
      </c>
      <c r="I91" s="43">
        <v>68.371685314683987</v>
      </c>
    </row>
    <row r="92" spans="1:9">
      <c r="A92" s="19">
        <v>368.6</v>
      </c>
      <c r="B92" s="43">
        <v>73.889858620732866</v>
      </c>
      <c r="C92" s="43">
        <v>73.515359020987802</v>
      </c>
      <c r="D92" s="43">
        <v>72.940563082266465</v>
      </c>
      <c r="E92" s="43">
        <v>72.211933448806576</v>
      </c>
      <c r="F92" s="43">
        <v>71.366455896212528</v>
      </c>
      <c r="G92" s="43">
        <v>70.433764018738742</v>
      </c>
      <c r="H92" s="43">
        <v>69.438065827002788</v>
      </c>
      <c r="I92" s="43">
        <v>68.399751598607054</v>
      </c>
    </row>
    <row r="93" spans="1:9">
      <c r="A93" s="19">
        <v>368.7</v>
      </c>
      <c r="B93" s="43">
        <v>73.913143381663019</v>
      </c>
      <c r="C93" s="43">
        <v>73.539665323589219</v>
      </c>
      <c r="D93" s="43">
        <v>72.96577975368109</v>
      </c>
      <c r="E93" s="43">
        <v>72.237946031727006</v>
      </c>
      <c r="F93" s="43">
        <v>71.393151189766712</v>
      </c>
      <c r="G93" s="43">
        <v>70.461030486424988</v>
      </c>
      <c r="H93" s="43">
        <v>69.465791721083008</v>
      </c>
      <c r="I93" s="43">
        <v>68.427821747741717</v>
      </c>
    </row>
    <row r="94" spans="1:9">
      <c r="A94" s="19">
        <v>368.8</v>
      </c>
      <c r="B94" s="43">
        <v>73.936426951332521</v>
      </c>
      <c r="C94" s="43">
        <v>73.563970856983616</v>
      </c>
      <c r="D94" s="43">
        <v>72.990996197062884</v>
      </c>
      <c r="E94" s="43">
        <v>72.263959018022348</v>
      </c>
      <c r="F94" s="43">
        <v>71.41984759906336</v>
      </c>
      <c r="G94" s="43">
        <v>70.488298869120854</v>
      </c>
      <c r="H94" s="43">
        <v>69.493520434968104</v>
      </c>
      <c r="I94" s="43">
        <v>68.455895756712977</v>
      </c>
    </row>
    <row r="95" spans="1:9">
      <c r="A95" s="19">
        <v>368.9</v>
      </c>
      <c r="B95" s="43">
        <v>73.95970932933119</v>
      </c>
      <c r="C95" s="43">
        <v>73.588275620253057</v>
      </c>
      <c r="D95" s="43">
        <v>73.01621241104948</v>
      </c>
      <c r="E95" s="43">
        <v>72.289972405889898</v>
      </c>
      <c r="F95" s="43">
        <v>71.446545121732896</v>
      </c>
      <c r="G95" s="43">
        <v>70.515569163757135</v>
      </c>
      <c r="H95" s="43">
        <v>69.521251964671308</v>
      </c>
      <c r="I95" s="43">
        <v>68.483973620204779</v>
      </c>
    </row>
    <row r="96" spans="1:9">
      <c r="A96" s="19">
        <v>369</v>
      </c>
      <c r="B96" s="43">
        <v>73.982990515258336</v>
      </c>
      <c r="C96" s="43">
        <v>73.612579612481284</v>
      </c>
      <c r="D96" s="43">
        <v>73.041428394269474</v>
      </c>
      <c r="E96" s="43">
        <v>72.315986193495291</v>
      </c>
      <c r="F96" s="43">
        <v>71.473243755398983</v>
      </c>
      <c r="G96" s="43">
        <v>70.542841367260849</v>
      </c>
      <c r="H96" s="43">
        <v>69.548986306113534</v>
      </c>
      <c r="I96" s="43">
        <v>68.51205533286614</v>
      </c>
    </row>
    <row r="97" spans="1:9">
      <c r="A97" s="19">
        <v>369.1</v>
      </c>
      <c r="B97" s="43">
        <v>74.006270508707473</v>
      </c>
      <c r="C97" s="43">
        <v>73.636882832755077</v>
      </c>
      <c r="D97" s="43">
        <v>73.066644145370873</v>
      </c>
      <c r="E97" s="43">
        <v>72.342000379020533</v>
      </c>
      <c r="F97" s="43">
        <v>71.499943497720238</v>
      </c>
      <c r="G97" s="43">
        <v>70.570115476549631</v>
      </c>
      <c r="H97" s="43">
        <v>69.57672345529889</v>
      </c>
      <c r="I97" s="43">
        <v>68.540140889379245</v>
      </c>
    </row>
    <row r="98" spans="1:9">
      <c r="A98" s="19">
        <v>369.2</v>
      </c>
      <c r="B98" s="43">
        <v>74.029549309277627</v>
      </c>
      <c r="C98" s="43">
        <v>73.661185280162925</v>
      </c>
      <c r="D98" s="43">
        <v>73.09185966298827</v>
      </c>
      <c r="E98" s="43">
        <v>72.368014960652772</v>
      </c>
      <c r="F98" s="43">
        <v>71.526644346319841</v>
      </c>
      <c r="G98" s="43">
        <v>70.597391488581479</v>
      </c>
      <c r="H98" s="43">
        <v>69.60446340820647</v>
      </c>
      <c r="I98" s="43">
        <v>68.5682302844275</v>
      </c>
    </row>
    <row r="99" spans="1:9">
      <c r="A99" s="19">
        <v>369.3</v>
      </c>
      <c r="B99" s="43">
        <v>74.052826916569984</v>
      </c>
      <c r="C99" s="43">
        <v>73.68548695379647</v>
      </c>
      <c r="D99" s="43">
        <v>73.117074945766717</v>
      </c>
      <c r="E99" s="43">
        <v>72.394029936581688</v>
      </c>
      <c r="F99" s="43">
        <v>71.553346298858287</v>
      </c>
      <c r="G99" s="43">
        <v>70.624669400296284</v>
      </c>
      <c r="H99" s="43">
        <v>69.632206160820488</v>
      </c>
      <c r="I99" s="43">
        <v>68.596323512727992</v>
      </c>
    </row>
    <row r="100" spans="1:9">
      <c r="A100" s="19">
        <v>369.4</v>
      </c>
      <c r="B100" s="43">
        <v>74.076103330193149</v>
      </c>
      <c r="C100" s="43">
        <v>73.709787852749628</v>
      </c>
      <c r="D100" s="43">
        <v>73.142289992353398</v>
      </c>
      <c r="E100" s="43">
        <v>72.420045304998581</v>
      </c>
      <c r="F100" s="43">
        <v>71.580049352999396</v>
      </c>
      <c r="G100" s="43">
        <v>70.651949208646556</v>
      </c>
      <c r="H100" s="43">
        <v>69.659951709162897</v>
      </c>
      <c r="I100" s="43">
        <v>68.624420568998517</v>
      </c>
    </row>
    <row r="101" spans="1:9">
      <c r="A101" s="19">
        <v>369.5</v>
      </c>
      <c r="B101" s="43">
        <v>74.099378549744642</v>
      </c>
      <c r="C101" s="43">
        <v>73.734087976118587</v>
      </c>
      <c r="D101" s="43">
        <v>73.167504801400497</v>
      </c>
      <c r="E101" s="43">
        <v>72.446061064106658</v>
      </c>
      <c r="F101" s="43">
        <v>71.606753506393005</v>
      </c>
      <c r="G101" s="43">
        <v>70.679230910602001</v>
      </c>
      <c r="H101" s="43">
        <v>69.687700049246104</v>
      </c>
      <c r="I101" s="43">
        <v>68.652521447975573</v>
      </c>
    </row>
    <row r="102" spans="1:9">
      <c r="A102" s="19">
        <v>369.6</v>
      </c>
      <c r="B102" s="43">
        <v>74.122652574837844</v>
      </c>
      <c r="C102" s="43">
        <v>73.758387323001671</v>
      </c>
      <c r="D102" s="43">
        <v>73.192719371558951</v>
      </c>
      <c r="E102" s="43">
        <v>72.472077212093495</v>
      </c>
      <c r="F102" s="43">
        <v>71.633458756701458</v>
      </c>
      <c r="G102" s="43">
        <v>70.706514503117575</v>
      </c>
      <c r="H102" s="43">
        <v>69.715451177079274</v>
      </c>
      <c r="I102" s="43">
        <v>68.680626144379659</v>
      </c>
    </row>
    <row r="103" spans="1:9">
      <c r="A103" s="19">
        <v>369.7</v>
      </c>
      <c r="B103" s="43">
        <v>74.145925405084114</v>
      </c>
      <c r="C103" s="43">
        <v>73.782685892500268</v>
      </c>
      <c r="D103" s="43">
        <v>73.217933701481684</v>
      </c>
      <c r="E103" s="43">
        <v>72.498093747167218</v>
      </c>
      <c r="F103" s="43">
        <v>71.660165101600796</v>
      </c>
      <c r="G103" s="43">
        <v>70.733799983179665</v>
      </c>
      <c r="H103" s="43">
        <v>69.743205088704968</v>
      </c>
      <c r="I103" s="43">
        <v>68.708734652989591</v>
      </c>
    </row>
    <row r="104" spans="1:9">
      <c r="A104" s="19">
        <v>369.8</v>
      </c>
      <c r="B104" s="43">
        <v>74.16919704009581</v>
      </c>
      <c r="C104" s="43">
        <v>73.806983683717533</v>
      </c>
      <c r="D104" s="43">
        <v>73.243147789829948</v>
      </c>
      <c r="E104" s="43">
        <v>72.524110667536803</v>
      </c>
      <c r="F104" s="43">
        <v>71.686872538756916</v>
      </c>
      <c r="G104" s="43">
        <v>70.761087347760366</v>
      </c>
      <c r="H104" s="43">
        <v>69.770961780140283</v>
      </c>
      <c r="I104" s="43">
        <v>68.736846968518819</v>
      </c>
    </row>
    <row r="105" spans="1:9">
      <c r="A105" s="19">
        <v>369.9</v>
      </c>
      <c r="B105" s="43">
        <v>74.192467479485714</v>
      </c>
      <c r="C105" s="43">
        <v>73.831280695759745</v>
      </c>
      <c r="D105" s="43">
        <v>73.268361635265791</v>
      </c>
      <c r="E105" s="43">
        <v>72.550127971411911</v>
      </c>
      <c r="F105" s="43">
        <v>71.713581065854697</v>
      </c>
      <c r="G105" s="43">
        <v>70.788376593840667</v>
      </c>
      <c r="H105" s="43">
        <v>69.798721247474248</v>
      </c>
      <c r="I105" s="43">
        <v>68.764963085800531</v>
      </c>
    </row>
    <row r="106" spans="1:9">
      <c r="A106" s="19">
        <v>370</v>
      </c>
      <c r="B106" s="43">
        <v>74.153394821799907</v>
      </c>
      <c r="C106" s="43">
        <v>73.857630051546124</v>
      </c>
      <c r="D106" s="43">
        <v>73.366472193613959</v>
      </c>
      <c r="E106" s="43">
        <v>72.725397928614541</v>
      </c>
      <c r="F106" s="43">
        <v>71.970974951787611</v>
      </c>
      <c r="G106" s="43">
        <v>71.132719172531665</v>
      </c>
      <c r="H106" s="43">
        <v>70.234815188544303</v>
      </c>
      <c r="I106" s="43">
        <v>69.297543632308987</v>
      </c>
    </row>
    <row r="107" spans="1:9">
      <c r="A107" s="19">
        <v>370.1</v>
      </c>
      <c r="B107" s="43">
        <v>74.114411650550664</v>
      </c>
      <c r="C107" s="43">
        <v>73.88260708453231</v>
      </c>
      <c r="D107" s="43">
        <v>73.461148492441225</v>
      </c>
      <c r="E107" s="43">
        <v>72.894260529330893</v>
      </c>
      <c r="F107" s="43">
        <v>72.217714487999416</v>
      </c>
      <c r="G107" s="43">
        <v>71.46047660129716</v>
      </c>
      <c r="H107" s="43">
        <v>70.646260322869097</v>
      </c>
      <c r="I107" s="43">
        <v>69.794813178528983</v>
      </c>
    </row>
    <row r="108" spans="1:9">
      <c r="A108" s="19">
        <v>370.2</v>
      </c>
      <c r="B108" s="43">
        <v>74.136490458193862</v>
      </c>
      <c r="C108" s="43">
        <v>73.905488959352709</v>
      </c>
      <c r="D108" s="43">
        <v>73.484739875289193</v>
      </c>
      <c r="E108" s="43">
        <v>72.918462749205474</v>
      </c>
      <c r="F108" s="43">
        <v>72.242428612087622</v>
      </c>
      <c r="G108" s="43">
        <v>71.485605041078742</v>
      </c>
      <c r="H108" s="43">
        <v>70.671706788879163</v>
      </c>
      <c r="I108" s="43">
        <v>69.820481919023564</v>
      </c>
    </row>
    <row r="109" spans="1:9">
      <c r="A109" s="19">
        <v>370.3</v>
      </c>
      <c r="B109" s="43">
        <v>74.158568174223916</v>
      </c>
      <c r="C109" s="43">
        <v>73.928369969556655</v>
      </c>
      <c r="D109" s="43">
        <v>73.508330721116863</v>
      </c>
      <c r="E109" s="43">
        <v>72.942664836343482</v>
      </c>
      <c r="F109" s="43">
        <v>72.267143071708489</v>
      </c>
      <c r="G109" s="43">
        <v>71.510734344087751</v>
      </c>
      <c r="H109" s="43">
        <v>70.697154705875363</v>
      </c>
      <c r="I109" s="43">
        <v>69.846152761737642</v>
      </c>
    </row>
    <row r="110" spans="1:9">
      <c r="A110" s="19">
        <v>370.4</v>
      </c>
      <c r="B110" s="43">
        <v>74.180644798732459</v>
      </c>
      <c r="C110" s="43">
        <v>73.951250114814627</v>
      </c>
      <c r="D110" s="43">
        <v>73.531921029211617</v>
      </c>
      <c r="E110" s="43">
        <v>72.966866789647725</v>
      </c>
      <c r="F110" s="43">
        <v>72.291857865380706</v>
      </c>
      <c r="G110" s="43">
        <v>71.535864508409105</v>
      </c>
      <c r="H110" s="43">
        <v>70.72260407147499</v>
      </c>
      <c r="I110" s="43">
        <v>69.871825703708055</v>
      </c>
    </row>
    <row r="111" spans="1:9">
      <c r="A111" s="19">
        <v>370.5</v>
      </c>
      <c r="B111" s="43">
        <v>74.202720331804926</v>
      </c>
      <c r="C111" s="43">
        <v>73.974129394799036</v>
      </c>
      <c r="D111" s="43">
        <v>73.555510798864901</v>
      </c>
      <c r="E111" s="43">
        <v>72.991068608050028</v>
      </c>
      <c r="F111" s="43">
        <v>72.316572991653118</v>
      </c>
      <c r="G111" s="43">
        <v>71.560995532158415</v>
      </c>
      <c r="H111" s="43">
        <v>70.748054883307702</v>
      </c>
      <c r="I111" s="43">
        <v>69.89750074205881</v>
      </c>
    </row>
    <row r="112" spans="1:9">
      <c r="A112" s="19">
        <v>370.6</v>
      </c>
      <c r="B112" s="43">
        <v>74.224794773528401</v>
      </c>
      <c r="C112" s="43">
        <v>73.997007809183941</v>
      </c>
      <c r="D112" s="43">
        <v>73.579100029373592</v>
      </c>
      <c r="E112" s="43">
        <v>73.015270290480544</v>
      </c>
      <c r="F112" s="43">
        <v>72.341288449059022</v>
      </c>
      <c r="G112" s="43">
        <v>71.586127413459224</v>
      </c>
      <c r="H112" s="43">
        <v>70.773507139016345</v>
      </c>
      <c r="I112" s="43">
        <v>69.923177873870145</v>
      </c>
    </row>
    <row r="113" spans="1:9">
      <c r="A113" s="19">
        <v>370.7</v>
      </c>
      <c r="B113" s="43">
        <v>74.246868123997643</v>
      </c>
      <c r="C113" s="43">
        <v>74.019885357645165</v>
      </c>
      <c r="D113" s="43">
        <v>73.602688720031381</v>
      </c>
      <c r="E113" s="43">
        <v>73.039471835854727</v>
      </c>
      <c r="F113" s="43">
        <v>72.366004236147347</v>
      </c>
      <c r="G113" s="43">
        <v>71.611260150430468</v>
      </c>
      <c r="H113" s="43">
        <v>70.798960836236432</v>
      </c>
      <c r="I113" s="43">
        <v>69.948857096232075</v>
      </c>
    </row>
    <row r="114" spans="1:9">
      <c r="A114" s="19">
        <v>370.8</v>
      </c>
      <c r="B114" s="43">
        <v>74.268940383293284</v>
      </c>
      <c r="C114" s="43">
        <v>74.042762039860122</v>
      </c>
      <c r="D114" s="43">
        <v>73.626276870143954</v>
      </c>
      <c r="E114" s="43">
        <v>73.063673243127283</v>
      </c>
      <c r="F114" s="43">
        <v>72.390720351484049</v>
      </c>
      <c r="G114" s="43">
        <v>71.63639374122539</v>
      </c>
      <c r="H114" s="43">
        <v>70.824415972669442</v>
      </c>
      <c r="I114" s="43">
        <v>69.974538406304305</v>
      </c>
    </row>
    <row r="115" spans="1:9">
      <c r="A115" s="19">
        <v>370.9</v>
      </c>
      <c r="B115" s="43">
        <v>74.29101155152361</v>
      </c>
      <c r="C115" s="43">
        <v>74.065637855508214</v>
      </c>
      <c r="D115" s="43">
        <v>73.649864479002559</v>
      </c>
      <c r="E115" s="43">
        <v>73.087874511204546</v>
      </c>
      <c r="F115" s="43">
        <v>72.415436793583723</v>
      </c>
      <c r="G115" s="43">
        <v>71.661528183922997</v>
      </c>
      <c r="H115" s="43">
        <v>70.849872545872159</v>
      </c>
      <c r="I115" s="43">
        <v>70.000221801129697</v>
      </c>
    </row>
    <row r="116" spans="1:9">
      <c r="A116" s="19">
        <v>371</v>
      </c>
      <c r="B116" s="43">
        <v>74.313081628780026</v>
      </c>
      <c r="C116" s="43">
        <v>74.088512804270607</v>
      </c>
      <c r="D116" s="43">
        <v>73.673451545907398</v>
      </c>
      <c r="E116" s="43">
        <v>73.112075639021782</v>
      </c>
      <c r="F116" s="43">
        <v>72.440153561001154</v>
      </c>
      <c r="G116" s="43">
        <v>71.686663476657287</v>
      </c>
      <c r="H116" s="43">
        <v>70.875330553520968</v>
      </c>
      <c r="I116" s="43">
        <v>70.025907277821545</v>
      </c>
    </row>
    <row r="117" spans="1:9">
      <c r="A117" s="19">
        <v>371.1</v>
      </c>
      <c r="B117" s="43">
        <v>74.335150615147001</v>
      </c>
      <c r="C117" s="43">
        <v>74.11138688582929</v>
      </c>
      <c r="D117" s="43">
        <v>73.697038070177399</v>
      </c>
      <c r="E117" s="43">
        <v>73.136276625542592</v>
      </c>
      <c r="F117" s="43">
        <v>72.464870652325288</v>
      </c>
      <c r="G117" s="43">
        <v>71.711799617614787</v>
      </c>
      <c r="H117" s="43">
        <v>70.900789993349889</v>
      </c>
      <c r="I117" s="43">
        <v>70.051594833569652</v>
      </c>
    </row>
    <row r="118" spans="1:9">
      <c r="A118" s="19">
        <v>371.2</v>
      </c>
      <c r="B118" s="43">
        <v>74.357218510741234</v>
      </c>
      <c r="C118" s="43">
        <v>74.134260099869635</v>
      </c>
      <c r="D118" s="43">
        <v>73.720624051101623</v>
      </c>
      <c r="E118" s="43">
        <v>73.160477469674134</v>
      </c>
      <c r="F118" s="43">
        <v>72.489588066079619</v>
      </c>
      <c r="G118" s="43">
        <v>71.736936604864781</v>
      </c>
      <c r="H118" s="43">
        <v>70.926250862908688</v>
      </c>
      <c r="I118" s="43">
        <v>70.07728446541924</v>
      </c>
    </row>
    <row r="119" spans="1:9">
      <c r="A119" s="19">
        <v>371.3</v>
      </c>
      <c r="B119" s="43">
        <v>74.379285315648872</v>
      </c>
      <c r="C119" s="43">
        <v>74.157132446077043</v>
      </c>
      <c r="D119" s="43">
        <v>73.744209487997892</v>
      </c>
      <c r="E119" s="43">
        <v>73.184678170378419</v>
      </c>
      <c r="F119" s="43">
        <v>72.514305800834762</v>
      </c>
      <c r="G119" s="43">
        <v>71.762074436592741</v>
      </c>
      <c r="H119" s="43">
        <v>70.95171315994304</v>
      </c>
      <c r="I119" s="43">
        <v>70.102976170533907</v>
      </c>
    </row>
    <row r="120" spans="1:9">
      <c r="A120" s="19">
        <v>371.4</v>
      </c>
      <c r="B120" s="43">
        <v>74.40135102997462</v>
      </c>
      <c r="C120" s="43">
        <v>74.180003924139612</v>
      </c>
      <c r="D120" s="43">
        <v>73.767794380175445</v>
      </c>
      <c r="E120" s="43">
        <v>73.208878726596566</v>
      </c>
      <c r="F120" s="43">
        <v>72.539023855159371</v>
      </c>
      <c r="G120" s="43">
        <v>71.787213110920646</v>
      </c>
      <c r="H120" s="43">
        <v>70.97717688208246</v>
      </c>
      <c r="I120" s="43">
        <v>70.128669946034677</v>
      </c>
    </row>
    <row r="121" spans="1:9">
      <c r="A121" s="19">
        <v>371.5</v>
      </c>
      <c r="B121" s="43">
        <v>74.423415653826197</v>
      </c>
      <c r="C121" s="43">
        <v>74.202874533747206</v>
      </c>
      <c r="D121" s="43">
        <v>73.791378726940252</v>
      </c>
      <c r="E121" s="43">
        <v>73.23307913726353</v>
      </c>
      <c r="F121" s="43">
        <v>72.56374222761275</v>
      </c>
      <c r="G121" s="43">
        <v>71.812352626004042</v>
      </c>
      <c r="H121" s="43">
        <v>71.002642027013479</v>
      </c>
      <c r="I121" s="43">
        <v>70.154365789054879</v>
      </c>
    </row>
    <row r="122" spans="1:9">
      <c r="A122" s="19">
        <v>371.6</v>
      </c>
      <c r="B122" s="43">
        <v>74.44547918730359</v>
      </c>
      <c r="C122" s="43">
        <v>74.225744274590625</v>
      </c>
      <c r="D122" s="43">
        <v>73.814962527612693</v>
      </c>
      <c r="E122" s="43">
        <v>73.257279401344476</v>
      </c>
      <c r="F122" s="43">
        <v>72.588460916768383</v>
      </c>
      <c r="G122" s="43">
        <v>71.837492980012968</v>
      </c>
      <c r="H122" s="43">
        <v>71.028108592407392</v>
      </c>
      <c r="I122" s="43">
        <v>70.180063696746572</v>
      </c>
    </row>
    <row r="123" spans="1:9">
      <c r="A123" s="19">
        <v>371.7</v>
      </c>
      <c r="B123" s="43">
        <v>74.467541630514148</v>
      </c>
      <c r="C123" s="43">
        <v>74.248613146363283</v>
      </c>
      <c r="D123" s="43">
        <v>73.838545781501722</v>
      </c>
      <c r="E123" s="43">
        <v>73.281479517769213</v>
      </c>
      <c r="F123" s="43">
        <v>72.613179921188504</v>
      </c>
      <c r="G123" s="43">
        <v>71.86263417104351</v>
      </c>
      <c r="H123" s="43">
        <v>71.053576575938251</v>
      </c>
      <c r="I123" s="43">
        <v>70.205763666235214</v>
      </c>
    </row>
    <row r="124" spans="1:9">
      <c r="A124" s="19">
        <v>371.8</v>
      </c>
      <c r="B124" s="43">
        <v>74.489602983564623</v>
      </c>
      <c r="C124" s="43">
        <v>74.271481148759563</v>
      </c>
      <c r="D124" s="43">
        <v>73.862128487935308</v>
      </c>
      <c r="E124" s="43">
        <v>73.305679485515071</v>
      </c>
      <c r="F124" s="43">
        <v>72.637899239458477</v>
      </c>
      <c r="G124" s="43">
        <v>71.887776197319937</v>
      </c>
      <c r="H124" s="43">
        <v>71.079045975313846</v>
      </c>
      <c r="I124" s="43">
        <v>70.231465694713364</v>
      </c>
    </row>
    <row r="125" spans="1:9">
      <c r="A125" s="19">
        <v>371.9</v>
      </c>
      <c r="B125" s="43">
        <v>74.511663246568446</v>
      </c>
      <c r="C125" s="43">
        <v>74.294348281476516</v>
      </c>
      <c r="D125" s="43">
        <v>73.885710646220133</v>
      </c>
      <c r="E125" s="43">
        <v>73.329879303509927</v>
      </c>
      <c r="F125" s="43">
        <v>72.662618870130473</v>
      </c>
      <c r="G125" s="43">
        <v>71.912919056942542</v>
      </c>
      <c r="H125" s="43">
        <v>71.104516788190551</v>
      </c>
      <c r="I125" s="43">
        <v>70.257169779265325</v>
      </c>
    </row>
    <row r="126" spans="1:9">
      <c r="A126" s="19">
        <v>372</v>
      </c>
      <c r="B126" s="43">
        <v>74.533722419635069</v>
      </c>
      <c r="C126" s="43">
        <v>74.317214544211879</v>
      </c>
      <c r="D126" s="43">
        <v>73.909292255682971</v>
      </c>
      <c r="E126" s="43">
        <v>73.354078970724998</v>
      </c>
      <c r="F126" s="43">
        <v>72.687338811801226</v>
      </c>
      <c r="G126" s="43">
        <v>71.938062748085031</v>
      </c>
      <c r="H126" s="43">
        <v>71.12998901226581</v>
      </c>
      <c r="I126" s="43">
        <v>70.282875917082578</v>
      </c>
    </row>
    <row r="127" spans="1:9">
      <c r="A127" s="19">
        <v>372.1</v>
      </c>
      <c r="B127" s="43">
        <v>74.555780502875905</v>
      </c>
      <c r="C127" s="43">
        <v>74.340079936665518</v>
      </c>
      <c r="D127" s="43">
        <v>73.932873315650397</v>
      </c>
      <c r="E127" s="43">
        <v>73.37827848612352</v>
      </c>
      <c r="F127" s="43">
        <v>72.712059063053147</v>
      </c>
      <c r="G127" s="43">
        <v>71.963207268948111</v>
      </c>
      <c r="H127" s="43">
        <v>71.15546264524653</v>
      </c>
      <c r="I127" s="43">
        <v>70.308584105352423</v>
      </c>
    </row>
    <row r="128" spans="1:9">
      <c r="A128" s="19">
        <v>372.2</v>
      </c>
      <c r="B128" s="43">
        <v>74.577837496411036</v>
      </c>
      <c r="C128" s="43">
        <v>74.362944458539658</v>
      </c>
      <c r="D128" s="43">
        <v>73.956453825437137</v>
      </c>
      <c r="E128" s="43">
        <v>73.402477848644708</v>
      </c>
      <c r="F128" s="43">
        <v>72.736779622449376</v>
      </c>
      <c r="G128" s="43">
        <v>71.98835261765862</v>
      </c>
      <c r="H128" s="43">
        <v>71.180937684797669</v>
      </c>
      <c r="I128" s="43">
        <v>70.334294341172694</v>
      </c>
    </row>
    <row r="129" spans="1:9">
      <c r="A129" s="19">
        <v>372.3</v>
      </c>
      <c r="B129" s="43">
        <v>74.599893400346133</v>
      </c>
      <c r="C129" s="43">
        <v>74.385808109536754</v>
      </c>
      <c r="D129" s="43">
        <v>73.980033784382783</v>
      </c>
      <c r="E129" s="43">
        <v>73.426677057277089</v>
      </c>
      <c r="F129" s="43">
        <v>72.761500488599324</v>
      </c>
      <c r="G129" s="43">
        <v>72.013498792413117</v>
      </c>
      <c r="H129" s="43">
        <v>71.206414128669053</v>
      </c>
      <c r="I129" s="43">
        <v>70.360006621784692</v>
      </c>
    </row>
    <row r="130" spans="1:9">
      <c r="A130" s="19">
        <v>372.4</v>
      </c>
      <c r="B130" s="43">
        <v>74.621948214806963</v>
      </c>
      <c r="C130" s="43">
        <v>74.408670889362355</v>
      </c>
      <c r="D130" s="43">
        <v>74.003613191806636</v>
      </c>
      <c r="E130" s="43">
        <v>73.450876110975088</v>
      </c>
      <c r="F130" s="43">
        <v>72.786221660082617</v>
      </c>
      <c r="G130" s="43">
        <v>72.038645791372375</v>
      </c>
      <c r="H130" s="43">
        <v>71.231891974532004</v>
      </c>
      <c r="I130" s="43">
        <v>70.385720944321349</v>
      </c>
    </row>
    <row r="131" spans="1:9">
      <c r="A131" s="19">
        <v>372.5</v>
      </c>
      <c r="B131" s="43">
        <v>74.644001939905934</v>
      </c>
      <c r="C131" s="43">
        <v>74.431532797722355</v>
      </c>
      <c r="D131" s="43">
        <v>74.027192047047691</v>
      </c>
      <c r="E131" s="43">
        <v>73.475075008714612</v>
      </c>
      <c r="F131" s="43">
        <v>72.810943135507841</v>
      </c>
      <c r="G131" s="43">
        <v>72.063793612744547</v>
      </c>
      <c r="H131" s="43">
        <v>71.25737122013993</v>
      </c>
      <c r="I131" s="43">
        <v>70.411437306014335</v>
      </c>
    </row>
    <row r="132" spans="1:9">
      <c r="A132" s="19">
        <v>372.6</v>
      </c>
      <c r="B132" s="43">
        <v>74.666054575773074</v>
      </c>
      <c r="C132" s="43">
        <v>74.454393834326908</v>
      </c>
      <c r="D132" s="43">
        <v>74.050770349429655</v>
      </c>
      <c r="E132" s="43">
        <v>73.499273749443745</v>
      </c>
      <c r="F132" s="43">
        <v>72.835664913422249</v>
      </c>
      <c r="G132" s="43">
        <v>72.088942254657212</v>
      </c>
      <c r="H132" s="43">
        <v>71.282851863134255</v>
      </c>
      <c r="I132" s="43">
        <v>70.437155703956819</v>
      </c>
    </row>
    <row r="133" spans="1:9">
      <c r="A133" s="19">
        <v>372.7</v>
      </c>
      <c r="B133" s="43">
        <v>74.688106122524715</v>
      </c>
      <c r="C133" s="43">
        <v>74.477253998885033</v>
      </c>
      <c r="D133" s="43">
        <v>74.074348098290528</v>
      </c>
      <c r="E133" s="43">
        <v>73.523472332155933</v>
      </c>
      <c r="F133" s="43">
        <v>72.860386992466488</v>
      </c>
      <c r="G133" s="43">
        <v>72.114091715334411</v>
      </c>
      <c r="H133" s="43">
        <v>71.30833390128825</v>
      </c>
      <c r="I133" s="43">
        <v>70.462876135418611</v>
      </c>
    </row>
    <row r="134" spans="1:9">
      <c r="A134" s="19">
        <v>372.8</v>
      </c>
      <c r="B134" s="43">
        <v>74.710156580281762</v>
      </c>
      <c r="C134" s="43">
        <v>74.500113291108249</v>
      </c>
      <c r="D134" s="43">
        <v>74.097925292970075</v>
      </c>
      <c r="E134" s="43">
        <v>73.547670755820889</v>
      </c>
      <c r="F134" s="43">
        <v>72.885109371225155</v>
      </c>
      <c r="G134" s="43">
        <v>72.139241992950673</v>
      </c>
      <c r="H134" s="43">
        <v>71.333817332309309</v>
      </c>
      <c r="I134" s="43">
        <v>70.488598597562344</v>
      </c>
    </row>
    <row r="135" spans="1:9">
      <c r="A135" s="19">
        <v>372.9</v>
      </c>
      <c r="B135" s="43">
        <v>74.732205949180951</v>
      </c>
      <c r="C135" s="43">
        <v>74.522971710712028</v>
      </c>
      <c r="D135" s="43">
        <v>74.121501932797742</v>
      </c>
      <c r="E135" s="43">
        <v>73.571869019404204</v>
      </c>
      <c r="F135" s="43">
        <v>72.909832048287171</v>
      </c>
      <c r="G135" s="43">
        <v>72.164393085677489</v>
      </c>
      <c r="H135" s="43">
        <v>71.359302153897346</v>
      </c>
      <c r="I135" s="43">
        <v>70.51432308754903</v>
      </c>
    </row>
    <row r="136" spans="1:9">
      <c r="A136" s="19">
        <v>373</v>
      </c>
      <c r="B136" s="43">
        <v>74.754254229332332</v>
      </c>
      <c r="C136" s="43">
        <v>74.545829257408911</v>
      </c>
      <c r="D136" s="43">
        <v>74.145078017129094</v>
      </c>
      <c r="E136" s="43">
        <v>73.596067121906231</v>
      </c>
      <c r="F136" s="43">
        <v>72.934555022290283</v>
      </c>
      <c r="G136" s="43">
        <v>72.189544991766041</v>
      </c>
      <c r="H136" s="43">
        <v>71.384788363837714</v>
      </c>
      <c r="I136" s="43">
        <v>70.540049602664908</v>
      </c>
    </row>
    <row r="137" spans="1:9">
      <c r="A137" s="19">
        <v>373.1</v>
      </c>
      <c r="B137" s="43">
        <v>74.776301420882362</v>
      </c>
      <c r="C137" s="43">
        <v>74.568685930918519</v>
      </c>
      <c r="D137" s="43">
        <v>74.168653545287668</v>
      </c>
      <c r="E137" s="43">
        <v>73.620265062278378</v>
      </c>
      <c r="F137" s="43">
        <v>72.95927829180269</v>
      </c>
      <c r="G137" s="43">
        <v>72.214697709348826</v>
      </c>
      <c r="H137" s="43">
        <v>71.410275959791818</v>
      </c>
      <c r="I137" s="43">
        <v>70.565778140025628</v>
      </c>
    </row>
    <row r="138" spans="1:9">
      <c r="A138" s="19">
        <v>373.2</v>
      </c>
      <c r="B138" s="43">
        <v>74.798347523957887</v>
      </c>
      <c r="C138" s="43">
        <v>74.591541730958738</v>
      </c>
      <c r="D138" s="43">
        <v>74.192228516625931</v>
      </c>
      <c r="E138" s="43">
        <v>73.644462839520997</v>
      </c>
      <c r="F138" s="43">
        <v>72.984001855440198</v>
      </c>
      <c r="G138" s="43">
        <v>72.239851236637492</v>
      </c>
      <c r="H138" s="43">
        <v>71.435764939527672</v>
      </c>
      <c r="I138" s="43">
        <v>70.591508696877469</v>
      </c>
    </row>
    <row r="139" spans="1:9">
      <c r="A139" s="19">
        <v>373.3</v>
      </c>
      <c r="B139" s="43">
        <v>74.820392538672621</v>
      </c>
      <c r="C139" s="43">
        <v>74.614396657247937</v>
      </c>
      <c r="D139" s="43">
        <v>74.215802930499137</v>
      </c>
      <c r="E139" s="43">
        <v>73.668660452631059</v>
      </c>
      <c r="F139" s="43">
        <v>73.008725711855135</v>
      </c>
      <c r="G139" s="43">
        <v>72.26500557188794</v>
      </c>
      <c r="H139" s="43">
        <v>71.461255300829919</v>
      </c>
      <c r="I139" s="43">
        <v>70.617241270483589</v>
      </c>
    </row>
    <row r="140" spans="1:9">
      <c r="A140" s="19">
        <v>373.4</v>
      </c>
      <c r="B140" s="43">
        <v>74.84243646518695</v>
      </c>
      <c r="C140" s="43">
        <v>74.637250709512102</v>
      </c>
      <c r="D140" s="43">
        <v>74.239376786235653</v>
      </c>
      <c r="E140" s="43">
        <v>73.692857900563922</v>
      </c>
      <c r="F140" s="43">
        <v>73.033449859608254</v>
      </c>
      <c r="G140" s="43">
        <v>72.290160713223202</v>
      </c>
      <c r="H140" s="43">
        <v>71.486747041346518</v>
      </c>
      <c r="I140" s="43">
        <v>70.642975857963336</v>
      </c>
    </row>
    <row r="141" spans="1:9">
      <c r="A141" s="19">
        <v>373.5</v>
      </c>
      <c r="B141" s="43">
        <v>74.864479303616065</v>
      </c>
      <c r="C141" s="43">
        <v>74.660103887471536</v>
      </c>
      <c r="D141" s="43">
        <v>74.262950083200877</v>
      </c>
      <c r="E141" s="43">
        <v>73.717055182340289</v>
      </c>
      <c r="F141" s="43">
        <v>73.058174297349467</v>
      </c>
      <c r="G141" s="43">
        <v>72.315316658924445</v>
      </c>
      <c r="H141" s="43">
        <v>71.512240158908384</v>
      </c>
      <c r="I141" s="43">
        <v>70.668712456626963</v>
      </c>
    </row>
    <row r="142" spans="1:9">
      <c r="A142" s="19">
        <v>373.6</v>
      </c>
      <c r="B142" s="43">
        <v>74.886521054107675</v>
      </c>
      <c r="C142" s="43">
        <v>74.68295619085464</v>
      </c>
      <c r="D142" s="43">
        <v>74.286522820736991</v>
      </c>
      <c r="E142" s="43">
        <v>73.741252296929986</v>
      </c>
      <c r="F142" s="43">
        <v>73.082899023682103</v>
      </c>
      <c r="G142" s="43">
        <v>72.340473407155372</v>
      </c>
      <c r="H142" s="43">
        <v>71.5377346512266</v>
      </c>
      <c r="I142" s="43">
        <v>70.694451063644351</v>
      </c>
    </row>
    <row r="143" spans="1:9">
      <c r="A143" s="19">
        <v>373.7</v>
      </c>
      <c r="B143" s="43">
        <v>74.908561716797408</v>
      </c>
      <c r="C143" s="43">
        <v>74.705807619386434</v>
      </c>
      <c r="D143" s="43">
        <v>74.310094998201436</v>
      </c>
      <c r="E143" s="43">
        <v>73.765449243334558</v>
      </c>
      <c r="F143" s="43">
        <v>73.107624037236661</v>
      </c>
      <c r="G143" s="43">
        <v>72.365630956147669</v>
      </c>
      <c r="H143" s="43">
        <v>71.563230516050851</v>
      </c>
      <c r="I143" s="43">
        <v>70.720191676276215</v>
      </c>
    </row>
    <row r="144" spans="1:9">
      <c r="A144" s="19">
        <v>373.8</v>
      </c>
      <c r="B144" s="43">
        <v>74.930601291820921</v>
      </c>
      <c r="C144" s="43">
        <v>74.72865817279731</v>
      </c>
      <c r="D144" s="43">
        <v>74.333666614948157</v>
      </c>
      <c r="E144" s="43">
        <v>73.789646020553732</v>
      </c>
      <c r="F144" s="43">
        <v>73.132349336635684</v>
      </c>
      <c r="G144" s="43">
        <v>72.390789304124951</v>
      </c>
      <c r="H144" s="43">
        <v>71.588727751153328</v>
      </c>
      <c r="I144" s="43">
        <v>70.745934291746266</v>
      </c>
    </row>
    <row r="145" spans="1:9">
      <c r="A145" s="19">
        <v>373.9</v>
      </c>
      <c r="B145" s="43">
        <v>74.952639779326688</v>
      </c>
      <c r="C145" s="43">
        <v>74.75150785081803</v>
      </c>
      <c r="D145" s="43">
        <v>74.357237670333433</v>
      </c>
      <c r="E145" s="43">
        <v>73.813842627573763</v>
      </c>
      <c r="F145" s="43">
        <v>73.157074920500946</v>
      </c>
      <c r="G145" s="43">
        <v>72.415948449297815</v>
      </c>
      <c r="H145" s="43">
        <v>71.61422635428994</v>
      </c>
      <c r="I145" s="43">
        <v>70.771678907288134</v>
      </c>
    </row>
    <row r="146" spans="1:9">
      <c r="A146" s="19">
        <v>374</v>
      </c>
      <c r="B146" s="43">
        <v>74.974677179448207</v>
      </c>
      <c r="C146" s="43">
        <v>74.774356653178785</v>
      </c>
      <c r="D146" s="43">
        <v>74.380808163720815</v>
      </c>
      <c r="E146" s="43">
        <v>73.838039063414669</v>
      </c>
      <c r="F146" s="43">
        <v>73.181800787481876</v>
      </c>
      <c r="G146" s="43">
        <v>72.441108389915655</v>
      </c>
      <c r="H146" s="43">
        <v>71.639726323245128</v>
      </c>
      <c r="I146" s="43">
        <v>70.797425520185953</v>
      </c>
    </row>
    <row r="147" spans="1:9">
      <c r="A147" s="19">
        <v>374.1</v>
      </c>
      <c r="B147" s="43">
        <v>74.996713492343389</v>
      </c>
      <c r="C147" s="43">
        <v>74.79720457961642</v>
      </c>
      <c r="D147" s="43">
        <v>74.404378094465073</v>
      </c>
      <c r="E147" s="43">
        <v>73.862235327053469</v>
      </c>
      <c r="F147" s="43">
        <v>73.206526936185099</v>
      </c>
      <c r="G147" s="43">
        <v>72.466269124163119</v>
      </c>
      <c r="H147" s="43">
        <v>71.665227655751437</v>
      </c>
      <c r="I147" s="43">
        <v>70.823174127637913</v>
      </c>
    </row>
    <row r="148" spans="1:9">
      <c r="A148" s="19">
        <v>374.2</v>
      </c>
      <c r="B148" s="43">
        <v>75.01874871814951</v>
      </c>
      <c r="C148" s="43">
        <v>74.820051629865929</v>
      </c>
      <c r="D148" s="43">
        <v>74.42794746192962</v>
      </c>
      <c r="E148" s="43">
        <v>73.886431417513791</v>
      </c>
      <c r="F148" s="43">
        <v>73.231253365253394</v>
      </c>
      <c r="G148" s="43">
        <v>72.491430650286702</v>
      </c>
      <c r="H148" s="43">
        <v>71.690730349589359</v>
      </c>
      <c r="I148" s="43">
        <v>70.848924726923883</v>
      </c>
    </row>
    <row r="149" spans="1:9">
      <c r="A149" s="19">
        <v>374.3</v>
      </c>
      <c r="B149" s="43">
        <v>75.040782857013369</v>
      </c>
      <c r="C149" s="43">
        <v>74.842897803663675</v>
      </c>
      <c r="D149" s="43">
        <v>74.451516265484258</v>
      </c>
      <c r="E149" s="43">
        <v>73.910627333799425</v>
      </c>
      <c r="F149" s="43">
        <v>73.255980073343039</v>
      </c>
      <c r="G149" s="43">
        <v>72.516592966551002</v>
      </c>
      <c r="H149" s="43">
        <v>71.716234402573832</v>
      </c>
      <c r="I149" s="43">
        <v>70.874677315313988</v>
      </c>
    </row>
    <row r="150" spans="1:9">
      <c r="A150" s="19">
        <v>374.4</v>
      </c>
      <c r="B150" s="43">
        <v>75.062815909097708</v>
      </c>
      <c r="C150" s="43">
        <v>74.86574310075116</v>
      </c>
      <c r="D150" s="43">
        <v>74.475084504485039</v>
      </c>
      <c r="E150" s="43">
        <v>73.934823074900919</v>
      </c>
      <c r="F150" s="43">
        <v>73.280707059053469</v>
      </c>
      <c r="G150" s="43">
        <v>72.541756071137627</v>
      </c>
      <c r="H150" s="43">
        <v>71.741739812432996</v>
      </c>
      <c r="I150" s="43">
        <v>70.900431889999567</v>
      </c>
    </row>
    <row r="151" spans="1:9">
      <c r="A151" s="19">
        <v>374.5</v>
      </c>
      <c r="B151" s="43">
        <v>75.084847874532926</v>
      </c>
      <c r="C151" s="43">
        <v>74.888587520866309</v>
      </c>
      <c r="D151" s="43">
        <v>74.498652178312909</v>
      </c>
      <c r="E151" s="43">
        <v>73.959018639858243</v>
      </c>
      <c r="F151" s="43">
        <v>73.305434321069299</v>
      </c>
      <c r="G151" s="43">
        <v>72.566919962339199</v>
      </c>
      <c r="H151" s="43">
        <v>71.767246576976532</v>
      </c>
      <c r="I151" s="43">
        <v>70.926188448343993</v>
      </c>
    </row>
    <row r="152" spans="1:9">
      <c r="A152" s="19">
        <v>374.6</v>
      </c>
      <c r="B152" s="43">
        <v>75.106878753490889</v>
      </c>
      <c r="C152" s="43">
        <v>74.911431063754094</v>
      </c>
      <c r="D152" s="43">
        <v>74.522219286328067</v>
      </c>
      <c r="E152" s="43">
        <v>73.983214027660523</v>
      </c>
      <c r="F152" s="43">
        <v>73.33016185800588</v>
      </c>
      <c r="G152" s="43">
        <v>72.592084638355544</v>
      </c>
      <c r="H152" s="43">
        <v>71.79275469399397</v>
      </c>
      <c r="I152" s="43">
        <v>70.951946987538577</v>
      </c>
    </row>
    <row r="153" spans="1:9">
      <c r="A153" s="19">
        <v>374.7</v>
      </c>
      <c r="B153" s="43">
        <v>75.128908546109074</v>
      </c>
      <c r="C153" s="43">
        <v>74.934273729156502</v>
      </c>
      <c r="D153" s="43">
        <v>74.545785827910265</v>
      </c>
      <c r="E153" s="43">
        <v>74.007409237339431</v>
      </c>
      <c r="F153" s="43">
        <v>73.354889668542626</v>
      </c>
      <c r="G153" s="43">
        <v>72.617250097472578</v>
      </c>
      <c r="H153" s="43">
        <v>71.818264161284958</v>
      </c>
      <c r="I153" s="43">
        <v>70.977707504928247</v>
      </c>
    </row>
    <row r="154" spans="1:9">
      <c r="A154" s="19">
        <v>374.8</v>
      </c>
      <c r="B154" s="43">
        <v>75.150937252560368</v>
      </c>
      <c r="C154" s="43">
        <v>74.957115516822739</v>
      </c>
      <c r="D154" s="43">
        <v>74.569351802425643</v>
      </c>
      <c r="E154" s="43">
        <v>74.031604267897961</v>
      </c>
      <c r="F154" s="43">
        <v>73.379617751288322</v>
      </c>
      <c r="G154" s="43">
        <v>72.64241633788896</v>
      </c>
      <c r="H154" s="43">
        <v>71.843774976609836</v>
      </c>
      <c r="I154" s="43">
        <v>71.003469997724267</v>
      </c>
    </row>
    <row r="155" spans="1:9">
      <c r="A155" s="19">
        <v>374.9</v>
      </c>
      <c r="B155" s="43">
        <v>75.172964872995522</v>
      </c>
      <c r="C155" s="43">
        <v>74.979956426498291</v>
      </c>
      <c r="D155" s="43">
        <v>74.592917209252334</v>
      </c>
      <c r="E155" s="43">
        <v>74.05579911835963</v>
      </c>
      <c r="F155" s="43">
        <v>73.404346104926105</v>
      </c>
      <c r="G155" s="43">
        <v>72.667583357888304</v>
      </c>
      <c r="H155" s="43">
        <v>71.869287137785051</v>
      </c>
      <c r="I155" s="43">
        <v>71.029234463226743</v>
      </c>
    </row>
    <row r="156" spans="1:9">
      <c r="A156" s="19">
        <v>375</v>
      </c>
      <c r="B156" s="43">
        <v>75.194991407561361</v>
      </c>
      <c r="C156" s="43">
        <v>75.002796457931737</v>
      </c>
      <c r="D156" s="43">
        <v>74.616482047774014</v>
      </c>
      <c r="E156" s="43">
        <v>74.079993787758866</v>
      </c>
      <c r="F156" s="43">
        <v>73.429074728104155</v>
      </c>
      <c r="G156" s="43">
        <v>72.692751155743906</v>
      </c>
      <c r="H156" s="43">
        <v>71.894800642630003</v>
      </c>
      <c r="I156" s="43">
        <v>71.055000898775575</v>
      </c>
    </row>
    <row r="157" spans="1:9">
      <c r="A157" s="19">
        <v>375.1</v>
      </c>
      <c r="B157" s="43">
        <v>75.217016856442484</v>
      </c>
      <c r="C157" s="43">
        <v>75.025635610877828</v>
      </c>
      <c r="D157" s="43">
        <v>74.640046317359776</v>
      </c>
      <c r="E157" s="43">
        <v>74.104188275095026</v>
      </c>
      <c r="F157" s="43">
        <v>73.453803619465248</v>
      </c>
      <c r="G157" s="43">
        <v>72.717919729662555</v>
      </c>
      <c r="H157" s="43">
        <v>71.920315488908074</v>
      </c>
      <c r="I157" s="43">
        <v>71.080769301581569</v>
      </c>
    </row>
    <row r="158" spans="1:9">
      <c r="A158" s="19">
        <v>375.2</v>
      </c>
      <c r="B158" s="43">
        <v>75.239041219777732</v>
      </c>
      <c r="C158" s="43">
        <v>75.048473885085059</v>
      </c>
      <c r="D158" s="43">
        <v>74.663610017400657</v>
      </c>
      <c r="E158" s="43">
        <v>74.128382579420645</v>
      </c>
      <c r="F158" s="43">
        <v>73.478532777697126</v>
      </c>
      <c r="G158" s="43">
        <v>72.743089077953641</v>
      </c>
      <c r="H158" s="43">
        <v>71.945831674480786</v>
      </c>
      <c r="I158" s="43">
        <v>71.106539669005372</v>
      </c>
    </row>
    <row r="159" spans="1:9">
      <c r="A159" s="19">
        <v>375.3</v>
      </c>
      <c r="B159" s="43">
        <v>75.261064497742666</v>
      </c>
      <c r="C159" s="43">
        <v>75.071311280309288</v>
      </c>
      <c r="D159" s="43">
        <v>74.687173147275018</v>
      </c>
      <c r="E159" s="43">
        <v>74.152576699746362</v>
      </c>
      <c r="F159" s="43">
        <v>73.503262201447427</v>
      </c>
      <c r="G159" s="43">
        <v>72.768259198861756</v>
      </c>
      <c r="H159" s="43">
        <v>71.971349197129115</v>
      </c>
      <c r="I159" s="43">
        <v>71.132311998336206</v>
      </c>
    </row>
    <row r="160" spans="1:9">
      <c r="A160" s="19">
        <v>375.4</v>
      </c>
      <c r="B160" s="43">
        <v>75.283086690509521</v>
      </c>
      <c r="C160" s="43">
        <v>75.094147796309159</v>
      </c>
      <c r="D160" s="43">
        <v>74.710735706365</v>
      </c>
      <c r="E160" s="43">
        <v>74.176770635099956</v>
      </c>
      <c r="F160" s="43">
        <v>73.527991889361431</v>
      </c>
      <c r="G160" s="43">
        <v>72.7934300906239</v>
      </c>
      <c r="H160" s="43">
        <v>71.996868054653902</v>
      </c>
      <c r="I160" s="43">
        <v>71.158086286824954</v>
      </c>
    </row>
    <row r="161" spans="1:9">
      <c r="A161" s="19">
        <v>375.5</v>
      </c>
      <c r="B161" s="43">
        <v>75.305107798231575</v>
      </c>
      <c r="C161" s="43">
        <v>75.116983432839078</v>
      </c>
      <c r="D161" s="43">
        <v>74.734297694063144</v>
      </c>
      <c r="E161" s="43">
        <v>74.200964384523388</v>
      </c>
      <c r="F161" s="43">
        <v>73.5527218401391</v>
      </c>
      <c r="G161" s="43">
        <v>72.818601751555235</v>
      </c>
      <c r="H161" s="43">
        <v>72.022388244918005</v>
      </c>
      <c r="I161" s="43">
        <v>71.183862531840873</v>
      </c>
    </row>
    <row r="162" spans="1:9">
      <c r="A162" s="19">
        <v>375.6</v>
      </c>
      <c r="B162" s="43">
        <v>75.327127821088283</v>
      </c>
      <c r="C162" s="43">
        <v>75.139818189661867</v>
      </c>
      <c r="D162" s="43">
        <v>74.757859109755032</v>
      </c>
      <c r="E162" s="43">
        <v>74.225157947046</v>
      </c>
      <c r="F162" s="43">
        <v>73.577452052439952</v>
      </c>
      <c r="G162" s="43">
        <v>72.843774179905893</v>
      </c>
      <c r="H162" s="43">
        <v>72.04790976570149</v>
      </c>
      <c r="I162" s="43">
        <v>71.209640730671339</v>
      </c>
    </row>
    <row r="163" spans="1:9">
      <c r="A163" s="19">
        <v>375.7</v>
      </c>
      <c r="B163" s="43">
        <v>75.349146759235907</v>
      </c>
      <c r="C163" s="43">
        <v>75.162652066534065</v>
      </c>
      <c r="D163" s="43">
        <v>74.781419952834312</v>
      </c>
      <c r="E163" s="43">
        <v>74.249351321711089</v>
      </c>
      <c r="F163" s="43">
        <v>73.602182524943629</v>
      </c>
      <c r="G163" s="43">
        <v>72.868947373973384</v>
      </c>
      <c r="H163" s="43">
        <v>72.073432614887253</v>
      </c>
      <c r="I163" s="43">
        <v>71.235420880665146</v>
      </c>
    </row>
    <row r="164" spans="1:9">
      <c r="A164" s="19">
        <v>375.8</v>
      </c>
      <c r="B164" s="43">
        <v>75.371164612863481</v>
      </c>
      <c r="C164" s="43">
        <v>75.185485063224093</v>
      </c>
      <c r="D164" s="43">
        <v>74.804980222688243</v>
      </c>
      <c r="E164" s="43">
        <v>74.273544507540805</v>
      </c>
      <c r="F164" s="43">
        <v>73.626913256293079</v>
      </c>
      <c r="G164" s="43">
        <v>72.894121331995592</v>
      </c>
      <c r="H164" s="43">
        <v>72.098956790233302</v>
      </c>
      <c r="I164" s="43">
        <v>71.261202979068116</v>
      </c>
    </row>
    <row r="165" spans="1:9">
      <c r="A165" s="19">
        <v>375.9</v>
      </c>
      <c r="B165" s="43">
        <v>75.393181382134571</v>
      </c>
      <c r="C165" s="43">
        <v>75.208317179493974</v>
      </c>
      <c r="D165" s="43">
        <v>74.828539918714796</v>
      </c>
      <c r="E165" s="43">
        <v>74.297737503594618</v>
      </c>
      <c r="F165" s="43">
        <v>73.651644245199435</v>
      </c>
      <c r="G165" s="43">
        <v>72.919296052282959</v>
      </c>
      <c r="H165" s="43">
        <v>72.12448228962694</v>
      </c>
      <c r="I165" s="43">
        <v>71.286987023278527</v>
      </c>
    </row>
    <row r="166" spans="1:9">
      <c r="A166" s="19">
        <v>376</v>
      </c>
      <c r="B166" s="43">
        <v>75.415197067226273</v>
      </c>
      <c r="C166" s="43">
        <v>75.231148415108692</v>
      </c>
      <c r="D166" s="43">
        <v>74.852099040309923</v>
      </c>
      <c r="E166" s="43">
        <v>74.321930308904797</v>
      </c>
      <c r="F166" s="43">
        <v>73.676375490337534</v>
      </c>
      <c r="G166" s="43">
        <v>72.944471533125807</v>
      </c>
      <c r="H166" s="43">
        <v>72.150009110895837</v>
      </c>
      <c r="I166" s="43">
        <v>71.312773010613967</v>
      </c>
    </row>
    <row r="167" spans="1:9">
      <c r="A167" s="19">
        <v>376.1</v>
      </c>
      <c r="B167" s="43">
        <v>75.437211668320174</v>
      </c>
      <c r="C167" s="43">
        <v>75.253978769840927</v>
      </c>
      <c r="D167" s="43">
        <v>74.875657586867021</v>
      </c>
      <c r="E167" s="43">
        <v>74.346122922509892</v>
      </c>
      <c r="F167" s="43">
        <v>73.701106990370391</v>
      </c>
      <c r="G167" s="43">
        <v>72.969647772783787</v>
      </c>
      <c r="H167" s="43">
        <v>72.175537251850812</v>
      </c>
      <c r="I167" s="43">
        <v>71.338560938358853</v>
      </c>
    </row>
    <row r="168" spans="1:9">
      <c r="A168" s="19">
        <v>376.2</v>
      </c>
      <c r="B168" s="43">
        <v>75.459225185581715</v>
      </c>
      <c r="C168" s="43">
        <v>75.276808243453928</v>
      </c>
      <c r="D168" s="43">
        <v>74.899215557794747</v>
      </c>
      <c r="E168" s="43">
        <v>74.37031534347588</v>
      </c>
      <c r="F168" s="43">
        <v>73.725838744010275</v>
      </c>
      <c r="G168" s="43">
        <v>72.994824769580106</v>
      </c>
      <c r="H168" s="43">
        <v>72.201066710390648</v>
      </c>
      <c r="I168" s="43">
        <v>71.364350803920956</v>
      </c>
    </row>
    <row r="169" spans="1:9">
      <c r="A169" s="19">
        <v>376.3</v>
      </c>
      <c r="B169" s="43">
        <v>75.481237619205586</v>
      </c>
      <c r="C169" s="43">
        <v>75.299636835724925</v>
      </c>
      <c r="D169" s="43">
        <v>74.92277295248698</v>
      </c>
      <c r="E169" s="43">
        <v>74.394507570836936</v>
      </c>
      <c r="F169" s="43">
        <v>73.750570749927505</v>
      </c>
      <c r="G169" s="43">
        <v>73.020002521784335</v>
      </c>
      <c r="H169" s="43">
        <v>72.226597484317921</v>
      </c>
      <c r="I169" s="43">
        <v>71.390142604594217</v>
      </c>
    </row>
    <row r="170" spans="1:9">
      <c r="A170" s="19">
        <v>376.4</v>
      </c>
      <c r="B170" s="43">
        <v>75.503248969358197</v>
      </c>
      <c r="C170" s="43">
        <v>75.322464546422651</v>
      </c>
      <c r="D170" s="43">
        <v>74.946329770351952</v>
      </c>
      <c r="E170" s="43">
        <v>74.418699603650907</v>
      </c>
      <c r="F170" s="43">
        <v>73.775303006823492</v>
      </c>
      <c r="G170" s="43">
        <v>73.045181027717547</v>
      </c>
      <c r="H170" s="43">
        <v>72.252129571528286</v>
      </c>
      <c r="I170" s="43">
        <v>71.415936337761309</v>
      </c>
    </row>
    <row r="171" spans="1:9">
      <c r="A171" s="19">
        <v>376.5</v>
      </c>
      <c r="B171" s="43">
        <v>75.525259236238412</v>
      </c>
      <c r="C171" s="43">
        <v>75.345291375325331</v>
      </c>
      <c r="D171" s="43">
        <v>74.969886010791356</v>
      </c>
      <c r="E171" s="43">
        <v>74.442891440960011</v>
      </c>
      <c r="F171" s="43">
        <v>73.80003551337299</v>
      </c>
      <c r="G171" s="43">
        <v>73.070360285647581</v>
      </c>
      <c r="H171" s="43">
        <v>72.277662969826991</v>
      </c>
      <c r="I171" s="43">
        <v>71.441732000736351</v>
      </c>
    </row>
    <row r="172" spans="1:9">
      <c r="A172" s="19">
        <v>376.6</v>
      </c>
      <c r="B172" s="43">
        <v>75.547268420021993</v>
      </c>
      <c r="C172" s="43">
        <v>75.368117322207979</v>
      </c>
      <c r="D172" s="43">
        <v>74.993441673215216</v>
      </c>
      <c r="E172" s="43">
        <v>74.467083081833323</v>
      </c>
      <c r="F172" s="43">
        <v>73.824768268288494</v>
      </c>
      <c r="G172" s="43">
        <v>73.095540293894885</v>
      </c>
      <c r="H172" s="43">
        <v>72.303197677104379</v>
      </c>
      <c r="I172" s="43">
        <v>71.467529590892298</v>
      </c>
    </row>
    <row r="173" spans="1:9">
      <c r="A173" s="19">
        <v>376.7</v>
      </c>
      <c r="B173" s="43">
        <v>75.569276520890355</v>
      </c>
      <c r="C173" s="43">
        <v>75.39094238684774</v>
      </c>
      <c r="D173" s="43">
        <v>75.016996757032473</v>
      </c>
      <c r="E173" s="43">
        <v>74.491274525325366</v>
      </c>
      <c r="F173" s="43">
        <v>73.84950127026724</v>
      </c>
      <c r="G173" s="43">
        <v>73.120721050774506</v>
      </c>
      <c r="H173" s="43">
        <v>72.328733691230696</v>
      </c>
      <c r="I173" s="43">
        <v>71.493329105598974</v>
      </c>
    </row>
    <row r="174" spans="1:9">
      <c r="A174" s="19">
        <v>376.8</v>
      </c>
      <c r="B174" s="43">
        <v>75.591283539050437</v>
      </c>
      <c r="C174" s="43">
        <v>75.413766569028098</v>
      </c>
      <c r="D174" s="43">
        <v>75.040551261649171</v>
      </c>
      <c r="E174" s="43">
        <v>74.515465770480915</v>
      </c>
      <c r="F174" s="43">
        <v>73.874234517985343</v>
      </c>
      <c r="G174" s="43">
        <v>73.145902554556329</v>
      </c>
      <c r="H174" s="43">
        <v>72.354271010030288</v>
      </c>
      <c r="I174" s="43">
        <v>71.519130542167773</v>
      </c>
    </row>
    <row r="175" spans="1:9">
      <c r="A175" s="19">
        <v>376.9</v>
      </c>
      <c r="B175" s="43">
        <v>75.613289474664157</v>
      </c>
      <c r="C175" s="43">
        <v>75.436589868523612</v>
      </c>
      <c r="D175" s="43">
        <v>75.064105186486415</v>
      </c>
      <c r="E175" s="43">
        <v>74.53965681638914</v>
      </c>
      <c r="F175" s="43">
        <v>73.898968010183694</v>
      </c>
      <c r="G175" s="43">
        <v>73.171084803616111</v>
      </c>
      <c r="H175" s="43">
        <v>72.379809631443152</v>
      </c>
      <c r="I175" s="43">
        <v>71.544933898069786</v>
      </c>
    </row>
    <row r="176" spans="1:9">
      <c r="A176" s="19">
        <v>377</v>
      </c>
      <c r="B176" s="43">
        <v>75.635294327939903</v>
      </c>
      <c r="C176" s="43">
        <v>75.459412285124074</v>
      </c>
      <c r="D176" s="43">
        <v>75.087658530953718</v>
      </c>
      <c r="E176" s="43">
        <v>74.563847662094446</v>
      </c>
      <c r="F176" s="43">
        <v>73.923701745541791</v>
      </c>
      <c r="G176" s="43">
        <v>73.196267796228852</v>
      </c>
      <c r="H176" s="43">
        <v>72.405349553292751</v>
      </c>
      <c r="I176" s="43">
        <v>71.570739170593953</v>
      </c>
    </row>
    <row r="177" spans="1:9">
      <c r="A177" s="19">
        <v>377.1</v>
      </c>
      <c r="B177" s="43">
        <v>75.657298099080009</v>
      </c>
      <c r="C177" s="43">
        <v>75.482233818615214</v>
      </c>
      <c r="D177" s="43">
        <v>75.111211294463885</v>
      </c>
      <c r="E177" s="43">
        <v>74.588038306653999</v>
      </c>
      <c r="F177" s="43">
        <v>73.948435722750531</v>
      </c>
      <c r="G177" s="43">
        <v>73.22145153068081</v>
      </c>
      <c r="H177" s="43">
        <v>72.430890773431287</v>
      </c>
      <c r="I177" s="43">
        <v>71.59654635709245</v>
      </c>
    </row>
    <row r="178" spans="1:9">
      <c r="A178" s="19">
        <v>377.2</v>
      </c>
      <c r="B178" s="43">
        <v>75.679300788249719</v>
      </c>
      <c r="C178" s="43">
        <v>75.505054468777075</v>
      </c>
      <c r="D178" s="43">
        <v>75.134763476445158</v>
      </c>
      <c r="E178" s="43">
        <v>74.612228749160522</v>
      </c>
      <c r="F178" s="43">
        <v>73.973169940570131</v>
      </c>
      <c r="G178" s="43">
        <v>73.246636005360784</v>
      </c>
      <c r="H178" s="43">
        <v>72.456433289813845</v>
      </c>
      <c r="I178" s="43">
        <v>71.62235545504916</v>
      </c>
    </row>
    <row r="179" spans="1:9">
      <c r="A179" s="19">
        <v>377.3</v>
      </c>
      <c r="B179" s="43">
        <v>75.701302395668876</v>
      </c>
      <c r="C179" s="43">
        <v>75.527874235403772</v>
      </c>
      <c r="D179" s="43">
        <v>75.158315076307161</v>
      </c>
      <c r="E179" s="43">
        <v>74.636418988666833</v>
      </c>
      <c r="F179" s="43">
        <v>73.997904397671476</v>
      </c>
      <c r="G179" s="43">
        <v>73.271821218541362</v>
      </c>
      <c r="H179" s="43">
        <v>72.481977100270001</v>
      </c>
      <c r="I179" s="43">
        <v>71.648166461760496</v>
      </c>
    </row>
    <row r="180" spans="1:9">
      <c r="A180" s="19">
        <v>377.4</v>
      </c>
      <c r="B180" s="43">
        <v>75.723302921524152</v>
      </c>
      <c r="C180" s="43">
        <v>75.550693118280577</v>
      </c>
      <c r="D180" s="43">
        <v>75.181866093479869</v>
      </c>
      <c r="E180" s="43">
        <v>74.660609024252835</v>
      </c>
      <c r="F180" s="43">
        <v>74.022639092783464</v>
      </c>
      <c r="G180" s="43">
        <v>73.297007168583917</v>
      </c>
      <c r="H180" s="43">
        <v>72.507522202712522</v>
      </c>
      <c r="I180" s="43">
        <v>71.673979374659211</v>
      </c>
    </row>
    <row r="181" spans="1:9">
      <c r="A181" s="19">
        <v>377.5</v>
      </c>
      <c r="B181" s="43">
        <v>75.745302366016659</v>
      </c>
      <c r="C181" s="43">
        <v>75.573511117203395</v>
      </c>
      <c r="D181" s="43">
        <v>75.205416527383875</v>
      </c>
      <c r="E181" s="43">
        <v>74.684798854990134</v>
      </c>
      <c r="F181" s="43">
        <v>74.047374024630869</v>
      </c>
      <c r="G181" s="43">
        <v>73.322193853803526</v>
      </c>
      <c r="H181" s="43">
        <v>72.533068595024957</v>
      </c>
      <c r="I181" s="43">
        <v>71.699794191124539</v>
      </c>
    </row>
    <row r="182" spans="1:9">
      <c r="A182" s="19">
        <v>377.6</v>
      </c>
      <c r="B182" s="43">
        <v>75.767300729356293</v>
      </c>
      <c r="C182" s="43">
        <v>75.59632823196597</v>
      </c>
      <c r="D182" s="43">
        <v>75.228966377440742</v>
      </c>
      <c r="E182" s="43">
        <v>74.708988479947351</v>
      </c>
      <c r="F182" s="43">
        <v>74.072109191911437</v>
      </c>
      <c r="G182" s="43">
        <v>73.347381272503469</v>
      </c>
      <c r="H182" s="43">
        <v>72.558616275081704</v>
      </c>
      <c r="I182" s="43">
        <v>71.725610908520309</v>
      </c>
    </row>
    <row r="183" spans="1:9">
      <c r="A183" s="19">
        <v>377.7</v>
      </c>
      <c r="B183" s="43">
        <v>75.78929801172356</v>
      </c>
      <c r="C183" s="43">
        <v>75.619144462357582</v>
      </c>
      <c r="D183" s="43">
        <v>75.252515643085701</v>
      </c>
      <c r="E183" s="43">
        <v>74.733177898218429</v>
      </c>
      <c r="F183" s="43">
        <v>74.096844593368559</v>
      </c>
      <c r="G183" s="43">
        <v>73.372569423059304</v>
      </c>
      <c r="H183" s="43">
        <v>72.584165240822102</v>
      </c>
      <c r="I183" s="43">
        <v>71.751429524313664</v>
      </c>
    </row>
    <row r="184" spans="1:9">
      <c r="A184" s="19">
        <v>377.8</v>
      </c>
      <c r="B184" s="43">
        <v>75.811294213344325</v>
      </c>
      <c r="C184" s="43">
        <v>75.641959808181241</v>
      </c>
      <c r="D184" s="43">
        <v>75.276064323742958</v>
      </c>
      <c r="E184" s="43">
        <v>74.757367108870341</v>
      </c>
      <c r="F184" s="43">
        <v>74.121580227716095</v>
      </c>
      <c r="G184" s="43">
        <v>73.397758303792557</v>
      </c>
      <c r="H184" s="43">
        <v>72.609715490118305</v>
      </c>
      <c r="I184" s="43">
        <v>71.777250035869372</v>
      </c>
    </row>
    <row r="185" spans="1:9">
      <c r="A185" s="19">
        <v>377.9</v>
      </c>
      <c r="B185" s="43">
        <v>75.833289334406544</v>
      </c>
      <c r="C185" s="43">
        <v>75.664774269230378</v>
      </c>
      <c r="D185" s="43">
        <v>75.29961241884584</v>
      </c>
      <c r="E185" s="43">
        <v>74.78155611099379</v>
      </c>
      <c r="F185" s="43">
        <v>74.146316093690842</v>
      </c>
      <c r="G185" s="43">
        <v>73.422947913059147</v>
      </c>
      <c r="H185" s="43">
        <v>72.635267020896748</v>
      </c>
      <c r="I185" s="43">
        <v>71.803072440610862</v>
      </c>
    </row>
    <row r="186" spans="1:9">
      <c r="A186" s="19">
        <v>378</v>
      </c>
      <c r="B186" s="43">
        <v>75.855283375133467</v>
      </c>
      <c r="C186" s="43">
        <v>75.687587845310617</v>
      </c>
      <c r="D186" s="43">
        <v>75.323159927824463</v>
      </c>
      <c r="E186" s="43">
        <v>74.805744903665783</v>
      </c>
      <c r="F186" s="43">
        <v>74.17105219000706</v>
      </c>
      <c r="G186" s="43">
        <v>73.448138249171649</v>
      </c>
      <c r="H186" s="43">
        <v>72.660819831030523</v>
      </c>
      <c r="I186" s="43">
        <v>71.828896735927543</v>
      </c>
    </row>
    <row r="187" spans="1:9">
      <c r="A187" s="19">
        <v>378.1</v>
      </c>
      <c r="B187" s="43">
        <v>75.877276335719472</v>
      </c>
      <c r="C187" s="43">
        <v>75.710400536217804</v>
      </c>
      <c r="D187" s="43">
        <v>75.346706850116334</v>
      </c>
      <c r="E187" s="43">
        <v>74.829933485981883</v>
      </c>
      <c r="F187" s="43">
        <v>74.195788515417206</v>
      </c>
      <c r="G187" s="43">
        <v>73.473329310517187</v>
      </c>
      <c r="H187" s="43">
        <v>72.686373918485714</v>
      </c>
      <c r="I187" s="43">
        <v>71.854722919282978</v>
      </c>
    </row>
    <row r="188" spans="1:9">
      <c r="A188" s="19">
        <v>378.2</v>
      </c>
      <c r="B188" s="43">
        <v>75.899268216382097</v>
      </c>
      <c r="C188" s="43">
        <v>75.733212341758957</v>
      </c>
      <c r="D188" s="43">
        <v>75.370253185157395</v>
      </c>
      <c r="E188" s="43">
        <v>74.854121857024126</v>
      </c>
      <c r="F188" s="43">
        <v>74.220525068638153</v>
      </c>
      <c r="G188" s="43">
        <v>73.498521095416777</v>
      </c>
      <c r="H188" s="43">
        <v>72.711929281144648</v>
      </c>
      <c r="I188" s="43">
        <v>71.880550988044746</v>
      </c>
    </row>
    <row r="189" spans="1:9">
      <c r="A189" s="19">
        <v>378.3</v>
      </c>
      <c r="B189" s="43">
        <v>75.921259017338343</v>
      </c>
      <c r="C189" s="43">
        <v>75.756023261741575</v>
      </c>
      <c r="D189" s="43">
        <v>75.393798932383135</v>
      </c>
      <c r="E189" s="43">
        <v>74.878310015879123</v>
      </c>
      <c r="F189" s="43">
        <v>74.245261848403629</v>
      </c>
      <c r="G189" s="43">
        <v>73.523713602211245</v>
      </c>
      <c r="H189" s="43">
        <v>72.737485916899658</v>
      </c>
      <c r="I189" s="43">
        <v>71.906380939653843</v>
      </c>
    </row>
    <row r="190" spans="1:9">
      <c r="A190" s="19">
        <v>378.4</v>
      </c>
      <c r="B190" s="43">
        <v>75.943248738782415</v>
      </c>
      <c r="C190" s="43">
        <v>75.778833295964915</v>
      </c>
      <c r="D190" s="43">
        <v>75.417344091239414</v>
      </c>
      <c r="E190" s="43">
        <v>74.902497961657957</v>
      </c>
      <c r="F190" s="43">
        <v>74.269998853473055</v>
      </c>
      <c r="G190" s="43">
        <v>73.548906829301643</v>
      </c>
      <c r="H190" s="43">
        <v>72.763043823746585</v>
      </c>
      <c r="I190" s="43">
        <v>71.932212771581419</v>
      </c>
    </row>
    <row r="191" spans="1:9">
      <c r="A191" s="19">
        <v>378.5</v>
      </c>
      <c r="B191" s="43">
        <v>75.965237380948196</v>
      </c>
      <c r="C191" s="43">
        <v>75.801642444244521</v>
      </c>
      <c r="D191" s="43">
        <v>75.440888661165133</v>
      </c>
      <c r="E191" s="43">
        <v>74.926685693437946</v>
      </c>
      <c r="F191" s="43">
        <v>74.29473608257527</v>
      </c>
      <c r="G191" s="43">
        <v>73.574100775014585</v>
      </c>
      <c r="H191" s="43">
        <v>72.788602999558123</v>
      </c>
      <c r="I191" s="43">
        <v>71.958046481224528</v>
      </c>
    </row>
    <row r="192" spans="1:9">
      <c r="A192" s="19">
        <v>378.6</v>
      </c>
      <c r="B192" s="43">
        <v>75.987224944040292</v>
      </c>
      <c r="C192" s="43">
        <v>75.824450706386642</v>
      </c>
      <c r="D192" s="43">
        <v>75.464432641603992</v>
      </c>
      <c r="E192" s="43">
        <v>74.950873210323437</v>
      </c>
      <c r="F192" s="43">
        <v>74.319473534457586</v>
      </c>
      <c r="G192" s="43">
        <v>73.59929543772148</v>
      </c>
      <c r="H192" s="43">
        <v>72.814163442285945</v>
      </c>
      <c r="I192" s="43">
        <v>71.983882066034141</v>
      </c>
    </row>
    <row r="193" spans="1:9">
      <c r="A193" s="19">
        <v>378.7</v>
      </c>
      <c r="B193" s="43">
        <v>76.009211428284402</v>
      </c>
      <c r="C193" s="43">
        <v>75.847258082204519</v>
      </c>
      <c r="D193" s="43">
        <v>75.487976032002706</v>
      </c>
      <c r="E193" s="43">
        <v>74.975060511410788</v>
      </c>
      <c r="F193" s="43">
        <v>74.344211207869506</v>
      </c>
      <c r="G193" s="43">
        <v>73.624490815784071</v>
      </c>
      <c r="H193" s="43">
        <v>72.839725149849755</v>
      </c>
      <c r="I193" s="43">
        <v>72.009719523451878</v>
      </c>
    </row>
    <row r="194" spans="1:9">
      <c r="A194" s="19">
        <v>378.8</v>
      </c>
      <c r="B194" s="43">
        <v>76.031196833898406</v>
      </c>
      <c r="C194" s="43">
        <v>75.870064571513069</v>
      </c>
      <c r="D194" s="43">
        <v>75.511518831806768</v>
      </c>
      <c r="E194" s="43">
        <v>74.999247595803865</v>
      </c>
      <c r="F194" s="43">
        <v>74.36894910154848</v>
      </c>
      <c r="G194" s="43">
        <v>73.649686907566178</v>
      </c>
      <c r="H194" s="43">
        <v>72.865288120196965</v>
      </c>
      <c r="I194" s="43">
        <v>72.035558850910633</v>
      </c>
    </row>
    <row r="195" spans="1:9">
      <c r="A195" s="19">
        <v>378.9</v>
      </c>
      <c r="B195" s="43">
        <v>76.053181161096461</v>
      </c>
      <c r="C195" s="43">
        <v>75.892870174123061</v>
      </c>
      <c r="D195" s="43">
        <v>75.535061040469571</v>
      </c>
      <c r="E195" s="43">
        <v>75.02343446260528</v>
      </c>
      <c r="F195" s="43">
        <v>74.393687214265071</v>
      </c>
      <c r="G195" s="43">
        <v>73.674883711460467</v>
      </c>
      <c r="H195" s="43">
        <v>72.890852351277289</v>
      </c>
      <c r="I195" s="43">
        <v>72.061400045891787</v>
      </c>
    </row>
    <row r="196" spans="1:9">
      <c r="A196" s="19">
        <v>379</v>
      </c>
      <c r="B196" s="43">
        <v>76.075164410117253</v>
      </c>
      <c r="C196" s="43">
        <v>75.915674889859019</v>
      </c>
      <c r="D196" s="43">
        <v>75.558602657435927</v>
      </c>
      <c r="E196" s="43">
        <v>75.047621110913298</v>
      </c>
      <c r="F196" s="43">
        <v>74.418425544746611</v>
      </c>
      <c r="G196" s="43">
        <v>73.700081225797192</v>
      </c>
      <c r="H196" s="43">
        <v>72.916417841000452</v>
      </c>
      <c r="I196" s="43">
        <v>72.087243105799217</v>
      </c>
    </row>
    <row r="197" spans="1:9">
      <c r="A197" s="19">
        <v>379.1</v>
      </c>
      <c r="B197" s="43">
        <v>76.097146581162747</v>
      </c>
      <c r="C197" s="43">
        <v>75.938478718530121</v>
      </c>
      <c r="D197" s="43">
        <v>75.582143682166702</v>
      </c>
      <c r="E197" s="43">
        <v>75.071807539851704</v>
      </c>
      <c r="F197" s="43">
        <v>74.443164091787196</v>
      </c>
      <c r="G197" s="43">
        <v>73.725279449001391</v>
      </c>
      <c r="H197" s="43">
        <v>72.941984587358974</v>
      </c>
      <c r="I197" s="43">
        <v>72.11308802817058</v>
      </c>
    </row>
    <row r="198" spans="1:9">
      <c r="A198" s="19">
        <v>379.2</v>
      </c>
      <c r="B198" s="43">
        <v>76.119127674475465</v>
      </c>
      <c r="C198" s="43">
        <v>75.961281659963305</v>
      </c>
      <c r="D198" s="43">
        <v>75.605684114111682</v>
      </c>
      <c r="E198" s="43">
        <v>75.095993748514616</v>
      </c>
      <c r="F198" s="43">
        <v>74.467902854109468</v>
      </c>
      <c r="G198" s="43">
        <v>73.750478379420628</v>
      </c>
      <c r="H198" s="43">
        <v>72.967552588276959</v>
      </c>
      <c r="I198" s="43">
        <v>72.138934810411911</v>
      </c>
    </row>
    <row r="199" spans="1:9">
      <c r="A199" s="19">
        <v>379.3</v>
      </c>
      <c r="B199" s="43">
        <v>76.141107690288976</v>
      </c>
      <c r="C199" s="43">
        <v>75.984083713981732</v>
      </c>
      <c r="D199" s="43">
        <v>75.629223952725454</v>
      </c>
      <c r="E199" s="43">
        <v>75.12017973601175</v>
      </c>
      <c r="F199" s="43">
        <v>74.492641830480125</v>
      </c>
      <c r="G199" s="43">
        <v>73.775678015430287</v>
      </c>
      <c r="H199" s="43">
        <v>72.993121841687042</v>
      </c>
      <c r="I199" s="43">
        <v>72.164783449958435</v>
      </c>
    </row>
    <row r="200" spans="1:9">
      <c r="A200" s="19">
        <v>379.4</v>
      </c>
      <c r="B200" s="43">
        <v>76.163086628806695</v>
      </c>
      <c r="C200" s="43">
        <v>76.006884880400264</v>
      </c>
      <c r="D200" s="43">
        <v>75.652763197473689</v>
      </c>
      <c r="E200" s="43">
        <v>75.144365501474539</v>
      </c>
      <c r="F200" s="43">
        <v>74.517381019690532</v>
      </c>
      <c r="G200" s="43">
        <v>73.800878355446969</v>
      </c>
      <c r="H200" s="43">
        <v>73.018692345616216</v>
      </c>
      <c r="I200" s="43">
        <v>72.190633944371768</v>
      </c>
    </row>
    <row r="201" spans="1:9">
      <c r="A201" s="19">
        <v>379.5</v>
      </c>
      <c r="B201" s="43">
        <v>76.185064490284361</v>
      </c>
      <c r="C201" s="43">
        <v>76.029685159053514</v>
      </c>
      <c r="D201" s="43">
        <v>75.676301847810208</v>
      </c>
      <c r="E201" s="43">
        <v>75.168551044000367</v>
      </c>
      <c r="F201" s="43">
        <v>74.542120420479051</v>
      </c>
      <c r="G201" s="43">
        <v>73.826079397837702</v>
      </c>
      <c r="H201" s="43">
        <v>73.044264097967698</v>
      </c>
      <c r="I201" s="43">
        <v>72.216486291070737</v>
      </c>
    </row>
    <row r="202" spans="1:9">
      <c r="A202" s="19">
        <v>379.6</v>
      </c>
      <c r="B202" s="43">
        <v>76.207041274934738</v>
      </c>
      <c r="C202" s="43">
        <v>76.05248454976072</v>
      </c>
      <c r="D202" s="43">
        <v>75.699839903201763</v>
      </c>
      <c r="E202" s="43">
        <v>75.192736362721547</v>
      </c>
      <c r="F202" s="43">
        <v>74.566860031628181</v>
      </c>
      <c r="G202" s="43">
        <v>73.851281141005643</v>
      </c>
      <c r="H202" s="43">
        <v>73.069837096735654</v>
      </c>
      <c r="I202" s="43">
        <v>72.242340487566935</v>
      </c>
    </row>
    <row r="203" spans="1:9">
      <c r="A203" s="19">
        <v>379.7</v>
      </c>
      <c r="B203" s="43">
        <v>76.229016983007483</v>
      </c>
      <c r="C203" s="43">
        <v>76.075283052357833</v>
      </c>
      <c r="D203" s="43">
        <v>75.723377363108682</v>
      </c>
      <c r="E203" s="43">
        <v>75.216921456745666</v>
      </c>
      <c r="F203" s="43">
        <v>74.591599851901776</v>
      </c>
      <c r="G203" s="43">
        <v>73.876483583332117</v>
      </c>
      <c r="H203" s="43">
        <v>73.095411339857293</v>
      </c>
      <c r="I203" s="43">
        <v>72.268196531297264</v>
      </c>
    </row>
    <row r="204" spans="1:9">
      <c r="A204" s="19">
        <v>379.8</v>
      </c>
      <c r="B204" s="43">
        <v>76.250991614732328</v>
      </c>
      <c r="C204" s="43">
        <v>76.098080666671507</v>
      </c>
      <c r="D204" s="43">
        <v>75.746914226997774</v>
      </c>
      <c r="E204" s="43">
        <v>75.241106325198729</v>
      </c>
      <c r="F204" s="43">
        <v>74.616339880070086</v>
      </c>
      <c r="G204" s="43">
        <v>73.901686723216557</v>
      </c>
      <c r="H204" s="43">
        <v>73.120986825346193</v>
      </c>
      <c r="I204" s="43">
        <v>72.294054419783834</v>
      </c>
    </row>
    <row r="205" spans="1:9">
      <c r="A205" s="19">
        <v>379.9</v>
      </c>
      <c r="B205" s="43">
        <v>76.272965170340115</v>
      </c>
      <c r="C205" s="43">
        <v>76.12087739253073</v>
      </c>
      <c r="D205" s="43">
        <v>75.770450494338064</v>
      </c>
      <c r="E205" s="43">
        <v>75.265290967208102</v>
      </c>
      <c r="F205" s="43">
        <v>74.64108011491652</v>
      </c>
      <c r="G205" s="43">
        <v>73.926890559057739</v>
      </c>
      <c r="H205" s="43">
        <v>73.146563551147466</v>
      </c>
      <c r="I205" s="43">
        <v>72.31991415052056</v>
      </c>
    </row>
    <row r="206" spans="1:9">
      <c r="A206" s="19">
        <v>380</v>
      </c>
      <c r="B206" s="43">
        <v>76.236130216039669</v>
      </c>
      <c r="C206" s="43">
        <v>76.119469745567471</v>
      </c>
      <c r="D206" s="43">
        <v>75.807385357353041</v>
      </c>
      <c r="E206" s="43">
        <v>75.34271899569319</v>
      </c>
      <c r="F206" s="43">
        <v>74.760629308424939</v>
      </c>
      <c r="G206" s="43">
        <v>74.089809246002091</v>
      </c>
      <c r="H206" s="43">
        <v>73.35378491669681</v>
      </c>
      <c r="I206" s="43">
        <v>72.572059615548596</v>
      </c>
    </row>
    <row r="207" spans="1:9">
      <c r="A207" s="19">
        <v>380.1</v>
      </c>
      <c r="B207" s="43">
        <v>76.199098510719523</v>
      </c>
      <c r="C207" s="43">
        <v>76.117565134736651</v>
      </c>
      <c r="D207" s="43">
        <v>75.843423957384886</v>
      </c>
      <c r="E207" s="43">
        <v>75.418694101979185</v>
      </c>
      <c r="F207" s="43">
        <v>74.87795049730164</v>
      </c>
      <c r="G207" s="43">
        <v>74.249447184457267</v>
      </c>
      <c r="H207" s="43">
        <v>73.556341840283295</v>
      </c>
      <c r="I207" s="43">
        <v>72.817783704899824</v>
      </c>
    </row>
    <row r="208" spans="1:9">
      <c r="A208" s="19">
        <v>380.2</v>
      </c>
      <c r="B208" s="43">
        <v>76.220436952724214</v>
      </c>
      <c r="C208" s="43">
        <v>76.139621995694995</v>
      </c>
      <c r="D208" s="43">
        <v>75.866124894841505</v>
      </c>
      <c r="E208" s="43">
        <v>75.441957582844395</v>
      </c>
      <c r="F208" s="43">
        <v>74.901693415168836</v>
      </c>
      <c r="G208" s="43">
        <v>74.273587418861524</v>
      </c>
      <c r="H208" s="43">
        <v>73.580799137660051</v>
      </c>
      <c r="I208" s="43">
        <v>72.84247973218649</v>
      </c>
    </row>
    <row r="209" spans="1:9">
      <c r="A209" s="19">
        <v>380.3</v>
      </c>
      <c r="B209" s="43">
        <v>76.241774322176127</v>
      </c>
      <c r="C209" s="43">
        <v>76.161677896253934</v>
      </c>
      <c r="D209" s="43">
        <v>75.888825073182062</v>
      </c>
      <c r="E209" s="43">
        <v>75.465220573042814</v>
      </c>
      <c r="F209" s="43">
        <v>74.925436163739988</v>
      </c>
      <c r="G209" s="43">
        <v>74.297727850023563</v>
      </c>
      <c r="H209" s="43">
        <v>73.605257038428618</v>
      </c>
      <c r="I209" s="43">
        <v>72.867176808288178</v>
      </c>
    </row>
    <row r="210" spans="1:9">
      <c r="A210" s="19">
        <v>380.4</v>
      </c>
      <c r="B210" s="43">
        <v>76.26311061940666</v>
      </c>
      <c r="C210" s="43">
        <v>76.183732836398519</v>
      </c>
      <c r="D210" s="43">
        <v>75.911524492071777</v>
      </c>
      <c r="E210" s="43">
        <v>75.488483071937623</v>
      </c>
      <c r="F210" s="43">
        <v>74.949178742071268</v>
      </c>
      <c r="G210" s="43">
        <v>74.321868476706385</v>
      </c>
      <c r="H210" s="43">
        <v>73.629715541029299</v>
      </c>
      <c r="I210" s="43">
        <v>72.891874931317261</v>
      </c>
    </row>
    <row r="211" spans="1:9">
      <c r="A211" s="19">
        <v>380.5</v>
      </c>
      <c r="B211" s="43">
        <v>76.284445844703527</v>
      </c>
      <c r="C211" s="43">
        <v>76.205786816101011</v>
      </c>
      <c r="D211" s="43">
        <v>75.934223151186501</v>
      </c>
      <c r="E211" s="43">
        <v>75.51174507892506</v>
      </c>
      <c r="F211" s="43">
        <v>74.972921149289334</v>
      </c>
      <c r="G211" s="43">
        <v>74.346009297746292</v>
      </c>
      <c r="H211" s="43">
        <v>73.654174643983993</v>
      </c>
      <c r="I211" s="43">
        <v>72.916574099466288</v>
      </c>
    </row>
    <row r="212" spans="1:9">
      <c r="A212" s="19">
        <v>380.6</v>
      </c>
      <c r="B212" s="43">
        <v>76.305779998382434</v>
      </c>
      <c r="C212" s="43">
        <v>76.227839835341342</v>
      </c>
      <c r="D212" s="43">
        <v>75.956921050198901</v>
      </c>
      <c r="E212" s="43">
        <v>75.535006593382207</v>
      </c>
      <c r="F212" s="43">
        <v>74.996663384480286</v>
      </c>
      <c r="G212" s="43">
        <v>74.370150311941217</v>
      </c>
      <c r="H212" s="43">
        <v>73.678634345794023</v>
      </c>
      <c r="I212" s="43">
        <v>72.941274310918942</v>
      </c>
    </row>
    <row r="213" spans="1:9">
      <c r="A213" s="19">
        <v>380.7</v>
      </c>
      <c r="B213" s="43">
        <v>76.327113080748319</v>
      </c>
      <c r="C213" s="43">
        <v>76.24989189409942</v>
      </c>
      <c r="D213" s="43">
        <v>75.979618188782553</v>
      </c>
      <c r="E213" s="43">
        <v>75.558267614698053</v>
      </c>
      <c r="F213" s="43">
        <v>75.020405446753358</v>
      </c>
      <c r="G213" s="43">
        <v>74.394291518104524</v>
      </c>
      <c r="H213" s="43">
        <v>73.703094644948578</v>
      </c>
      <c r="I213" s="43">
        <v>72.965975563815647</v>
      </c>
    </row>
    <row r="214" spans="1:9">
      <c r="A214" s="19">
        <v>380.8</v>
      </c>
      <c r="B214" s="43">
        <v>76.348445092116577</v>
      </c>
      <c r="C214" s="43">
        <v>76.271942992358731</v>
      </c>
      <c r="D214" s="43">
        <v>76.002314566613165</v>
      </c>
      <c r="E214" s="43">
        <v>75.581528142256332</v>
      </c>
      <c r="F214" s="43">
        <v>75.044147335202382</v>
      </c>
      <c r="G214" s="43">
        <v>74.418432915033549</v>
      </c>
      <c r="H214" s="43">
        <v>73.727555539959639</v>
      </c>
      <c r="I214" s="43">
        <v>72.990677856334031</v>
      </c>
    </row>
    <row r="215" spans="1:9">
      <c r="A215" s="19">
        <v>380.9</v>
      </c>
      <c r="B215" s="43">
        <v>76.369776032801781</v>
      </c>
      <c r="C215" s="43">
        <v>76.293993130101001</v>
      </c>
      <c r="D215" s="43">
        <v>76.025010183368863</v>
      </c>
      <c r="E215" s="43">
        <v>75.60478817544589</v>
      </c>
      <c r="F215" s="43">
        <v>75.067889048935399</v>
      </c>
      <c r="G215" s="43">
        <v>74.442574501546858</v>
      </c>
      <c r="H215" s="43">
        <v>73.75201702931966</v>
      </c>
      <c r="I215" s="43">
        <v>73.015381186658601</v>
      </c>
    </row>
    <row r="216" spans="1:9">
      <c r="A216" s="19">
        <v>381</v>
      </c>
      <c r="B216" s="43">
        <v>76.391105903119808</v>
      </c>
      <c r="C216" s="43">
        <v>76.316042307313808</v>
      </c>
      <c r="D216" s="43">
        <v>76.047705038725667</v>
      </c>
      <c r="E216" s="43">
        <v>75.628047713651284</v>
      </c>
      <c r="F216" s="43">
        <v>75.091630587046495</v>
      </c>
      <c r="G216" s="43">
        <v>74.466716276446874</v>
      </c>
      <c r="H216" s="43">
        <v>73.776479111523969</v>
      </c>
      <c r="I216" s="43">
        <v>73.040085552948483</v>
      </c>
    </row>
    <row r="217" spans="1:9">
      <c r="A217" s="19">
        <v>381.1</v>
      </c>
      <c r="B217" s="43">
        <v>76.412434703381393</v>
      </c>
      <c r="C217" s="43">
        <v>76.338090523979446</v>
      </c>
      <c r="D217" s="43">
        <v>76.070399132364912</v>
      </c>
      <c r="E217" s="43">
        <v>75.651306756268127</v>
      </c>
      <c r="F217" s="43">
        <v>75.115371948652012</v>
      </c>
      <c r="G217" s="43">
        <v>74.490858238562879</v>
      </c>
      <c r="H217" s="43">
        <v>73.800941785091197</v>
      </c>
      <c r="I217" s="43">
        <v>73.06479095339381</v>
      </c>
    </row>
    <row r="218" spans="1:9">
      <c r="A218" s="19">
        <v>381.2</v>
      </c>
      <c r="B218" s="43">
        <v>76.433762433900966</v>
      </c>
      <c r="C218" s="43">
        <v>76.360137780083278</v>
      </c>
      <c r="D218" s="43">
        <v>76.093092463967849</v>
      </c>
      <c r="E218" s="43">
        <v>75.674565302686545</v>
      </c>
      <c r="F218" s="43">
        <v>75.139113132856892</v>
      </c>
      <c r="G218" s="43">
        <v>74.515000386704344</v>
      </c>
      <c r="H218" s="43">
        <v>73.825405048535714</v>
      </c>
      <c r="I218" s="43">
        <v>73.089497386179147</v>
      </c>
    </row>
    <row r="219" spans="1:9">
      <c r="A219" s="19">
        <v>381.3</v>
      </c>
      <c r="B219" s="43">
        <v>76.45508909498912</v>
      </c>
      <c r="C219" s="43">
        <v>76.382184075613822</v>
      </c>
      <c r="D219" s="43">
        <v>76.115785033216582</v>
      </c>
      <c r="E219" s="43">
        <v>75.697823352305534</v>
      </c>
      <c r="F219" s="43">
        <v>75.162854138781654</v>
      </c>
      <c r="G219" s="43">
        <v>74.539142719697139</v>
      </c>
      <c r="H219" s="43">
        <v>73.849868900371945</v>
      </c>
      <c r="I219" s="43">
        <v>73.114204849498236</v>
      </c>
    </row>
    <row r="220" spans="1:9">
      <c r="A220" s="19">
        <v>381.4</v>
      </c>
      <c r="B220" s="43">
        <v>76.476414686981826</v>
      </c>
      <c r="C220" s="43">
        <v>76.404229410564454</v>
      </c>
      <c r="D220" s="43">
        <v>76.138476839793498</v>
      </c>
      <c r="E220" s="43">
        <v>75.721080904512149</v>
      </c>
      <c r="F220" s="43">
        <v>75.186594965516406</v>
      </c>
      <c r="G220" s="43">
        <v>74.56328523634528</v>
      </c>
      <c r="H220" s="43">
        <v>73.874333339089674</v>
      </c>
      <c r="I220" s="43">
        <v>73.13891334149946</v>
      </c>
    </row>
    <row r="221" spans="1:9">
      <c r="A221" s="19">
        <v>381.5</v>
      </c>
      <c r="B221" s="43">
        <v>76.497739210184648</v>
      </c>
      <c r="C221" s="43">
        <v>76.42627378492142</v>
      </c>
      <c r="D221" s="43">
        <v>76.161167883385303</v>
      </c>
      <c r="E221" s="43">
        <v>75.744337958707916</v>
      </c>
      <c r="F221" s="43">
        <v>75.210335612188203</v>
      </c>
      <c r="G221" s="43">
        <v>74.587427935482054</v>
      </c>
      <c r="H221" s="43">
        <v>73.898798363224813</v>
      </c>
      <c r="I221" s="43">
        <v>73.163622860388699</v>
      </c>
    </row>
    <row r="222" spans="1:9">
      <c r="A222" s="19">
        <v>381.6</v>
      </c>
      <c r="B222" s="43">
        <v>76.519062664918124</v>
      </c>
      <c r="C222" s="43">
        <v>76.448317198674971</v>
      </c>
      <c r="D222" s="43">
        <v>76.183858163677058</v>
      </c>
      <c r="E222" s="43">
        <v>75.767594514293052</v>
      </c>
      <c r="F222" s="43">
        <v>75.234076077914864</v>
      </c>
      <c r="G222" s="43">
        <v>74.611570815942258</v>
      </c>
      <c r="H222" s="43">
        <v>73.923263971295626</v>
      </c>
      <c r="I222" s="43">
        <v>73.188333404388175</v>
      </c>
    </row>
    <row r="223" spans="1:9">
      <c r="A223" s="19">
        <v>381.7</v>
      </c>
      <c r="B223" s="43">
        <v>76.540385051510469</v>
      </c>
      <c r="C223" s="43">
        <v>76.470359651820331</v>
      </c>
      <c r="D223" s="43">
        <v>76.20654768035692</v>
      </c>
      <c r="E223" s="43">
        <v>75.790850570659757</v>
      </c>
      <c r="F223" s="43">
        <v>75.257816361805794</v>
      </c>
      <c r="G223" s="43">
        <v>74.635713876534908</v>
      </c>
      <c r="H223" s="43">
        <v>73.947730161820544</v>
      </c>
      <c r="I223" s="43">
        <v>73.213044971661532</v>
      </c>
    </row>
    <row r="224" spans="1:9">
      <c r="A224" s="19">
        <v>381.8</v>
      </c>
      <c r="B224" s="43">
        <v>76.561706370275914</v>
      </c>
      <c r="C224" s="43">
        <v>76.49240114434923</v>
      </c>
      <c r="D224" s="43">
        <v>76.229236433113698</v>
      </c>
      <c r="E224" s="43">
        <v>75.814106127216007</v>
      </c>
      <c r="F224" s="43">
        <v>75.281556462981968</v>
      </c>
      <c r="G224" s="43">
        <v>74.659857116106821</v>
      </c>
      <c r="H224" s="43">
        <v>73.972196933313256</v>
      </c>
      <c r="I224" s="43">
        <v>73.237757560411808</v>
      </c>
    </row>
    <row r="225" spans="1:9">
      <c r="A225" s="19">
        <v>381.9</v>
      </c>
      <c r="B225" s="43">
        <v>76.583026621542444</v>
      </c>
      <c r="C225" s="43">
        <v>76.514441676259537</v>
      </c>
      <c r="D225" s="43">
        <v>76.251924421637256</v>
      </c>
      <c r="E225" s="43">
        <v>75.837361183361224</v>
      </c>
      <c r="F225" s="43">
        <v>75.305296380567086</v>
      </c>
      <c r="G225" s="43">
        <v>74.684000533466246</v>
      </c>
      <c r="H225" s="43">
        <v>73.996664284309929</v>
      </c>
      <c r="I225" s="43">
        <v>73.26247116884764</v>
      </c>
    </row>
    <row r="226" spans="1:9">
      <c r="A226" s="19">
        <v>382</v>
      </c>
      <c r="B226" s="43">
        <v>76.604345805640349</v>
      </c>
      <c r="C226" s="43">
        <v>76.536481247546106</v>
      </c>
      <c r="D226" s="43">
        <v>76.274611645619416</v>
      </c>
      <c r="E226" s="43">
        <v>75.860615738497472</v>
      </c>
      <c r="F226" s="43">
        <v>75.329036113664102</v>
      </c>
      <c r="G226" s="43">
        <v>74.708144127456706</v>
      </c>
      <c r="H226" s="43">
        <v>74.021132213323284</v>
      </c>
      <c r="I226" s="43">
        <v>73.287185795141369</v>
      </c>
    </row>
    <row r="227" spans="1:9">
      <c r="A227" s="19">
        <v>382.1</v>
      </c>
      <c r="B227" s="43">
        <v>76.625663922880818</v>
      </c>
      <c r="C227" s="43">
        <v>76.558519858205301</v>
      </c>
      <c r="D227" s="43">
        <v>76.297298104753395</v>
      </c>
      <c r="E227" s="43">
        <v>75.883869792034403</v>
      </c>
      <c r="F227" s="43">
        <v>75.352775661422953</v>
      </c>
      <c r="G227" s="43">
        <v>74.732287896916233</v>
      </c>
      <c r="H227" s="43">
        <v>74.045600718906172</v>
      </c>
      <c r="I227" s="43">
        <v>73.311901437530224</v>
      </c>
    </row>
    <row r="228" spans="1:9">
      <c r="A228" s="19">
        <v>382.2</v>
      </c>
      <c r="B228" s="43">
        <v>76.646980973596499</v>
      </c>
      <c r="C228" s="43">
        <v>76.580557508234421</v>
      </c>
      <c r="D228" s="43">
        <v>76.31998379873275</v>
      </c>
      <c r="E228" s="43">
        <v>75.907123343380846</v>
      </c>
      <c r="F228" s="43">
        <v>75.37651502296174</v>
      </c>
      <c r="G228" s="43">
        <v>74.756431840685167</v>
      </c>
      <c r="H228" s="43">
        <v>74.07006979958382</v>
      </c>
      <c r="I228" s="43">
        <v>73.33661809422054</v>
      </c>
    </row>
    <row r="229" spans="1:9">
      <c r="A229" s="19">
        <v>382.3</v>
      </c>
      <c r="B229" s="43">
        <v>76.668296958118219</v>
      </c>
      <c r="C229" s="43">
        <v>76.602594197637302</v>
      </c>
      <c r="D229" s="43">
        <v>76.34266872725334</v>
      </c>
      <c r="E229" s="43">
        <v>75.930376391936875</v>
      </c>
      <c r="F229" s="43">
        <v>75.400254197393508</v>
      </c>
      <c r="G229" s="43">
        <v>74.780575957590713</v>
      </c>
      <c r="H229" s="43">
        <v>74.094539453876678</v>
      </c>
      <c r="I229" s="43">
        <v>73.361335763403616</v>
      </c>
    </row>
    <row r="230" spans="1:9">
      <c r="A230" s="19">
        <v>382.4</v>
      </c>
      <c r="B230" s="43">
        <v>76.689611876778656</v>
      </c>
      <c r="C230" s="43">
        <v>76.624629926414855</v>
      </c>
      <c r="D230" s="43">
        <v>76.365352890011195</v>
      </c>
      <c r="E230" s="43">
        <v>75.953628937119561</v>
      </c>
      <c r="F230" s="43">
        <v>75.423993183854833</v>
      </c>
      <c r="G230" s="43">
        <v>74.804720246469827</v>
      </c>
      <c r="H230" s="43">
        <v>74.119009680312473</v>
      </c>
      <c r="I230" s="43">
        <v>73.386054443295563</v>
      </c>
    </row>
    <row r="231" spans="1:9">
      <c r="A231" s="19">
        <v>382.5</v>
      </c>
      <c r="B231" s="43">
        <v>76.710925729898065</v>
      </c>
      <c r="C231" s="43">
        <v>76.646664694564151</v>
      </c>
      <c r="D231" s="43">
        <v>76.388036286705727</v>
      </c>
      <c r="E231" s="43">
        <v>75.976880978336879</v>
      </c>
      <c r="F231" s="43">
        <v>75.447731981479109</v>
      </c>
      <c r="G231" s="43">
        <v>74.828864706181207</v>
      </c>
      <c r="H231" s="43">
        <v>74.143480477470035</v>
      </c>
      <c r="I231" s="43">
        <v>73.410774132120082</v>
      </c>
    </row>
    <row r="232" spans="1:9">
      <c r="A232" s="19">
        <v>382.6</v>
      </c>
      <c r="B232" s="43">
        <v>76.732238517812306</v>
      </c>
      <c r="C232" s="43">
        <v>76.668698502092923</v>
      </c>
      <c r="D232" s="43">
        <v>76.41071891703524</v>
      </c>
      <c r="E232" s="43">
        <v>76.000132515003742</v>
      </c>
      <c r="F232" s="43">
        <v>75.471470589390805</v>
      </c>
      <c r="G232" s="43">
        <v>74.853009335548506</v>
      </c>
      <c r="H232" s="43">
        <v>74.167951843844151</v>
      </c>
      <c r="I232" s="43">
        <v>73.435494828080721</v>
      </c>
    </row>
    <row r="233" spans="1:9">
      <c r="A233" s="19">
        <v>382.7</v>
      </c>
      <c r="B233" s="43">
        <v>76.753550240849222</v>
      </c>
      <c r="C233" s="43">
        <v>76.690731349003869</v>
      </c>
      <c r="D233" s="43">
        <v>76.43340078070139</v>
      </c>
      <c r="E233" s="43">
        <v>76.023383546534205</v>
      </c>
      <c r="F233" s="43">
        <v>75.495209006732807</v>
      </c>
      <c r="G233" s="43">
        <v>74.87715413344182</v>
      </c>
      <c r="H233" s="43">
        <v>74.192423778017826</v>
      </c>
      <c r="I233" s="43">
        <v>73.460216529420052</v>
      </c>
    </row>
    <row r="234" spans="1:9">
      <c r="A234" s="19">
        <v>382.8</v>
      </c>
      <c r="B234" s="43">
        <v>76.774860899347601</v>
      </c>
      <c r="C234" s="43">
        <v>76.71276323530293</v>
      </c>
      <c r="D234" s="43">
        <v>76.456081877405751</v>
      </c>
      <c r="E234" s="43">
        <v>76.046634072344432</v>
      </c>
      <c r="F234" s="43">
        <v>75.518947232636378</v>
      </c>
      <c r="G234" s="43">
        <v>74.901299098695517</v>
      </c>
      <c r="H234" s="43">
        <v>74.216896278513019</v>
      </c>
      <c r="I234" s="43">
        <v>73.484939234343472</v>
      </c>
    </row>
    <row r="235" spans="1:9">
      <c r="A235" s="19">
        <v>382.9</v>
      </c>
      <c r="B235" s="43">
        <v>76.796170493639067</v>
      </c>
      <c r="C235" s="43">
        <v>76.734794160996842</v>
      </c>
      <c r="D235" s="43">
        <v>76.478762206851371</v>
      </c>
      <c r="E235" s="43">
        <v>76.069884091849872</v>
      </c>
      <c r="F235" s="43">
        <v>75.542685266236305</v>
      </c>
      <c r="G235" s="43">
        <v>74.925444230159172</v>
      </c>
      <c r="H235" s="43">
        <v>74.24136934389108</v>
      </c>
      <c r="I235" s="43">
        <v>73.509662941079227</v>
      </c>
    </row>
    <row r="236" spans="1:9">
      <c r="A236" s="19">
        <v>383</v>
      </c>
      <c r="B236" s="43">
        <v>76.817479024065278</v>
      </c>
      <c r="C236" s="43">
        <v>76.756824126097115</v>
      </c>
      <c r="D236" s="43">
        <v>76.501441768742552</v>
      </c>
      <c r="E236" s="43">
        <v>76.093133604465038</v>
      </c>
      <c r="F236" s="43">
        <v>75.566423106664189</v>
      </c>
      <c r="G236" s="43">
        <v>74.949589526673435</v>
      </c>
      <c r="H236" s="43">
        <v>74.265842972671607</v>
      </c>
      <c r="I236" s="43">
        <v>73.534387647847979</v>
      </c>
    </row>
    <row r="237" spans="1:9">
      <c r="A237" s="19">
        <v>383.1</v>
      </c>
      <c r="B237" s="43">
        <v>76.838786490944074</v>
      </c>
      <c r="C237" s="43">
        <v>76.7788531306077</v>
      </c>
      <c r="D237" s="43">
        <v>76.524120562786806</v>
      </c>
      <c r="E237" s="43">
        <v>76.116382609621951</v>
      </c>
      <c r="F237" s="43">
        <v>75.5901607530771</v>
      </c>
      <c r="G237" s="43">
        <v>74.973734987118632</v>
      </c>
      <c r="H237" s="43">
        <v>74.290317163444598</v>
      </c>
      <c r="I237" s="43">
        <v>73.55911335288593</v>
      </c>
    </row>
    <row r="238" spans="1:9">
      <c r="A238" s="19">
        <v>383.2</v>
      </c>
      <c r="B238" s="43">
        <v>76.860092894633709</v>
      </c>
      <c r="C238" s="43">
        <v>76.800881174540422</v>
      </c>
      <c r="D238" s="43">
        <v>76.546798588690251</v>
      </c>
      <c r="E238" s="43">
        <v>76.139631106730263</v>
      </c>
      <c r="F238" s="43">
        <v>75.613898204601924</v>
      </c>
      <c r="G238" s="43">
        <v>74.997880610334079</v>
      </c>
      <c r="H238" s="43">
        <v>74.314791914739288</v>
      </c>
      <c r="I238" s="43">
        <v>73.583840054440884</v>
      </c>
    </row>
    <row r="239" spans="1:9">
      <c r="A239" s="19">
        <v>383.3</v>
      </c>
      <c r="B239" s="43">
        <v>76.881398235464275</v>
      </c>
      <c r="C239" s="43">
        <v>76.822908257912871</v>
      </c>
      <c r="D239" s="43">
        <v>76.569475846160969</v>
      </c>
      <c r="E239" s="43">
        <v>76.162879095219239</v>
      </c>
      <c r="F239" s="43">
        <v>75.637635460383621</v>
      </c>
      <c r="G239" s="43">
        <v>75.02202639517273</v>
      </c>
      <c r="H239" s="43">
        <v>74.339267225124644</v>
      </c>
      <c r="I239" s="43">
        <v>73.608567750710165</v>
      </c>
    </row>
    <row r="240" spans="1:9">
      <c r="A240" s="19">
        <v>383.4</v>
      </c>
      <c r="B240" s="43">
        <v>76.902702513768901</v>
      </c>
      <c r="C240" s="43">
        <v>76.844934380730024</v>
      </c>
      <c r="D240" s="43">
        <v>76.592152334910082</v>
      </c>
      <c r="E240" s="43">
        <v>76.186126574513167</v>
      </c>
      <c r="F240" s="43">
        <v>75.66137251957926</v>
      </c>
      <c r="G240" s="43">
        <v>75.046172340501357</v>
      </c>
      <c r="H240" s="43">
        <v>74.36374309315292</v>
      </c>
      <c r="I240" s="43">
        <v>73.63329643996974</v>
      </c>
    </row>
    <row r="241" spans="1:9">
      <c r="A241" s="19">
        <v>383.5</v>
      </c>
      <c r="B241" s="43">
        <v>76.924005729901239</v>
      </c>
      <c r="C241" s="43">
        <v>76.866959543009045</v>
      </c>
      <c r="D241" s="43">
        <v>76.614828054648086</v>
      </c>
      <c r="E241" s="43">
        <v>76.209373544035429</v>
      </c>
      <c r="F241" s="43">
        <v>75.685109381321411</v>
      </c>
      <c r="G241" s="43">
        <v>75.070318445179794</v>
      </c>
      <c r="H241" s="43">
        <v>74.388219517380548</v>
      </c>
      <c r="I241" s="43">
        <v>73.658026120444845</v>
      </c>
    </row>
    <row r="242" spans="1:9">
      <c r="A242" s="19">
        <v>383.6</v>
      </c>
      <c r="B242" s="43">
        <v>76.945307884192147</v>
      </c>
      <c r="C242" s="43">
        <v>76.88898374476787</v>
      </c>
      <c r="D242" s="43">
        <v>76.637503005087495</v>
      </c>
      <c r="E242" s="43">
        <v>76.232620003216368</v>
      </c>
      <c r="F242" s="43">
        <v>75.708846044761742</v>
      </c>
      <c r="G242" s="43">
        <v>75.094464708073417</v>
      </c>
      <c r="H242" s="43">
        <v>74.412696496380107</v>
      </c>
      <c r="I242" s="43">
        <v>73.682756790360372</v>
      </c>
    </row>
    <row r="243" spans="1:9">
      <c r="A243" s="19">
        <v>383.7</v>
      </c>
      <c r="B243" s="43">
        <v>76.966608976984986</v>
      </c>
      <c r="C243" s="43">
        <v>76.9110069860171</v>
      </c>
      <c r="D243" s="43">
        <v>76.660177185942615</v>
      </c>
      <c r="E243" s="43">
        <v>76.255865951483031</v>
      </c>
      <c r="F243" s="43">
        <v>75.732582509060506</v>
      </c>
      <c r="G243" s="43">
        <v>75.118611128052379</v>
      </c>
      <c r="H243" s="43">
        <v>74.437174028719397</v>
      </c>
      <c r="I243" s="43">
        <v>73.707488447998116</v>
      </c>
    </row>
    <row r="244" spans="1:9">
      <c r="A244" s="19">
        <v>383.8</v>
      </c>
      <c r="B244" s="43">
        <v>76.987909008633636</v>
      </c>
      <c r="C244" s="43">
        <v>76.933029266780238</v>
      </c>
      <c r="D244" s="43">
        <v>76.682850596927523</v>
      </c>
      <c r="E244" s="43">
        <v>76.279111388265164</v>
      </c>
      <c r="F244" s="43">
        <v>75.756318773352746</v>
      </c>
      <c r="G244" s="43">
        <v>75.142757703967789</v>
      </c>
      <c r="H244" s="43">
        <v>74.461652112948457</v>
      </c>
      <c r="I244" s="43">
        <v>73.732221091571034</v>
      </c>
    </row>
    <row r="245" spans="1:9">
      <c r="A245" s="19">
        <v>383.9</v>
      </c>
      <c r="B245" s="43">
        <v>77.009207979472791</v>
      </c>
      <c r="C245" s="43">
        <v>76.955050587073345</v>
      </c>
      <c r="D245" s="43">
        <v>76.705523237759166</v>
      </c>
      <c r="E245" s="43">
        <v>76.302356312996181</v>
      </c>
      <c r="F245" s="43">
        <v>75.780054836802663</v>
      </c>
      <c r="G245" s="43">
        <v>75.166904434693095</v>
      </c>
      <c r="H245" s="43">
        <v>74.486130747647877</v>
      </c>
      <c r="I245" s="43">
        <v>73.756954719344463</v>
      </c>
    </row>
    <row r="246" spans="1:9">
      <c r="A246" s="19">
        <v>384</v>
      </c>
      <c r="B246" s="43">
        <v>77.030505889856215</v>
      </c>
      <c r="C246" s="43">
        <v>76.977070946917593</v>
      </c>
      <c r="D246" s="43">
        <v>76.728195108155319</v>
      </c>
      <c r="E246" s="43">
        <v>76.325600725107392</v>
      </c>
      <c r="F246" s="43">
        <v>75.803790698564171</v>
      </c>
      <c r="G246" s="43">
        <v>75.191051319109732</v>
      </c>
      <c r="H246" s="43">
        <v>74.510609931390889</v>
      </c>
      <c r="I246" s="43">
        <v>73.781689329569588</v>
      </c>
    </row>
    <row r="247" spans="1:9">
      <c r="A247" s="19">
        <v>384.1</v>
      </c>
      <c r="B247" s="43">
        <v>77.051802740115022</v>
      </c>
      <c r="C247" s="43">
        <v>76.999090346329126</v>
      </c>
      <c r="D247" s="43">
        <v>76.750866207835287</v>
      </c>
      <c r="E247" s="43">
        <v>76.348844624039089</v>
      </c>
      <c r="F247" s="43">
        <v>75.827526357797893</v>
      </c>
      <c r="G247" s="43">
        <v>75.215198356095669</v>
      </c>
      <c r="H247" s="43">
        <v>74.535089662756434</v>
      </c>
      <c r="I247" s="43">
        <v>73.806424920517344</v>
      </c>
    </row>
    <row r="248" spans="1:9">
      <c r="A248" s="19">
        <v>384.2</v>
      </c>
      <c r="B248" s="43">
        <v>77.073098530620456</v>
      </c>
      <c r="C248" s="43">
        <v>77.021108785338839</v>
      </c>
      <c r="D248" s="43">
        <v>76.773536536518691</v>
      </c>
      <c r="E248" s="43">
        <v>76.372088009217919</v>
      </c>
      <c r="F248" s="43">
        <v>75.851261813649899</v>
      </c>
      <c r="G248" s="43">
        <v>75.239345544502072</v>
      </c>
      <c r="H248" s="43">
        <v>74.55956994030538</v>
      </c>
      <c r="I248" s="43">
        <v>73.831161490415298</v>
      </c>
    </row>
    <row r="249" spans="1:9">
      <c r="A249" s="19">
        <v>384.3</v>
      </c>
      <c r="B249" s="43">
        <v>77.094393261701441</v>
      </c>
      <c r="C249" s="43">
        <v>77.043126263963302</v>
      </c>
      <c r="D249" s="43">
        <v>76.796206093927367</v>
      </c>
      <c r="E249" s="43">
        <v>76.395330880089858</v>
      </c>
      <c r="F249" s="43">
        <v>75.874997065286806</v>
      </c>
      <c r="G249" s="43">
        <v>75.263492883223847</v>
      </c>
      <c r="H249" s="43">
        <v>74.584050762632359</v>
      </c>
      <c r="I249" s="43">
        <v>73.855899037542656</v>
      </c>
    </row>
    <row r="250" spans="1:9">
      <c r="A250" s="19">
        <v>384.4</v>
      </c>
      <c r="B250" s="43">
        <v>77.115686933717086</v>
      </c>
      <c r="C250" s="43">
        <v>77.065142782227895</v>
      </c>
      <c r="D250" s="43">
        <v>76.818874879784374</v>
      </c>
      <c r="E250" s="43">
        <v>76.418573236092158</v>
      </c>
      <c r="F250" s="43">
        <v>75.89873211187907</v>
      </c>
      <c r="G250" s="43">
        <v>75.287640371140725</v>
      </c>
      <c r="H250" s="43">
        <v>74.608532128312248</v>
      </c>
      <c r="I250" s="43">
        <v>73.880637560169276</v>
      </c>
    </row>
    <row r="251" spans="1:9">
      <c r="A251" s="19">
        <v>384.5</v>
      </c>
      <c r="B251" s="43">
        <v>77.136979547028574</v>
      </c>
      <c r="C251" s="43">
        <v>77.087158340167036</v>
      </c>
      <c r="D251" s="43">
        <v>76.841542893813227</v>
      </c>
      <c r="E251" s="43">
        <v>76.441815076658088</v>
      </c>
      <c r="F251" s="43">
        <v>75.922466952570915</v>
      </c>
      <c r="G251" s="43">
        <v>75.311788007108532</v>
      </c>
      <c r="H251" s="43">
        <v>74.63301403590998</v>
      </c>
      <c r="I251" s="43">
        <v>73.905377056526987</v>
      </c>
    </row>
    <row r="252" spans="1:9">
      <c r="A252" s="19">
        <v>384.6</v>
      </c>
      <c r="B252" s="43">
        <v>77.158271101974378</v>
      </c>
      <c r="C252" s="43">
        <v>77.109172937799286</v>
      </c>
      <c r="D252" s="43">
        <v>76.864210135740279</v>
      </c>
      <c r="E252" s="43">
        <v>76.465056401237717</v>
      </c>
      <c r="F252" s="43">
        <v>75.94620158653737</v>
      </c>
      <c r="G252" s="43">
        <v>75.335935790029225</v>
      </c>
      <c r="H252" s="43">
        <v>74.65749648402894</v>
      </c>
      <c r="I252" s="43">
        <v>73.930117524913129</v>
      </c>
    </row>
    <row r="253" spans="1:9">
      <c r="A253" s="19">
        <v>384.7</v>
      </c>
      <c r="B253" s="43">
        <v>77.179561598906133</v>
      </c>
      <c r="C253" s="43">
        <v>77.131186575151816</v>
      </c>
      <c r="D253" s="43">
        <v>76.886876605292031</v>
      </c>
      <c r="E253" s="43">
        <v>76.488297209273554</v>
      </c>
      <c r="F253" s="43">
        <v>75.969936012953127</v>
      </c>
      <c r="G253" s="43">
        <v>75.360083718800325</v>
      </c>
      <c r="H253" s="43">
        <v>74.681979471263219</v>
      </c>
      <c r="I253" s="43">
        <v>73.954858963605318</v>
      </c>
    </row>
    <row r="254" spans="1:9">
      <c r="A254" s="19">
        <v>384.8</v>
      </c>
      <c r="B254" s="43">
        <v>77.200851038188205</v>
      </c>
      <c r="C254" s="43">
        <v>77.15319925225964</v>
      </c>
      <c r="D254" s="43">
        <v>76.909542302196172</v>
      </c>
      <c r="E254" s="43">
        <v>76.511537500206515</v>
      </c>
      <c r="F254" s="43">
        <v>75.993670230969173</v>
      </c>
      <c r="G254" s="43">
        <v>75.384231792273738</v>
      </c>
      <c r="H254" s="43">
        <v>74.706462996182125</v>
      </c>
      <c r="I254" s="43">
        <v>73.979601370838168</v>
      </c>
    </row>
    <row r="255" spans="1:9">
      <c r="A255" s="19">
        <v>384.9</v>
      </c>
      <c r="B255" s="43">
        <v>77.22213942017342</v>
      </c>
      <c r="C255" s="43">
        <v>77.175210969150555</v>
      </c>
      <c r="D255" s="43">
        <v>76.93220722618247</v>
      </c>
      <c r="E255" s="43">
        <v>76.53477727348573</v>
      </c>
      <c r="F255" s="43">
        <v>76.017404239768581</v>
      </c>
      <c r="G255" s="43">
        <v>75.408380009366226</v>
      </c>
      <c r="H255" s="43">
        <v>74.730947057391347</v>
      </c>
      <c r="I255" s="43">
        <v>74.004344744917461</v>
      </c>
    </row>
    <row r="256" spans="1:9">
      <c r="A256" s="19">
        <v>385</v>
      </c>
      <c r="B256" s="43">
        <v>77.243426745212417</v>
      </c>
      <c r="C256" s="43">
        <v>77.197221725854604</v>
      </c>
      <c r="D256" s="43">
        <v>76.954871376981515</v>
      </c>
      <c r="E256" s="43">
        <v>76.558016528561694</v>
      </c>
      <c r="F256" s="43">
        <v>76.041138038521211</v>
      </c>
      <c r="G256" s="43">
        <v>75.432528368962437</v>
      </c>
      <c r="H256" s="43">
        <v>74.755431653489467</v>
      </c>
      <c r="I256" s="43">
        <v>74.029089084131755</v>
      </c>
    </row>
    <row r="257" spans="1:9">
      <c r="A257" s="19">
        <v>385.1</v>
      </c>
      <c r="B257" s="43">
        <v>77.264713013668569</v>
      </c>
      <c r="C257" s="43">
        <v>77.219231522411121</v>
      </c>
      <c r="D257" s="43">
        <v>76.977534754325092</v>
      </c>
      <c r="E257" s="43">
        <v>76.581255264875608</v>
      </c>
      <c r="F257" s="43">
        <v>76.064871626392431</v>
      </c>
      <c r="G257" s="43">
        <v>75.456676869944999</v>
      </c>
      <c r="H257" s="43">
        <v>74.779916783049174</v>
      </c>
      <c r="I257" s="43">
        <v>74.053834386717739</v>
      </c>
    </row>
    <row r="258" spans="1:9">
      <c r="A258" s="19">
        <v>385.2</v>
      </c>
      <c r="B258" s="43">
        <v>77.285998225903882</v>
      </c>
      <c r="C258" s="43">
        <v>77.241240358849666</v>
      </c>
      <c r="D258" s="43">
        <v>77.000197357946462</v>
      </c>
      <c r="E258" s="43">
        <v>76.604493481883793</v>
      </c>
      <c r="F258" s="43">
        <v>76.088605002562218</v>
      </c>
      <c r="G258" s="43">
        <v>75.480825511204159</v>
      </c>
      <c r="H258" s="43">
        <v>74.804402444682921</v>
      </c>
      <c r="I258" s="43">
        <v>74.078580650986595</v>
      </c>
    </row>
    <row r="259" spans="1:9">
      <c r="A259" s="19">
        <v>385.3</v>
      </c>
      <c r="B259" s="43">
        <v>77.307282382271438</v>
      </c>
      <c r="C259" s="43">
        <v>77.263248235204401</v>
      </c>
      <c r="D259" s="43">
        <v>77.022859187580224</v>
      </c>
      <c r="E259" s="43">
        <v>76.627731179037198</v>
      </c>
      <c r="F259" s="43">
        <v>76.112338166207564</v>
      </c>
      <c r="G259" s="43">
        <v>75.504974291650797</v>
      </c>
      <c r="H259" s="43">
        <v>74.828888636993327</v>
      </c>
      <c r="I259" s="43">
        <v>74.103327875221254</v>
      </c>
    </row>
    <row r="260" spans="1:9">
      <c r="A260" s="19">
        <v>385.4</v>
      </c>
      <c r="B260" s="43">
        <v>77.328565483135236</v>
      </c>
      <c r="C260" s="43">
        <v>77.285255151514349</v>
      </c>
      <c r="D260" s="43">
        <v>77.045520242962169</v>
      </c>
      <c r="E260" s="43">
        <v>76.650968355788677</v>
      </c>
      <c r="F260" s="43">
        <v>76.136071116502421</v>
      </c>
      <c r="G260" s="43">
        <v>75.529123210169757</v>
      </c>
      <c r="H260" s="43">
        <v>74.853375358575647</v>
      </c>
      <c r="I260" s="43">
        <v>74.128076057704817</v>
      </c>
    </row>
    <row r="261" spans="1:9">
      <c r="A261" s="19">
        <v>385.5</v>
      </c>
      <c r="B261" s="43">
        <v>77.349847528857794</v>
      </c>
      <c r="C261" s="43">
        <v>77.307261107817311</v>
      </c>
      <c r="D261" s="43">
        <v>77.068180523829454</v>
      </c>
      <c r="E261" s="43">
        <v>76.674205011592903</v>
      </c>
      <c r="F261" s="43">
        <v>76.159803852627704</v>
      </c>
      <c r="G261" s="43">
        <v>75.553272265665072</v>
      </c>
      <c r="H261" s="43">
        <v>74.877862608036793</v>
      </c>
      <c r="I261" s="43">
        <v>74.152825196733687</v>
      </c>
    </row>
    <row r="262" spans="1:9">
      <c r="A262" s="19">
        <v>385.6</v>
      </c>
      <c r="B262" s="43">
        <v>77.371128519788243</v>
      </c>
      <c r="C262" s="43">
        <v>77.329266104148218</v>
      </c>
      <c r="D262" s="43">
        <v>77.0908400299204</v>
      </c>
      <c r="E262" s="43">
        <v>76.697441145909977</v>
      </c>
      <c r="F262" s="43">
        <v>76.183536373774189</v>
      </c>
      <c r="G262" s="43">
        <v>75.577421457047961</v>
      </c>
      <c r="H262" s="43">
        <v>74.902350384002233</v>
      </c>
      <c r="I262" s="43">
        <v>74.177575290606967</v>
      </c>
    </row>
    <row r="263" spans="1:9">
      <c r="A263" s="19">
        <v>385.7</v>
      </c>
      <c r="B263" s="43">
        <v>77.392408456324262</v>
      </c>
      <c r="C263" s="43">
        <v>77.351270140554533</v>
      </c>
      <c r="D263" s="43">
        <v>77.113498760974693</v>
      </c>
      <c r="E263" s="43">
        <v>76.720676758189114</v>
      </c>
      <c r="F263" s="43">
        <v>76.207268679109063</v>
      </c>
      <c r="G263" s="43">
        <v>75.60157078319196</v>
      </c>
      <c r="H263" s="43">
        <v>74.926838685043265</v>
      </c>
      <c r="I263" s="43">
        <v>74.202326337590279</v>
      </c>
    </row>
    <row r="264" spans="1:9">
      <c r="A264" s="19">
        <v>385.8</v>
      </c>
      <c r="B264" s="43">
        <v>77.413687338805232</v>
      </c>
      <c r="C264" s="43">
        <v>77.373273217075507</v>
      </c>
      <c r="D264" s="43">
        <v>77.136156716733382</v>
      </c>
      <c r="E264" s="43">
        <v>76.743911847893202</v>
      </c>
      <c r="F264" s="43">
        <v>76.231000767817847</v>
      </c>
      <c r="G264" s="43">
        <v>75.625720243028383</v>
      </c>
      <c r="H264" s="43">
        <v>74.951327509789536</v>
      </c>
      <c r="I264" s="43">
        <v>74.227078335997561</v>
      </c>
    </row>
    <row r="265" spans="1:9">
      <c r="A265" s="19">
        <v>385.9</v>
      </c>
      <c r="B265" s="43">
        <v>77.434965167596374</v>
      </c>
      <c r="C265" s="43">
        <v>77.395275333747946</v>
      </c>
      <c r="D265" s="43">
        <v>77.158813896938625</v>
      </c>
      <c r="E265" s="43">
        <v>76.767146414489105</v>
      </c>
      <c r="F265" s="43">
        <v>76.254732639100354</v>
      </c>
      <c r="G265" s="43">
        <v>75.649869835460748</v>
      </c>
      <c r="H265" s="43">
        <v>74.975816856861172</v>
      </c>
      <c r="I265" s="43">
        <v>74.251831284140309</v>
      </c>
    </row>
    <row r="266" spans="1:9">
      <c r="A266" s="19">
        <v>386</v>
      </c>
      <c r="B266" s="43">
        <v>77.456241943075185</v>
      </c>
      <c r="C266" s="43">
        <v>77.417276490619571</v>
      </c>
      <c r="D266" s="43">
        <v>77.181470301334031</v>
      </c>
      <c r="E266" s="43">
        <v>76.790380457431127</v>
      </c>
      <c r="F266" s="43">
        <v>76.278464292137585</v>
      </c>
      <c r="G266" s="43">
        <v>75.674019559390132</v>
      </c>
      <c r="H266" s="43">
        <v>75.000306724862241</v>
      </c>
      <c r="I266" s="43">
        <v>74.276585180312168</v>
      </c>
    </row>
    <row r="267" spans="1:9">
      <c r="A267" s="19">
        <v>386.1</v>
      </c>
      <c r="B267" s="43">
        <v>77.477517665605347</v>
      </c>
      <c r="C267" s="43">
        <v>77.439276687735799</v>
      </c>
      <c r="D267" s="43">
        <v>77.204125929664428</v>
      </c>
      <c r="E267" s="43">
        <v>76.813613976187355</v>
      </c>
      <c r="F267" s="43">
        <v>76.302195726113069</v>
      </c>
      <c r="G267" s="43">
        <v>75.698169413730994</v>
      </c>
      <c r="H267" s="43">
        <v>75.024797112421282</v>
      </c>
      <c r="I267" s="43">
        <v>74.301340022810848</v>
      </c>
    </row>
    <row r="268" spans="1:9">
      <c r="A268" s="19">
        <v>386.2</v>
      </c>
      <c r="B268" s="43">
        <v>77.498792335556715</v>
      </c>
      <c r="C268" s="43">
        <v>77.461275925141081</v>
      </c>
      <c r="D268" s="43">
        <v>77.226780781675814</v>
      </c>
      <c r="E268" s="43">
        <v>76.83684697021863</v>
      </c>
      <c r="F268" s="43">
        <v>76.325926940223667</v>
      </c>
      <c r="G268" s="43">
        <v>75.722319397391601</v>
      </c>
      <c r="H268" s="43">
        <v>75.04928801814674</v>
      </c>
      <c r="I268" s="43">
        <v>74.326095809952818</v>
      </c>
    </row>
    <row r="269" spans="1:9">
      <c r="A269" s="19">
        <v>386.3</v>
      </c>
      <c r="B269" s="43">
        <v>77.520065953302378</v>
      </c>
      <c r="C269" s="43">
        <v>77.483274202882768</v>
      </c>
      <c r="D269" s="43">
        <v>77.24943485711583</v>
      </c>
      <c r="E269" s="43">
        <v>76.860079438994234</v>
      </c>
      <c r="F269" s="43">
        <v>76.34965793366473</v>
      </c>
      <c r="G269" s="43">
        <v>75.746469509292609</v>
      </c>
      <c r="H269" s="43">
        <v>75.073779440669995</v>
      </c>
      <c r="I269" s="43">
        <v>74.350852540040563</v>
      </c>
    </row>
    <row r="270" spans="1:9">
      <c r="A270" s="19">
        <v>386.4</v>
      </c>
      <c r="B270" s="43">
        <v>77.54133851921398</v>
      </c>
      <c r="C270" s="43">
        <v>77.505271521010798</v>
      </c>
      <c r="D270" s="43">
        <v>77.272088155732973</v>
      </c>
      <c r="E270" s="43">
        <v>76.883311381978615</v>
      </c>
      <c r="F270" s="43">
        <v>76.373388705617117</v>
      </c>
      <c r="G270" s="43">
        <v>75.770619748344217</v>
      </c>
      <c r="H270" s="43">
        <v>75.098271378603499</v>
      </c>
      <c r="I270" s="43">
        <v>74.3756102113895</v>
      </c>
    </row>
    <row r="271" spans="1:9">
      <c r="A271" s="19">
        <v>386.5</v>
      </c>
      <c r="B271" s="43">
        <v>77.562610033656625</v>
      </c>
      <c r="C271" s="43">
        <v>77.5272678795709</v>
      </c>
      <c r="D271" s="43">
        <v>77.294740677277161</v>
      </c>
      <c r="E271" s="43">
        <v>76.906542798646058</v>
      </c>
      <c r="F271" s="43">
        <v>76.397119255291557</v>
      </c>
      <c r="G271" s="43">
        <v>75.794770113466654</v>
      </c>
      <c r="H271" s="43">
        <v>75.122763830587047</v>
      </c>
      <c r="I271" s="43">
        <v>74.400368822319422</v>
      </c>
    </row>
    <row r="272" spans="1:9">
      <c r="A272" s="19">
        <v>386.6</v>
      </c>
      <c r="B272" s="43">
        <v>77.583880497006021</v>
      </c>
      <c r="C272" s="43">
        <v>77.549263278617133</v>
      </c>
      <c r="D272" s="43">
        <v>77.317392421499704</v>
      </c>
      <c r="E272" s="43">
        <v>76.929773688464849</v>
      </c>
      <c r="F272" s="43">
        <v>76.420849581877974</v>
      </c>
      <c r="G272" s="43">
        <v>75.818920603584445</v>
      </c>
      <c r="H272" s="43">
        <v>75.147256795242697</v>
      </c>
      <c r="I272" s="43">
        <v>74.425128371145576</v>
      </c>
    </row>
    <row r="273" spans="1:9">
      <c r="A273" s="19">
        <v>386.7</v>
      </c>
      <c r="B273" s="43">
        <v>77.605149909649697</v>
      </c>
      <c r="C273" s="43">
        <v>77.571257718200314</v>
      </c>
      <c r="D273" s="43">
        <v>77.340043388153248</v>
      </c>
      <c r="E273" s="43">
        <v>76.953004050902734</v>
      </c>
      <c r="F273" s="43">
        <v>76.444579684573171</v>
      </c>
      <c r="G273" s="43">
        <v>75.843071217607161</v>
      </c>
      <c r="H273" s="43">
        <v>75.171750271193304</v>
      </c>
      <c r="I273" s="43">
        <v>74.449888856174709</v>
      </c>
    </row>
    <row r="274" spans="1:9">
      <c r="A274" s="19">
        <v>386.8</v>
      </c>
      <c r="B274" s="43">
        <v>77.626418271949206</v>
      </c>
      <c r="C274" s="43">
        <v>77.593251198374389</v>
      </c>
      <c r="D274" s="43">
        <v>77.362693576991433</v>
      </c>
      <c r="E274" s="43">
        <v>76.976233885439797</v>
      </c>
      <c r="F274" s="43">
        <v>76.468309562587621</v>
      </c>
      <c r="G274" s="43">
        <v>75.867221954470267</v>
      </c>
      <c r="H274" s="43">
        <v>75.19624425707616</v>
      </c>
      <c r="I274" s="43">
        <v>74.47465027574799</v>
      </c>
    </row>
    <row r="275" spans="1:9">
      <c r="A275" s="19">
        <v>386.9</v>
      </c>
      <c r="B275" s="43">
        <v>77.647685584286279</v>
      </c>
      <c r="C275" s="43">
        <v>77.615243719192364</v>
      </c>
      <c r="D275" s="43">
        <v>77.385342987769405</v>
      </c>
      <c r="E275" s="43">
        <v>76.999463191545885</v>
      </c>
      <c r="F275" s="43">
        <v>76.492039215112243</v>
      </c>
      <c r="G275" s="43">
        <v>75.891372813090271</v>
      </c>
      <c r="H275" s="43">
        <v>75.22073875153427</v>
      </c>
      <c r="I275" s="43">
        <v>74.499412628177851</v>
      </c>
    </row>
    <row r="276" spans="1:9">
      <c r="A276" s="19">
        <v>387</v>
      </c>
      <c r="B276" s="43">
        <v>77.668951847044923</v>
      </c>
      <c r="C276" s="43">
        <v>77.637235280710456</v>
      </c>
      <c r="D276" s="43">
        <v>77.407991620243592</v>
      </c>
      <c r="E276" s="43">
        <v>77.022691968699974</v>
      </c>
      <c r="F276" s="43">
        <v>76.515768641355947</v>
      </c>
      <c r="G276" s="43">
        <v>75.915523792399313</v>
      </c>
      <c r="H276" s="43">
        <v>75.245233753194384</v>
      </c>
      <c r="I276" s="43">
        <v>74.524175911784027</v>
      </c>
    </row>
    <row r="277" spans="1:9">
      <c r="A277" s="19">
        <v>387.1</v>
      </c>
      <c r="B277" s="43">
        <v>77.690217060592801</v>
      </c>
      <c r="C277" s="43">
        <v>77.659225882982497</v>
      </c>
      <c r="D277" s="43">
        <v>77.430639474171358</v>
      </c>
      <c r="E277" s="43">
        <v>77.045920216377823</v>
      </c>
      <c r="F277" s="43">
        <v>76.539497840526536</v>
      </c>
      <c r="G277" s="43">
        <v>75.939674891323563</v>
      </c>
      <c r="H277" s="43">
        <v>75.269729260693936</v>
      </c>
      <c r="I277" s="43">
        <v>74.548940124916953</v>
      </c>
    </row>
    <row r="278" spans="1:9">
      <c r="A278" s="19">
        <v>387.2</v>
      </c>
      <c r="B278" s="43">
        <v>77.711481225317755</v>
      </c>
      <c r="C278" s="43">
        <v>77.681215526070901</v>
      </c>
      <c r="D278" s="43">
        <v>77.453286549312224</v>
      </c>
      <c r="E278" s="43">
        <v>77.069147934061135</v>
      </c>
      <c r="F278" s="43">
        <v>76.563226811829054</v>
      </c>
      <c r="G278" s="43">
        <v>75.963826108797548</v>
      </c>
      <c r="H278" s="43">
        <v>75.294225272680734</v>
      </c>
      <c r="I278" s="43">
        <v>74.573705265888833</v>
      </c>
    </row>
    <row r="279" spans="1:9">
      <c r="A279" s="19">
        <v>387.3</v>
      </c>
      <c r="B279" s="43">
        <v>77.732744341598703</v>
      </c>
      <c r="C279" s="43">
        <v>77.703204210033817</v>
      </c>
      <c r="D279" s="43">
        <v>77.47593284542603</v>
      </c>
      <c r="E279" s="43">
        <v>77.092375121226269</v>
      </c>
      <c r="F279" s="43">
        <v>76.586955554464112</v>
      </c>
      <c r="G279" s="43">
        <v>75.987977443748434</v>
      </c>
      <c r="H279" s="43">
        <v>75.31872178778903</v>
      </c>
      <c r="I279" s="43">
        <v>74.598471333042653</v>
      </c>
    </row>
    <row r="280" spans="1:9">
      <c r="A280" s="19">
        <v>387.4</v>
      </c>
      <c r="B280" s="43">
        <v>77.754006409818288</v>
      </c>
      <c r="C280" s="43">
        <v>77.725191934927551</v>
      </c>
      <c r="D280" s="43">
        <v>77.498578362273946</v>
      </c>
      <c r="E280" s="43">
        <v>77.115601777357568</v>
      </c>
      <c r="F280" s="43">
        <v>76.610684067651533</v>
      </c>
      <c r="G280" s="43">
        <v>76.01212889511396</v>
      </c>
      <c r="H280" s="43">
        <v>75.343218804670443</v>
      </c>
      <c r="I280" s="43">
        <v>74.623238324707671</v>
      </c>
    </row>
    <row r="281" spans="1:9">
      <c r="A281" s="19">
        <v>387.5</v>
      </c>
      <c r="B281" s="43">
        <v>77.775267430356308</v>
      </c>
      <c r="C281" s="43">
        <v>77.747178700812839</v>
      </c>
      <c r="D281" s="43">
        <v>77.521223099618908</v>
      </c>
      <c r="E281" s="43">
        <v>77.138827901942818</v>
      </c>
      <c r="F281" s="43">
        <v>76.634412350602929</v>
      </c>
      <c r="G281" s="43">
        <v>76.036280461844171</v>
      </c>
      <c r="H281" s="43">
        <v>75.367716321988212</v>
      </c>
      <c r="I281" s="43">
        <v>74.648006239257626</v>
      </c>
    </row>
    <row r="282" spans="1:9">
      <c r="A282" s="19">
        <v>387.6</v>
      </c>
      <c r="B282" s="43">
        <v>77.796527403600862</v>
      </c>
      <c r="C282" s="43">
        <v>77.769164507754141</v>
      </c>
      <c r="D282" s="43">
        <v>77.543867057225071</v>
      </c>
      <c r="E282" s="43">
        <v>77.1620534944594</v>
      </c>
      <c r="F282" s="43">
        <v>76.658140402534059</v>
      </c>
      <c r="G282" s="43">
        <v>76.060432142857167</v>
      </c>
      <c r="H282" s="43">
        <v>75.392214338361384</v>
      </c>
      <c r="I282" s="43">
        <v>74.67277507498693</v>
      </c>
    </row>
    <row r="283" spans="1:9">
      <c r="A283" s="19">
        <v>387.7</v>
      </c>
      <c r="B283" s="43">
        <v>77.817786329939793</v>
      </c>
      <c r="C283" s="43">
        <v>77.791149355819073</v>
      </c>
      <c r="D283" s="43">
        <v>77.566510234858242</v>
      </c>
      <c r="E283" s="43">
        <v>77.185278554395666</v>
      </c>
      <c r="F283" s="43">
        <v>76.681868222647211</v>
      </c>
      <c r="G283" s="43">
        <v>76.084583937091935</v>
      </c>
      <c r="H283" s="43">
        <v>75.416712852457778</v>
      </c>
      <c r="I283" s="43">
        <v>74.697544830247267</v>
      </c>
    </row>
    <row r="284" spans="1:9">
      <c r="A284" s="19">
        <v>387.8</v>
      </c>
      <c r="B284" s="43">
        <v>77.839044209755116</v>
      </c>
      <c r="C284" s="43">
        <v>77.813133245069935</v>
      </c>
      <c r="D284" s="43">
        <v>77.589152632283685</v>
      </c>
      <c r="E284" s="43">
        <v>77.208503081240309</v>
      </c>
      <c r="F284" s="43">
        <v>76.705595810167836</v>
      </c>
      <c r="G284" s="43">
        <v>76.10873584349838</v>
      </c>
      <c r="H284" s="43">
        <v>75.441211862928697</v>
      </c>
      <c r="I284" s="43">
        <v>74.722315503401376</v>
      </c>
    </row>
    <row r="285" spans="1:9">
      <c r="A285" s="19">
        <v>387.9</v>
      </c>
      <c r="B285" s="43">
        <v>77.860301043431548</v>
      </c>
      <c r="C285" s="43">
        <v>77.835116175567208</v>
      </c>
      <c r="D285" s="43">
        <v>77.61179424927073</v>
      </c>
      <c r="E285" s="43">
        <v>77.231727074480972</v>
      </c>
      <c r="F285" s="43">
        <v>76.72932316431249</v>
      </c>
      <c r="G285" s="43">
        <v>76.132887861021089</v>
      </c>
      <c r="H285" s="43">
        <v>75.465711368426923</v>
      </c>
      <c r="I285" s="43">
        <v>74.747087092793976</v>
      </c>
    </row>
    <row r="286" spans="1:9">
      <c r="A286" s="19">
        <v>388</v>
      </c>
      <c r="B286" s="43">
        <v>77.881556831369352</v>
      </c>
      <c r="C286" s="43">
        <v>77.857098147383709</v>
      </c>
      <c r="D286" s="43">
        <v>77.634435085587398</v>
      </c>
      <c r="E286" s="43">
        <v>77.254950533609986</v>
      </c>
      <c r="F286" s="43">
        <v>76.753050284304834</v>
      </c>
      <c r="G286" s="43">
        <v>76.157039988607067</v>
      </c>
      <c r="H286" s="43">
        <v>75.490211367617832</v>
      </c>
      <c r="I286" s="43">
        <v>74.771859596774704</v>
      </c>
    </row>
    <row r="287" spans="1:9">
      <c r="A287" s="19">
        <v>388.1</v>
      </c>
      <c r="B287" s="43">
        <v>77.902811573942159</v>
      </c>
      <c r="C287" s="43">
        <v>77.87907916058316</v>
      </c>
      <c r="D287" s="43">
        <v>77.657075141004185</v>
      </c>
      <c r="E287" s="43">
        <v>77.278173458119142</v>
      </c>
      <c r="F287" s="43">
        <v>76.776777169368131</v>
      </c>
      <c r="G287" s="43">
        <v>76.181192225204882</v>
      </c>
      <c r="H287" s="43">
        <v>75.514711859158183</v>
      </c>
      <c r="I287" s="43">
        <v>74.796633013704536</v>
      </c>
    </row>
    <row r="288" spans="1:9">
      <c r="A288" s="19">
        <v>388.2</v>
      </c>
      <c r="B288" s="43">
        <v>77.924065271553587</v>
      </c>
      <c r="C288" s="43">
        <v>77.9010592152421</v>
      </c>
      <c r="D288" s="43">
        <v>77.67971441529366</v>
      </c>
      <c r="E288" s="43">
        <v>77.301395847498583</v>
      </c>
      <c r="F288" s="43">
        <v>76.80050381871078</v>
      </c>
      <c r="G288" s="43">
        <v>76.205344569753834</v>
      </c>
      <c r="H288" s="43">
        <v>75.539212841707212</v>
      </c>
      <c r="I288" s="43">
        <v>74.821407341921997</v>
      </c>
    </row>
    <row r="289" spans="1:9">
      <c r="A289" s="19">
        <v>388.3</v>
      </c>
      <c r="B289" s="43">
        <v>77.945317924596992</v>
      </c>
      <c r="C289" s="43">
        <v>77.923038311427177</v>
      </c>
      <c r="D289" s="43">
        <v>77.702352908228278</v>
      </c>
      <c r="E289" s="43">
        <v>77.32461770124354</v>
      </c>
      <c r="F289" s="43">
        <v>76.824230231568521</v>
      </c>
      <c r="G289" s="43">
        <v>76.229497021209511</v>
      </c>
      <c r="H289" s="43">
        <v>75.563714313923839</v>
      </c>
      <c r="I289" s="43">
        <v>74.846182579793179</v>
      </c>
    </row>
    <row r="290" spans="1:9">
      <c r="A290" s="19">
        <v>388.4</v>
      </c>
      <c r="B290" s="43">
        <v>77.96656953344845</v>
      </c>
      <c r="C290" s="43">
        <v>77.945016449204928</v>
      </c>
      <c r="D290" s="43">
        <v>77.724990619581462</v>
      </c>
      <c r="E290" s="43">
        <v>77.347839018854131</v>
      </c>
      <c r="F290" s="43">
        <v>76.847956407171552</v>
      </c>
      <c r="G290" s="43">
        <v>76.253649578528638</v>
      </c>
      <c r="H290" s="43">
        <v>75.58821627449322</v>
      </c>
      <c r="I290" s="43">
        <v>74.870958725692105</v>
      </c>
    </row>
    <row r="291" spans="1:9">
      <c r="A291" s="19">
        <v>388.5</v>
      </c>
      <c r="B291" s="43">
        <v>77.987820098510724</v>
      </c>
      <c r="C291" s="43">
        <v>77.96699362865732</v>
      </c>
      <c r="D291" s="43">
        <v>77.747627549129362</v>
      </c>
      <c r="E291" s="43">
        <v>77.371059799824735</v>
      </c>
      <c r="F291" s="43">
        <v>76.871682344741572</v>
      </c>
      <c r="G291" s="43">
        <v>76.277802240667171</v>
      </c>
      <c r="H291" s="43">
        <v>75.612718722073254</v>
      </c>
      <c r="I291" s="43">
        <v>74.895735777966024</v>
      </c>
    </row>
    <row r="292" spans="1:9">
      <c r="A292" s="19">
        <v>388.6</v>
      </c>
      <c r="B292" s="43">
        <v>78.009069620193543</v>
      </c>
      <c r="C292" s="43">
        <v>77.988969849854442</v>
      </c>
      <c r="D292" s="43">
        <v>77.770263696649181</v>
      </c>
      <c r="E292" s="43">
        <v>77.394280043650468</v>
      </c>
      <c r="F292" s="43">
        <v>76.895408043495905</v>
      </c>
      <c r="G292" s="43">
        <v>76.30195500656464</v>
      </c>
      <c r="H292" s="43">
        <v>75.637221655313169</v>
      </c>
      <c r="I292" s="43">
        <v>74.920513734972303</v>
      </c>
    </row>
    <row r="293" spans="1:9">
      <c r="A293" s="19">
        <v>388.7</v>
      </c>
      <c r="B293" s="43">
        <v>78.030318098873323</v>
      </c>
      <c r="C293" s="43">
        <v>78.010945112868995</v>
      </c>
      <c r="D293" s="43">
        <v>77.792899061918206</v>
      </c>
      <c r="E293" s="43">
        <v>77.41749974983702</v>
      </c>
      <c r="F293" s="43">
        <v>76.919133502686464</v>
      </c>
      <c r="G293" s="43">
        <v>76.326107875196413</v>
      </c>
      <c r="H293" s="43">
        <v>75.661725072915345</v>
      </c>
      <c r="I293" s="43">
        <v>74.945292595093633</v>
      </c>
    </row>
    <row r="294" spans="1:9">
      <c r="A294" s="19">
        <v>388.8</v>
      </c>
      <c r="B294" s="43">
        <v>78.051565534954364</v>
      </c>
      <c r="C294" s="43">
        <v>78.032919417783575</v>
      </c>
      <c r="D294" s="43">
        <v>77.81553364471668</v>
      </c>
      <c r="E294" s="43">
        <v>77.440718917884283</v>
      </c>
      <c r="F294" s="43">
        <v>76.942858721532644</v>
      </c>
      <c r="G294" s="43">
        <v>76.350260845520125</v>
      </c>
      <c r="H294" s="43">
        <v>75.686228973543308</v>
      </c>
      <c r="I294" s="43">
        <v>74.970072356696221</v>
      </c>
    </row>
    <row r="295" spans="1:9">
      <c r="A295" s="19">
        <v>388.9</v>
      </c>
      <c r="B295" s="43">
        <v>78.072811928828315</v>
      </c>
      <c r="C295" s="43">
        <v>78.054892764665595</v>
      </c>
      <c r="D295" s="43">
        <v>77.838167444823199</v>
      </c>
      <c r="E295" s="43">
        <v>77.463937547297093</v>
      </c>
      <c r="F295" s="43">
        <v>76.966583699281813</v>
      </c>
      <c r="G295" s="43">
        <v>76.374413916506001</v>
      </c>
      <c r="H295" s="43">
        <v>75.710733355888863</v>
      </c>
      <c r="I295" s="43">
        <v>74.994853018172194</v>
      </c>
    </row>
    <row r="296" spans="1:9">
      <c r="A296" s="19">
        <v>389</v>
      </c>
      <c r="B296" s="43">
        <v>78.094057280898056</v>
      </c>
      <c r="C296" s="43">
        <v>78.076865153600039</v>
      </c>
      <c r="D296" s="43">
        <v>77.860800462020904</v>
      </c>
      <c r="E296" s="43">
        <v>77.487155637578724</v>
      </c>
      <c r="F296" s="43">
        <v>76.990308435157743</v>
      </c>
      <c r="G296" s="43">
        <v>76.398567087101043</v>
      </c>
      <c r="H296" s="43">
        <v>75.735238218611727</v>
      </c>
      <c r="I296" s="43">
        <v>75.019634577877156</v>
      </c>
    </row>
    <row r="297" spans="1:9">
      <c r="A297" s="19">
        <v>389.1</v>
      </c>
      <c r="B297" s="43">
        <v>78.115301591567118</v>
      </c>
      <c r="C297" s="43">
        <v>78.098836584668447</v>
      </c>
      <c r="D297" s="43">
        <v>77.883432696092541</v>
      </c>
      <c r="E297" s="43">
        <v>77.510373188231085</v>
      </c>
      <c r="F297" s="43">
        <v>77.014032928402884</v>
      </c>
      <c r="G297" s="43">
        <v>76.422720356278944</v>
      </c>
      <c r="H297" s="43">
        <v>75.759743560397908</v>
      </c>
      <c r="I297" s="43">
        <v>75.044417034186324</v>
      </c>
    </row>
    <row r="298" spans="1:9">
      <c r="A298" s="19">
        <v>389.2</v>
      </c>
      <c r="B298" s="43">
        <v>78.136544861251082</v>
      </c>
      <c r="C298" s="43">
        <v>78.120807057954693</v>
      </c>
      <c r="D298" s="43">
        <v>77.906064146824662</v>
      </c>
      <c r="E298" s="43">
        <v>77.533590198763278</v>
      </c>
      <c r="F298" s="43">
        <v>77.037757178242032</v>
      </c>
      <c r="G298" s="43">
        <v>76.446873722992336</v>
      </c>
      <c r="H298" s="43">
        <v>75.784249379915423</v>
      </c>
      <c r="I298" s="43">
        <v>75.069200385461443</v>
      </c>
    </row>
    <row r="299" spans="1:9">
      <c r="A299" s="19">
        <v>389.3</v>
      </c>
      <c r="B299" s="43">
        <v>78.157787090322927</v>
      </c>
      <c r="C299" s="43">
        <v>78.142776573533524</v>
      </c>
      <c r="D299" s="43">
        <v>77.928694813999385</v>
      </c>
      <c r="E299" s="43">
        <v>77.556806668687301</v>
      </c>
      <c r="F299" s="43">
        <v>77.061481183932045</v>
      </c>
      <c r="G299" s="43">
        <v>76.471027186232561</v>
      </c>
      <c r="H299" s="43">
        <v>75.808755675876199</v>
      </c>
      <c r="I299" s="43">
        <v>75.093984630128773</v>
      </c>
    </row>
    <row r="300" spans="1:9">
      <c r="A300" s="19">
        <v>389.4</v>
      </c>
      <c r="B300" s="43">
        <v>78.179028279201106</v>
      </c>
      <c r="C300" s="43">
        <v>78.164745131489695</v>
      </c>
      <c r="D300" s="43">
        <v>77.951324697405454</v>
      </c>
      <c r="E300" s="43">
        <v>77.580022597512141</v>
      </c>
      <c r="F300" s="43">
        <v>77.085204944712729</v>
      </c>
      <c r="G300" s="43">
        <v>76.495180744963619</v>
      </c>
      <c r="H300" s="43">
        <v>75.833262446955899</v>
      </c>
      <c r="I300" s="43">
        <v>75.118769766544034</v>
      </c>
    </row>
    <row r="301" spans="1:9">
      <c r="A301" s="19">
        <v>389.5</v>
      </c>
      <c r="B301" s="43">
        <v>78.200268428283835</v>
      </c>
      <c r="C301" s="43">
        <v>78.186712731907704</v>
      </c>
      <c r="D301" s="43">
        <v>77.973953796829818</v>
      </c>
      <c r="E301" s="43">
        <v>77.603237984745306</v>
      </c>
      <c r="F301" s="43">
        <v>77.108928459824966</v>
      </c>
      <c r="G301" s="43">
        <v>76.519334398158435</v>
      </c>
      <c r="H301" s="43">
        <v>75.857769691844851</v>
      </c>
      <c r="I301" s="43">
        <v>75.143555793107822</v>
      </c>
    </row>
    <row r="302" spans="1:9">
      <c r="A302" s="19">
        <v>389.6</v>
      </c>
      <c r="B302" s="43">
        <v>78.221507537982291</v>
      </c>
      <c r="C302" s="43">
        <v>78.208679374877249</v>
      </c>
      <c r="D302" s="43">
        <v>77.996582112063436</v>
      </c>
      <c r="E302" s="43">
        <v>77.626452829903485</v>
      </c>
      <c r="F302" s="43">
        <v>77.132651728510979</v>
      </c>
      <c r="G302" s="43">
        <v>76.543488144785528</v>
      </c>
      <c r="H302" s="43">
        <v>75.882277409231449</v>
      </c>
      <c r="I302" s="43">
        <v>75.168342708199731</v>
      </c>
    </row>
    <row r="303" spans="1:9">
      <c r="A303" s="19">
        <v>389.7</v>
      </c>
      <c r="B303" s="43">
        <v>78.242745608698527</v>
      </c>
      <c r="C303" s="43">
        <v>78.230645060475865</v>
      </c>
      <c r="D303" s="43">
        <v>78.019209642895021</v>
      </c>
      <c r="E303" s="43">
        <v>77.6496671325026</v>
      </c>
      <c r="F303" s="43">
        <v>77.156374750029812</v>
      </c>
      <c r="G303" s="43">
        <v>76.567641983834449</v>
      </c>
      <c r="H303" s="43">
        <v>75.906785597829582</v>
      </c>
      <c r="I303" s="43">
        <v>75.193130510236017</v>
      </c>
    </row>
    <row r="304" spans="1:9">
      <c r="A304" s="19">
        <v>389.8</v>
      </c>
      <c r="B304" s="43">
        <v>78.263982640854749</v>
      </c>
      <c r="C304" s="43">
        <v>78.252609788809252</v>
      </c>
      <c r="D304" s="43">
        <v>78.041836389119737</v>
      </c>
      <c r="E304" s="43">
        <v>77.672880892049818</v>
      </c>
      <c r="F304" s="43">
        <v>77.180097523604672</v>
      </c>
      <c r="G304" s="43">
        <v>76.591795914258086</v>
      </c>
      <c r="H304" s="43">
        <v>75.931294256296326</v>
      </c>
      <c r="I304" s="43">
        <v>75.21791919756086</v>
      </c>
    </row>
    <row r="305" spans="1:9">
      <c r="A305" s="19">
        <v>389.9</v>
      </c>
      <c r="B305" s="43">
        <v>78.285218634847183</v>
      </c>
      <c r="C305" s="43">
        <v>78.274573559952643</v>
      </c>
      <c r="D305" s="43">
        <v>78.064462350528117</v>
      </c>
      <c r="E305" s="43">
        <v>77.696094108068564</v>
      </c>
      <c r="F305" s="43">
        <v>77.203820048507225</v>
      </c>
      <c r="G305" s="43">
        <v>76.615949935055596</v>
      </c>
      <c r="H305" s="43">
        <v>75.955803383343437</v>
      </c>
      <c r="I305" s="43">
        <v>75.242708768604871</v>
      </c>
    </row>
    <row r="306" spans="1:9">
      <c r="A306" s="19">
        <v>390</v>
      </c>
      <c r="B306" s="43">
        <v>78.249688032539211</v>
      </c>
      <c r="C306" s="43">
        <v>78.263316710331139</v>
      </c>
      <c r="D306" s="43">
        <v>78.079370561567515</v>
      </c>
      <c r="E306" s="43">
        <v>77.738477495628217</v>
      </c>
      <c r="F306" s="43">
        <v>77.274570206069598</v>
      </c>
      <c r="G306" s="43">
        <v>76.715645343176561</v>
      </c>
      <c r="H306" s="43">
        <v>76.084768612392338</v>
      </c>
      <c r="I306" s="43">
        <v>75.401038870967852</v>
      </c>
    </row>
    <row r="307" spans="1:9">
      <c r="A307" s="19">
        <v>390.1</v>
      </c>
      <c r="B307" s="43">
        <v>78.213917385950879</v>
      </c>
      <c r="C307" s="43">
        <v>78.251715755055358</v>
      </c>
      <c r="D307" s="43">
        <v>78.093804591729537</v>
      </c>
      <c r="E307" s="43">
        <v>77.780209520955253</v>
      </c>
      <c r="F307" s="43">
        <v>77.344423055664805</v>
      </c>
      <c r="G307" s="43">
        <v>76.814108751655169</v>
      </c>
      <c r="H307" s="43">
        <v>76.212061677807043</v>
      </c>
      <c r="I307" s="43">
        <v>75.557139153726183</v>
      </c>
    </row>
    <row r="308" spans="1:9">
      <c r="A308" s="19">
        <v>390.2</v>
      </c>
      <c r="B308" s="43">
        <v>78.234725953330837</v>
      </c>
      <c r="C308" s="43">
        <v>78.273187118035707</v>
      </c>
      <c r="D308" s="43">
        <v>78.115878864674499</v>
      </c>
      <c r="E308" s="43">
        <v>77.802818030756754</v>
      </c>
      <c r="F308" s="43">
        <v>77.367494312659261</v>
      </c>
      <c r="G308" s="43">
        <v>76.83757153178459</v>
      </c>
      <c r="H308" s="43">
        <v>76.235846407568516</v>
      </c>
      <c r="I308" s="43">
        <v>75.581178377897089</v>
      </c>
    </row>
    <row r="309" spans="1:9">
      <c r="A309" s="19">
        <v>390.3</v>
      </c>
      <c r="B309" s="43">
        <v>78.255533471445659</v>
      </c>
      <c r="C309" s="43">
        <v>78.294657475314693</v>
      </c>
      <c r="D309" s="43">
        <v>78.13795225596769</v>
      </c>
      <c r="E309" s="43">
        <v>77.825425844010852</v>
      </c>
      <c r="F309" s="43">
        <v>77.390565105321059</v>
      </c>
      <c r="G309" s="43">
        <v>76.861034117747522</v>
      </c>
      <c r="H309" s="43">
        <v>76.259631245644272</v>
      </c>
      <c r="I309" s="43">
        <v>75.605218041779409</v>
      </c>
    </row>
    <row r="310" spans="1:9">
      <c r="A310" s="19">
        <v>390.4</v>
      </c>
      <c r="B310" s="43">
        <v>78.276339940701178</v>
      </c>
      <c r="C310" s="43">
        <v>78.316126827034964</v>
      </c>
      <c r="D310" s="43">
        <v>78.160024765488288</v>
      </c>
      <c r="E310" s="43">
        <v>77.84803296034832</v>
      </c>
      <c r="F310" s="43">
        <v>77.413635433042998</v>
      </c>
      <c r="G310" s="43">
        <v>76.884496508695179</v>
      </c>
      <c r="H310" s="43">
        <v>76.283416190930694</v>
      </c>
      <c r="I310" s="43">
        <v>75.629258144029677</v>
      </c>
    </row>
    <row r="311" spans="1:9">
      <c r="A311" s="19">
        <v>390.5</v>
      </c>
      <c r="B311" s="43">
        <v>78.29714536147992</v>
      </c>
      <c r="C311" s="43">
        <v>78.337595173315208</v>
      </c>
      <c r="D311" s="43">
        <v>78.182096393111607</v>
      </c>
      <c r="E311" s="43">
        <v>77.870639379412097</v>
      </c>
      <c r="F311" s="43">
        <v>77.436705295241865</v>
      </c>
      <c r="G311" s="43">
        <v>76.907958703838517</v>
      </c>
      <c r="H311" s="43">
        <v>76.307201242415232</v>
      </c>
      <c r="I311" s="43">
        <v>75.653298683392478</v>
      </c>
    </row>
    <row r="312" spans="1:9">
      <c r="A312" s="19">
        <v>390.6</v>
      </c>
      <c r="B312" s="43">
        <v>78.317949734205769</v>
      </c>
      <c r="C312" s="43">
        <v>78.359062514302792</v>
      </c>
      <c r="D312" s="43">
        <v>78.204167138720067</v>
      </c>
      <c r="E312" s="43">
        <v>77.893245100836452</v>
      </c>
      <c r="F312" s="43">
        <v>77.459774691320604</v>
      </c>
      <c r="G312" s="43">
        <v>76.931420702325568</v>
      </c>
      <c r="H312" s="43">
        <v>76.330986399012829</v>
      </c>
      <c r="I312" s="43">
        <v>75.677339658544952</v>
      </c>
    </row>
    <row r="313" spans="1:9">
      <c r="A313" s="19">
        <v>390.7</v>
      </c>
      <c r="B313" s="43">
        <v>78.338753059245477</v>
      </c>
      <c r="C313" s="43">
        <v>78.38052885010984</v>
      </c>
      <c r="D313" s="43">
        <v>78.226237002188839</v>
      </c>
      <c r="E313" s="43">
        <v>77.915850124270179</v>
      </c>
      <c r="F313" s="43">
        <v>77.482843620703676</v>
      </c>
      <c r="G313" s="43">
        <v>76.95488250337354</v>
      </c>
      <c r="H313" s="43">
        <v>76.354771659708859</v>
      </c>
      <c r="I313" s="43">
        <v>75.701381068242796</v>
      </c>
    </row>
    <row r="314" spans="1:9">
      <c r="A314" s="19">
        <v>390.8</v>
      </c>
      <c r="B314" s="43">
        <v>78.359555337032106</v>
      </c>
      <c r="C314" s="43">
        <v>78.401994180896025</v>
      </c>
      <c r="D314" s="43">
        <v>78.248305983403895</v>
      </c>
      <c r="E314" s="43">
        <v>77.938454449345244</v>
      </c>
      <c r="F314" s="43">
        <v>77.505912082781037</v>
      </c>
      <c r="G314" s="43">
        <v>76.978344106129555</v>
      </c>
      <c r="H314" s="43">
        <v>76.37855702341929</v>
      </c>
      <c r="I314" s="43">
        <v>75.725422911146978</v>
      </c>
    </row>
    <row r="315" spans="1:9">
      <c r="A315" s="19">
        <v>390.9</v>
      </c>
      <c r="B315" s="43">
        <v>78.380356567938378</v>
      </c>
      <c r="C315" s="43">
        <v>78.42345850677043</v>
      </c>
      <c r="D315" s="43">
        <v>78.270374082241915</v>
      </c>
      <c r="E315" s="43">
        <v>77.961058075712771</v>
      </c>
      <c r="F315" s="43">
        <v>77.528980076986926</v>
      </c>
      <c r="G315" s="43">
        <v>77.001805509815085</v>
      </c>
      <c r="H315" s="43">
        <v>76.40234248912995</v>
      </c>
      <c r="I315" s="43">
        <v>75.749465186023116</v>
      </c>
    </row>
    <row r="316" spans="1:9">
      <c r="A316" s="19">
        <v>391</v>
      </c>
      <c r="B316" s="43">
        <v>78.401156752394627</v>
      </c>
      <c r="C316" s="43">
        <v>78.444921827891733</v>
      </c>
      <c r="D316" s="43">
        <v>78.292441298589608</v>
      </c>
      <c r="E316" s="43">
        <v>77.9836610030099</v>
      </c>
      <c r="F316" s="43">
        <v>77.552047602718829</v>
      </c>
      <c r="G316" s="43">
        <v>77.025266713582397</v>
      </c>
      <c r="H316" s="43">
        <v>76.42612805576681</v>
      </c>
      <c r="I316" s="43">
        <v>75.77350789153283</v>
      </c>
    </row>
    <row r="317" spans="1:9">
      <c r="A317" s="19">
        <v>391.1</v>
      </c>
      <c r="B317" s="43">
        <v>78.421955890771216</v>
      </c>
      <c r="C317" s="43">
        <v>78.466384144375354</v>
      </c>
      <c r="D317" s="43">
        <v>78.314507632326325</v>
      </c>
      <c r="E317" s="43">
        <v>78.006263230889573</v>
      </c>
      <c r="F317" s="43">
        <v>77.575114659406864</v>
      </c>
      <c r="G317" s="43">
        <v>77.048727716657197</v>
      </c>
      <c r="H317" s="43">
        <v>76.449913722333406</v>
      </c>
      <c r="I317" s="43">
        <v>75.797551026447735</v>
      </c>
    </row>
    <row r="318" spans="1:9">
      <c r="A318" s="19">
        <v>391.2</v>
      </c>
      <c r="B318" s="43">
        <v>78.442753983497454</v>
      </c>
      <c r="C318" s="43">
        <v>78.487845456376419</v>
      </c>
      <c r="D318" s="43">
        <v>78.336573083340426</v>
      </c>
      <c r="E318" s="43">
        <v>78.028864758991034</v>
      </c>
      <c r="F318" s="43">
        <v>77.598181246454317</v>
      </c>
      <c r="G318" s="43">
        <v>77.072188518193826</v>
      </c>
      <c r="H318" s="43">
        <v>76.473699487728851</v>
      </c>
      <c r="I318" s="43">
        <v>75.821594589448182</v>
      </c>
    </row>
    <row r="319" spans="1:9">
      <c r="A319" s="19">
        <v>391.3</v>
      </c>
      <c r="B319" s="43">
        <v>78.463551030953226</v>
      </c>
      <c r="C319" s="43">
        <v>78.509305764016176</v>
      </c>
      <c r="D319" s="43">
        <v>78.358637651514869</v>
      </c>
      <c r="E319" s="43">
        <v>78.051465586966003</v>
      </c>
      <c r="F319" s="43">
        <v>77.62124736329406</v>
      </c>
      <c r="G319" s="43">
        <v>77.095649117412165</v>
      </c>
      <c r="H319" s="43">
        <v>76.497485350968191</v>
      </c>
      <c r="I319" s="43">
        <v>75.845638579295667</v>
      </c>
    </row>
    <row r="320" spans="1:9">
      <c r="A320" s="19">
        <v>391.4</v>
      </c>
      <c r="B320" s="43">
        <v>78.484347033570202</v>
      </c>
      <c r="C320" s="43">
        <v>78.530765067451966</v>
      </c>
      <c r="D320" s="43">
        <v>78.380701336738838</v>
      </c>
      <c r="E320" s="43">
        <v>78.074065714458129</v>
      </c>
      <c r="F320" s="43">
        <v>77.644313009328357</v>
      </c>
      <c r="G320" s="43">
        <v>77.119109513475763</v>
      </c>
      <c r="H320" s="43">
        <v>76.521271310962959</v>
      </c>
      <c r="I320" s="43">
        <v>75.869682994674093</v>
      </c>
    </row>
    <row r="321" spans="1:9">
      <c r="A321" s="19">
        <v>391.5</v>
      </c>
      <c r="B321" s="43">
        <v>78.505141991721388</v>
      </c>
      <c r="C321" s="43">
        <v>78.552223366803986</v>
      </c>
      <c r="D321" s="43">
        <v>78.402764138895805</v>
      </c>
      <c r="E321" s="43">
        <v>78.096665141120866</v>
      </c>
      <c r="F321" s="43">
        <v>77.667378183995709</v>
      </c>
      <c r="G321" s="43">
        <v>77.142569705615358</v>
      </c>
      <c r="H321" s="43">
        <v>76.545057366724933</v>
      </c>
      <c r="I321" s="43">
        <v>75.893727834343395</v>
      </c>
    </row>
    <row r="322" spans="1:9">
      <c r="A322" s="19">
        <v>391.6</v>
      </c>
      <c r="B322" s="43">
        <v>78.52593590584857</v>
      </c>
      <c r="C322" s="43">
        <v>78.573680662235489</v>
      </c>
      <c r="D322" s="43">
        <v>78.424826057878704</v>
      </c>
      <c r="E322" s="43">
        <v>78.119263866601358</v>
      </c>
      <c r="F322" s="43">
        <v>77.69044288669636</v>
      </c>
      <c r="G322" s="43">
        <v>77.16602969298026</v>
      </c>
      <c r="H322" s="43">
        <v>76.568843517176163</v>
      </c>
      <c r="I322" s="43">
        <v>75.917773096996626</v>
      </c>
    </row>
    <row r="323" spans="1:9">
      <c r="A323" s="19">
        <v>391.7</v>
      </c>
      <c r="B323" s="43">
        <v>78.546728776322709</v>
      </c>
      <c r="C323" s="43">
        <v>78.595136953862237</v>
      </c>
      <c r="D323" s="43">
        <v>78.446887093571661</v>
      </c>
      <c r="E323" s="43">
        <v>78.141861890556328</v>
      </c>
      <c r="F323" s="43">
        <v>77.713507116879356</v>
      </c>
      <c r="G323" s="43">
        <v>77.189489474809392</v>
      </c>
      <c r="H323" s="43">
        <v>76.592629761326606</v>
      </c>
      <c r="I323" s="43">
        <v>75.941818781403128</v>
      </c>
    </row>
    <row r="324" spans="1:9">
      <c r="A324" s="19">
        <v>391.8</v>
      </c>
      <c r="B324" s="43">
        <v>78.567520603588719</v>
      </c>
      <c r="C324" s="43">
        <v>78.616592241852828</v>
      </c>
      <c r="D324" s="43">
        <v>78.468947245870481</v>
      </c>
      <c r="E324" s="43">
        <v>78.164459212628344</v>
      </c>
      <c r="F324" s="43">
        <v>77.736570873939996</v>
      </c>
      <c r="G324" s="43">
        <v>77.212949050268179</v>
      </c>
      <c r="H324" s="43">
        <v>76.616416098089616</v>
      </c>
      <c r="I324" s="43">
        <v>75.965864886251666</v>
      </c>
    </row>
    <row r="325" spans="1:9">
      <c r="A325" s="19">
        <v>391.9</v>
      </c>
      <c r="B325" s="43">
        <v>78.588311388014347</v>
      </c>
      <c r="C325" s="43">
        <v>78.638046526327855</v>
      </c>
      <c r="D325" s="43">
        <v>78.491006514661478</v>
      </c>
      <c r="E325" s="43">
        <v>78.187055832482315</v>
      </c>
      <c r="F325" s="43">
        <v>77.759634157327298</v>
      </c>
      <c r="G325" s="43">
        <v>77.236408418583835</v>
      </c>
      <c r="H325" s="43">
        <v>76.640202526487087</v>
      </c>
      <c r="I325" s="43">
        <v>75.989911410309276</v>
      </c>
    </row>
    <row r="326" spans="1:9">
      <c r="A326" s="19">
        <v>392</v>
      </c>
      <c r="B326" s="43">
        <v>78.60910113004141</v>
      </c>
      <c r="C326" s="43">
        <v>78.659499807450572</v>
      </c>
      <c r="D326" s="43">
        <v>78.513064899840202</v>
      </c>
      <c r="E326" s="43">
        <v>78.209651749764106</v>
      </c>
      <c r="F326" s="43">
        <v>77.782696966448242</v>
      </c>
      <c r="G326" s="43">
        <v>77.259867578931278</v>
      </c>
      <c r="H326" s="43">
        <v>76.663989045457981</v>
      </c>
      <c r="I326" s="43">
        <v>76.013958352285442</v>
      </c>
    </row>
    <row r="327" spans="1:9">
      <c r="A327" s="19">
        <v>392.1</v>
      </c>
      <c r="B327" s="43">
        <v>78.629889830052406</v>
      </c>
      <c r="C327" s="43">
        <v>78.680952085346718</v>
      </c>
      <c r="D327" s="43">
        <v>78.535122401297116</v>
      </c>
      <c r="E327" s="43">
        <v>78.232246964135726</v>
      </c>
      <c r="F327" s="43">
        <v>77.805759300753579</v>
      </c>
      <c r="G327" s="43">
        <v>77.283326530533628</v>
      </c>
      <c r="H327" s="43">
        <v>76.687775654003843</v>
      </c>
      <c r="I327" s="43">
        <v>76.038005710945555</v>
      </c>
    </row>
    <row r="328" spans="1:9">
      <c r="A328" s="19">
        <v>392.2</v>
      </c>
      <c r="B328" s="43">
        <v>78.650677488480767</v>
      </c>
      <c r="C328" s="43">
        <v>78.702403360176021</v>
      </c>
      <c r="D328" s="43">
        <v>78.557179018928196</v>
      </c>
      <c r="E328" s="43">
        <v>78.254841475248924</v>
      </c>
      <c r="F328" s="43">
        <v>77.828821159648783</v>
      </c>
      <c r="G328" s="43">
        <v>77.306785272579475</v>
      </c>
      <c r="H328" s="43">
        <v>76.711562351063606</v>
      </c>
      <c r="I328" s="43">
        <v>76.062053484988297</v>
      </c>
    </row>
    <row r="329" spans="1:9">
      <c r="A329" s="19">
        <v>392.3</v>
      </c>
      <c r="B329" s="43">
        <v>78.671464105725278</v>
      </c>
      <c r="C329" s="43">
        <v>78.723853632079994</v>
      </c>
      <c r="D329" s="43">
        <v>78.579234752627798</v>
      </c>
      <c r="E329" s="43">
        <v>78.277435282763662</v>
      </c>
      <c r="F329" s="43">
        <v>77.851882542575254</v>
      </c>
      <c r="G329" s="43">
        <v>77.330243804280002</v>
      </c>
      <c r="H329" s="43">
        <v>76.735349135636369</v>
      </c>
      <c r="I329" s="43">
        <v>76.086101673189148</v>
      </c>
    </row>
    <row r="330" spans="1:9">
      <c r="A330" s="19">
        <v>392.4</v>
      </c>
      <c r="B330" s="43">
        <v>78.692249682201577</v>
      </c>
      <c r="C330" s="43">
        <v>78.745302901208504</v>
      </c>
      <c r="D330" s="43">
        <v>78.601289602292212</v>
      </c>
      <c r="E330" s="43">
        <v>78.300028386339051</v>
      </c>
      <c r="F330" s="43">
        <v>77.874943448961261</v>
      </c>
      <c r="G330" s="43">
        <v>77.353702124836758</v>
      </c>
      <c r="H330" s="43">
        <v>76.759136006689516</v>
      </c>
      <c r="I330" s="43">
        <v>76.11015027426663</v>
      </c>
    </row>
    <row r="331" spans="1:9">
      <c r="A331" s="19">
        <v>392.5</v>
      </c>
      <c r="B331" s="43">
        <v>78.713034218318342</v>
      </c>
      <c r="C331" s="43">
        <v>78.76675116770943</v>
      </c>
      <c r="D331" s="43">
        <v>78.623343567818097</v>
      </c>
      <c r="E331" s="43">
        <v>78.322620785633205</v>
      </c>
      <c r="F331" s="43">
        <v>77.898003878239308</v>
      </c>
      <c r="G331" s="43">
        <v>77.377160233460046</v>
      </c>
      <c r="H331" s="43">
        <v>76.782922963201173</v>
      </c>
      <c r="I331" s="43">
        <v>76.13419928696797</v>
      </c>
    </row>
    <row r="332" spans="1:9">
      <c r="A332" s="19">
        <v>392.6</v>
      </c>
      <c r="B332" s="43">
        <v>78.733817714490527</v>
      </c>
      <c r="C332" s="43">
        <v>78.788198431729057</v>
      </c>
      <c r="D332" s="43">
        <v>78.645396649102594</v>
      </c>
      <c r="E332" s="43">
        <v>78.345212480309698</v>
      </c>
      <c r="F332" s="43">
        <v>77.921063829844314</v>
      </c>
      <c r="G332" s="43">
        <v>77.400618129357184</v>
      </c>
      <c r="H332" s="43">
        <v>76.806710004164785</v>
      </c>
      <c r="I332" s="43">
        <v>76.158248710053755</v>
      </c>
    </row>
    <row r="333" spans="1:9">
      <c r="A333" s="19">
        <v>392.7</v>
      </c>
      <c r="B333" s="43">
        <v>78.754600171134769</v>
      </c>
      <c r="C333" s="43">
        <v>78.809644693421291</v>
      </c>
      <c r="D333" s="43">
        <v>78.667448846045176</v>
      </c>
      <c r="E333" s="43">
        <v>78.367803470027127</v>
      </c>
      <c r="F333" s="43">
        <v>77.944123303208329</v>
      </c>
      <c r="G333" s="43">
        <v>77.424075811736827</v>
      </c>
      <c r="H333" s="43">
        <v>76.830497128543556</v>
      </c>
      <c r="I333" s="43">
        <v>76.182298542244496</v>
      </c>
    </row>
    <row r="334" spans="1:9">
      <c r="A334" s="19">
        <v>392.8</v>
      </c>
      <c r="B334" s="43">
        <v>78.775381588661446</v>
      </c>
      <c r="C334" s="43">
        <v>78.831089952934434</v>
      </c>
      <c r="D334" s="43">
        <v>78.689500158545712</v>
      </c>
      <c r="E334" s="43">
        <v>78.39039375445256</v>
      </c>
      <c r="F334" s="43">
        <v>77.967182297769938</v>
      </c>
      <c r="G334" s="43">
        <v>77.447533279818998</v>
      </c>
      <c r="H334" s="43">
        <v>76.854284335332153</v>
      </c>
      <c r="I334" s="43">
        <v>76.206348782307884</v>
      </c>
    </row>
    <row r="335" spans="1:9">
      <c r="A335" s="19">
        <v>392.9</v>
      </c>
      <c r="B335" s="43">
        <v>78.796161967497483</v>
      </c>
      <c r="C335" s="43">
        <v>78.852534210425091</v>
      </c>
      <c r="D335" s="43">
        <v>78.711550586506178</v>
      </c>
      <c r="E335" s="43">
        <v>78.412983333244142</v>
      </c>
      <c r="F335" s="43">
        <v>77.990240812957893</v>
      </c>
      <c r="G335" s="43">
        <v>77.47099053279419</v>
      </c>
      <c r="H335" s="43">
        <v>76.878071623506116</v>
      </c>
      <c r="I335" s="43">
        <v>76.230399428977307</v>
      </c>
    </row>
    <row r="336" spans="1:9">
      <c r="A336" s="19">
        <v>393</v>
      </c>
      <c r="B336" s="43">
        <v>78.816941308032568</v>
      </c>
      <c r="C336" s="43">
        <v>78.873977466031846</v>
      </c>
      <c r="D336" s="43">
        <v>78.733600129823969</v>
      </c>
      <c r="E336" s="43">
        <v>78.435572206074909</v>
      </c>
      <c r="F336" s="43">
        <v>78.013298848228061</v>
      </c>
      <c r="G336" s="43">
        <v>77.494447569905219</v>
      </c>
      <c r="H336" s="43">
        <v>76.901858992068099</v>
      </c>
      <c r="I336" s="43">
        <v>76.254450481024321</v>
      </c>
    </row>
    <row r="337" spans="1:9">
      <c r="A337" s="19">
        <v>393.1</v>
      </c>
      <c r="B337" s="43">
        <v>78.837719610715141</v>
      </c>
      <c r="C337" s="43">
        <v>78.895419719929436</v>
      </c>
      <c r="D337" s="43">
        <v>78.755648788406774</v>
      </c>
      <c r="E337" s="43">
        <v>78.4581603726038</v>
      </c>
      <c r="F337" s="43">
        <v>78.036356403001776</v>
      </c>
      <c r="G337" s="43">
        <v>77.51790439034491</v>
      </c>
      <c r="H337" s="43">
        <v>76.92564643998702</v>
      </c>
      <c r="I337" s="43">
        <v>76.278501937183648</v>
      </c>
    </row>
    <row r="338" spans="1:9">
      <c r="A338" s="19">
        <v>393.2</v>
      </c>
      <c r="B338" s="43">
        <v>78.858496875929205</v>
      </c>
      <c r="C338" s="43">
        <v>78.916860972249793</v>
      </c>
      <c r="D338" s="43">
        <v>78.777696562153778</v>
      </c>
      <c r="E338" s="43">
        <v>78.480747832504591</v>
      </c>
      <c r="F338" s="43">
        <v>78.059413476732288</v>
      </c>
      <c r="G338" s="43">
        <v>77.541360993344512</v>
      </c>
      <c r="H338" s="43">
        <v>76.949433966275564</v>
      </c>
      <c r="I338" s="43">
        <v>76.302553796232729</v>
      </c>
    </row>
    <row r="339" spans="1:9">
      <c r="A339" s="19">
        <v>393.3</v>
      </c>
      <c r="B339" s="43">
        <v>78.879273104124678</v>
      </c>
      <c r="C339" s="43">
        <v>78.938301223168537</v>
      </c>
      <c r="D339" s="43">
        <v>78.799743450972386</v>
      </c>
      <c r="E339" s="43">
        <v>78.503334585438409</v>
      </c>
      <c r="F339" s="43">
        <v>78.082470068847329</v>
      </c>
      <c r="G339" s="43">
        <v>77.564817378104294</v>
      </c>
      <c r="H339" s="43">
        <v>76.97322156988804</v>
      </c>
      <c r="I339" s="43">
        <v>76.326606056895457</v>
      </c>
    </row>
    <row r="340" spans="1:9">
      <c r="A340" s="19">
        <v>393.4</v>
      </c>
      <c r="B340" s="43">
        <v>78.900048295698667</v>
      </c>
      <c r="C340" s="43">
        <v>78.959740472821323</v>
      </c>
      <c r="D340" s="43">
        <v>78.821789454764712</v>
      </c>
      <c r="E340" s="43">
        <v>78.525920631081476</v>
      </c>
      <c r="F340" s="43">
        <v>78.105526178808873</v>
      </c>
      <c r="G340" s="43">
        <v>77.588273543876113</v>
      </c>
      <c r="H340" s="43">
        <v>76.997009249870132</v>
      </c>
      <c r="I340" s="43">
        <v>76.350658717981531</v>
      </c>
    </row>
    <row r="341" spans="1:9">
      <c r="A341" s="19">
        <v>393.5</v>
      </c>
      <c r="B341" s="43">
        <v>78.920822451091595</v>
      </c>
      <c r="C341" s="43">
        <v>78.981178721385106</v>
      </c>
      <c r="D341" s="43">
        <v>78.843834573442649</v>
      </c>
      <c r="E341" s="43">
        <v>78.548505969097704</v>
      </c>
      <c r="F341" s="43">
        <v>78.128581806040614</v>
      </c>
      <c r="G341" s="43">
        <v>77.611729489834289</v>
      </c>
      <c r="H341" s="43">
        <v>77.020797005153611</v>
      </c>
      <c r="I341" s="43">
        <v>76.374711778177186</v>
      </c>
    </row>
    <row r="342" spans="1:9">
      <c r="A342" s="19">
        <v>393.6</v>
      </c>
      <c r="B342" s="43">
        <v>78.941595570691874</v>
      </c>
      <c r="C342" s="43">
        <v>79.002615969000402</v>
      </c>
      <c r="D342" s="43">
        <v>78.865878806907034</v>
      </c>
      <c r="E342" s="43">
        <v>78.571090599164791</v>
      </c>
      <c r="F342" s="43">
        <v>78.151636950006406</v>
      </c>
      <c r="G342" s="43">
        <v>77.635185215244491</v>
      </c>
      <c r="H342" s="43">
        <v>77.044584834792062</v>
      </c>
      <c r="I342" s="43">
        <v>76.398765236323328</v>
      </c>
    </row>
    <row r="343" spans="1:9">
      <c r="A343" s="19">
        <v>393.7</v>
      </c>
      <c r="B343" s="43">
        <v>78.962367654958484</v>
      </c>
      <c r="C343" s="43">
        <v>79.024052215837685</v>
      </c>
      <c r="D343" s="43">
        <v>78.887922155072403</v>
      </c>
      <c r="E343" s="43">
        <v>78.593674520949122</v>
      </c>
      <c r="F343" s="43">
        <v>78.174691610133152</v>
      </c>
      <c r="G343" s="43">
        <v>77.658640719298063</v>
      </c>
      <c r="H343" s="43">
        <v>77.068372737728936</v>
      </c>
      <c r="I343" s="43">
        <v>76.422819091115599</v>
      </c>
    </row>
    <row r="344" spans="1:9">
      <c r="A344" s="19">
        <v>393.8</v>
      </c>
      <c r="B344" s="43">
        <v>78.983138704281004</v>
      </c>
      <c r="C344" s="43">
        <v>79.045487462046196</v>
      </c>
      <c r="D344" s="43">
        <v>78.909964617841752</v>
      </c>
      <c r="E344" s="43">
        <v>78.616257734129817</v>
      </c>
      <c r="F344" s="43">
        <v>78.197745785886525</v>
      </c>
      <c r="G344" s="43">
        <v>77.682096001246151</v>
      </c>
      <c r="H344" s="43">
        <v>77.092160713010912</v>
      </c>
      <c r="I344" s="43">
        <v>76.44687334137447</v>
      </c>
    </row>
    <row r="345" spans="1:9">
      <c r="A345" s="19">
        <v>393.9</v>
      </c>
      <c r="B345" s="43">
        <v>79.003908719104487</v>
      </c>
      <c r="C345" s="43">
        <v>79.066921707798912</v>
      </c>
      <c r="D345" s="43">
        <v>78.932006195130015</v>
      </c>
      <c r="E345" s="43">
        <v>78.638840238376616</v>
      </c>
      <c r="F345" s="43">
        <v>78.220799476703945</v>
      </c>
      <c r="G345" s="43">
        <v>77.705551060287064</v>
      </c>
      <c r="H345" s="43">
        <v>77.115948759601338</v>
      </c>
      <c r="I345" s="43">
        <v>76.470927985828411</v>
      </c>
    </row>
    <row r="346" spans="1:9">
      <c r="A346" s="19">
        <v>394</v>
      </c>
      <c r="B346" s="43">
        <v>79.024677699831869</v>
      </c>
      <c r="C346" s="43">
        <v>79.088354953241492</v>
      </c>
      <c r="D346" s="43">
        <v>78.954046886844907</v>
      </c>
      <c r="E346" s="43">
        <v>78.661422033369433</v>
      </c>
      <c r="F346" s="43">
        <v>78.24385268204361</v>
      </c>
      <c r="G346" s="43">
        <v>77.729005895672799</v>
      </c>
      <c r="H346" s="43">
        <v>77.139736876530264</v>
      </c>
      <c r="I346" s="43">
        <v>76.494983023265348</v>
      </c>
    </row>
    <row r="347" spans="1:9">
      <c r="A347" s="19">
        <v>394.1</v>
      </c>
      <c r="B347" s="43">
        <v>79.045445646915823</v>
      </c>
      <c r="C347" s="43">
        <v>79.109787198551174</v>
      </c>
      <c r="D347" s="43">
        <v>78.976086692900907</v>
      </c>
      <c r="E347" s="43">
        <v>78.684003118780026</v>
      </c>
      <c r="F347" s="43">
        <v>78.266905401344928</v>
      </c>
      <c r="G347" s="43">
        <v>77.752460506610646</v>
      </c>
      <c r="H347" s="43">
        <v>77.163525062766723</v>
      </c>
      <c r="I347" s="43">
        <v>76.519038452435012</v>
      </c>
    </row>
    <row r="348" spans="1:9">
      <c r="A348" s="19">
        <v>394.2</v>
      </c>
      <c r="B348" s="43">
        <v>79.066212560743111</v>
      </c>
      <c r="C348" s="43">
        <v>79.131218443874843</v>
      </c>
      <c r="D348" s="43">
        <v>78.998125613207662</v>
      </c>
      <c r="E348" s="43">
        <v>78.706583494291266</v>
      </c>
      <c r="F348" s="43">
        <v>78.289957634075165</v>
      </c>
      <c r="G348" s="43">
        <v>77.775914892351921</v>
      </c>
      <c r="H348" s="43">
        <v>77.18731331735404</v>
      </c>
      <c r="I348" s="43">
        <v>76.543094272146135</v>
      </c>
    </row>
    <row r="349" spans="1:9">
      <c r="A349" s="19">
        <v>394.3</v>
      </c>
      <c r="B349" s="43">
        <v>79.086978441776893</v>
      </c>
      <c r="C349" s="43">
        <v>79.15264868939434</v>
      </c>
      <c r="D349" s="43">
        <v>79.0201636476842</v>
      </c>
      <c r="E349" s="43">
        <v>78.729163159577155</v>
      </c>
      <c r="F349" s="43">
        <v>78.313009379668785</v>
      </c>
      <c r="G349" s="43">
        <v>77.799369052102634</v>
      </c>
      <c r="H349" s="43">
        <v>77.211101639257748</v>
      </c>
      <c r="I349" s="43">
        <v>76.567150481127101</v>
      </c>
    </row>
    <row r="350" spans="1:9">
      <c r="A350" s="19">
        <v>394.4</v>
      </c>
      <c r="B350" s="43">
        <v>79.107743290416209</v>
      </c>
      <c r="C350" s="43">
        <v>79.174077935253678</v>
      </c>
      <c r="D350" s="43">
        <v>79.042200796239513</v>
      </c>
      <c r="E350" s="43">
        <v>78.7517421143219</v>
      </c>
      <c r="F350" s="43">
        <v>78.336060637600809</v>
      </c>
      <c r="G350" s="43">
        <v>77.822822985122144</v>
      </c>
      <c r="H350" s="43">
        <v>77.234890027531293</v>
      </c>
      <c r="I350" s="43">
        <v>76.591207078200938</v>
      </c>
    </row>
    <row r="351" spans="1:9">
      <c r="A351" s="19">
        <v>394.5</v>
      </c>
      <c r="B351" s="43">
        <v>79.128507107104525</v>
      </c>
      <c r="C351" s="43">
        <v>79.19550618163845</v>
      </c>
      <c r="D351" s="43">
        <v>79.064237058794333</v>
      </c>
      <c r="E351" s="43">
        <v>78.774320358201749</v>
      </c>
      <c r="F351" s="43">
        <v>78.359111407308319</v>
      </c>
      <c r="G351" s="43">
        <v>77.846276690618652</v>
      </c>
      <c r="H351" s="43">
        <v>77.258678481132847</v>
      </c>
      <c r="I351" s="43">
        <v>76.61526406209407</v>
      </c>
    </row>
    <row r="352" spans="1:9">
      <c r="A352" s="19">
        <v>394.6</v>
      </c>
      <c r="B352" s="43">
        <v>79.149269892250999</v>
      </c>
      <c r="C352" s="43">
        <v>79.216933428693181</v>
      </c>
      <c r="D352" s="43">
        <v>79.086272435260582</v>
      </c>
      <c r="E352" s="43">
        <v>78.796897890903324</v>
      </c>
      <c r="F352" s="43">
        <v>78.382161688268468</v>
      </c>
      <c r="G352" s="43">
        <v>77.869730167851998</v>
      </c>
      <c r="H352" s="43">
        <v>77.282466999124949</v>
      </c>
      <c r="I352" s="43">
        <v>76.639321431630719</v>
      </c>
    </row>
    <row r="353" spans="1:9">
      <c r="A353" s="19">
        <v>394.7</v>
      </c>
      <c r="B353" s="43">
        <v>79.170031646308587</v>
      </c>
      <c r="C353" s="43">
        <v>79.238359676604659</v>
      </c>
      <c r="D353" s="43">
        <v>79.108306925560669</v>
      </c>
      <c r="E353" s="43">
        <v>78.819474712104892</v>
      </c>
      <c r="F353" s="43">
        <v>78.405211479917853</v>
      </c>
      <c r="G353" s="43">
        <v>77.893183416039108</v>
      </c>
      <c r="H353" s="43">
        <v>77.306255580471657</v>
      </c>
      <c r="I353" s="43">
        <v>76.663379185570449</v>
      </c>
    </row>
    <row r="354" spans="1:9">
      <c r="A354" s="19">
        <v>394.8</v>
      </c>
      <c r="B354" s="43">
        <v>79.190792369682754</v>
      </c>
      <c r="C354" s="43">
        <v>79.2597849255244</v>
      </c>
      <c r="D354" s="43">
        <v>79.130340529607849</v>
      </c>
      <c r="E354" s="43">
        <v>78.842050821494013</v>
      </c>
      <c r="F354" s="43">
        <v>78.428260781732774</v>
      </c>
      <c r="G354" s="43">
        <v>77.916636434435077</v>
      </c>
      <c r="H354" s="43">
        <v>77.330044224226327</v>
      </c>
      <c r="I354" s="43">
        <v>76.687437322699793</v>
      </c>
    </row>
    <row r="355" spans="1:9">
      <c r="A355" s="19">
        <v>394.9</v>
      </c>
      <c r="B355" s="43">
        <v>79.211552062825632</v>
      </c>
      <c r="C355" s="43">
        <v>79.281209175637684</v>
      </c>
      <c r="D355" s="43">
        <v>79.152373247328143</v>
      </c>
      <c r="E355" s="43">
        <v>78.864626218752051</v>
      </c>
      <c r="F355" s="43">
        <v>78.451309593162279</v>
      </c>
      <c r="G355" s="43">
        <v>77.940089222254386</v>
      </c>
      <c r="H355" s="43">
        <v>77.353832929368139</v>
      </c>
      <c r="I355" s="43">
        <v>76.711495841779879</v>
      </c>
    </row>
    <row r="356" spans="1:9">
      <c r="A356" s="19">
        <v>395</v>
      </c>
      <c r="B356" s="43">
        <v>79.232310726136916</v>
      </c>
      <c r="C356" s="43">
        <v>79.302632427095773</v>
      </c>
      <c r="D356" s="43">
        <v>79.174405078634948</v>
      </c>
      <c r="E356" s="43">
        <v>78.887200903569322</v>
      </c>
      <c r="F356" s="43">
        <v>78.47435791367576</v>
      </c>
      <c r="G356" s="43">
        <v>77.963541778761311</v>
      </c>
      <c r="H356" s="43">
        <v>77.377621694939222</v>
      </c>
      <c r="I356" s="43">
        <v>76.735554741638964</v>
      </c>
    </row>
    <row r="357" spans="1:9">
      <c r="A357" s="19">
        <v>395.1</v>
      </c>
      <c r="B357" s="43">
        <v>79.253068360093152</v>
      </c>
      <c r="C357" s="43">
        <v>79.324054680088608</v>
      </c>
      <c r="D357" s="43">
        <v>79.196436023454964</v>
      </c>
      <c r="E357" s="43">
        <v>78.909774875628329</v>
      </c>
      <c r="F357" s="43">
        <v>78.49740574272758</v>
      </c>
      <c r="G357" s="43">
        <v>77.986994103177977</v>
      </c>
      <c r="H357" s="43">
        <v>77.401410519943965</v>
      </c>
      <c r="I357" s="43">
        <v>76.7596140210334</v>
      </c>
    </row>
    <row r="358" spans="1:9">
      <c r="A358" s="19">
        <v>395.2</v>
      </c>
      <c r="B358" s="43">
        <v>79.273824965071469</v>
      </c>
      <c r="C358" s="43">
        <v>79.345475934758383</v>
      </c>
      <c r="D358" s="43">
        <v>79.218466081705316</v>
      </c>
      <c r="E358" s="43">
        <v>78.932348134622117</v>
      </c>
      <c r="F358" s="43">
        <v>78.520453079793498</v>
      </c>
      <c r="G358" s="43">
        <v>78.010446194773493</v>
      </c>
      <c r="H358" s="43">
        <v>77.425199403418503</v>
      </c>
      <c r="I358" s="43">
        <v>76.783673678768281</v>
      </c>
    </row>
    <row r="359" spans="1:9">
      <c r="A359" s="19">
        <v>395.3</v>
      </c>
      <c r="B359" s="43">
        <v>79.294580541551795</v>
      </c>
      <c r="C359" s="43">
        <v>79.366896191312264</v>
      </c>
      <c r="D359" s="43">
        <v>79.240495253315828</v>
      </c>
      <c r="E359" s="43">
        <v>78.954920680233926</v>
      </c>
      <c r="F359" s="43">
        <v>78.543499924324493</v>
      </c>
      <c r="G359" s="43">
        <v>78.033898052759639</v>
      </c>
      <c r="H359" s="43">
        <v>77.448988344353324</v>
      </c>
      <c r="I359" s="43">
        <v>76.807733713603938</v>
      </c>
    </row>
    <row r="360" spans="1:9">
      <c r="A360" s="19">
        <v>395.4</v>
      </c>
      <c r="B360" s="43">
        <v>79.315335089932034</v>
      </c>
      <c r="C360" s="43">
        <v>79.388315449894691</v>
      </c>
      <c r="D360" s="43">
        <v>79.262523538204022</v>
      </c>
      <c r="E360" s="43">
        <v>78.977492512159984</v>
      </c>
      <c r="F360" s="43">
        <v>78.566546275801556</v>
      </c>
      <c r="G360" s="43">
        <v>78.057349676413878</v>
      </c>
      <c r="H360" s="43">
        <v>77.472777341811081</v>
      </c>
      <c r="I360" s="43">
        <v>76.831794124387926</v>
      </c>
    </row>
    <row r="361" spans="1:9">
      <c r="A361" s="19">
        <v>395.5</v>
      </c>
      <c r="B361" s="43">
        <v>79.336088610679496</v>
      </c>
      <c r="C361" s="43">
        <v>79.409733710696457</v>
      </c>
      <c r="D361" s="43">
        <v>79.28455093630123</v>
      </c>
      <c r="E361" s="43">
        <v>79.000063630085464</v>
      </c>
      <c r="F361" s="43">
        <v>78.589592133676035</v>
      </c>
      <c r="G361" s="43">
        <v>78.080801064956489</v>
      </c>
      <c r="H361" s="43">
        <v>77.496566394768678</v>
      </c>
      <c r="I361" s="43">
        <v>76.855854909847466</v>
      </c>
    </row>
    <row r="362" spans="1:9">
      <c r="A362" s="19">
        <v>395.6</v>
      </c>
      <c r="B362" s="43">
        <v>79.356841104193165</v>
      </c>
      <c r="C362" s="43">
        <v>79.431150973875674</v>
      </c>
      <c r="D362" s="43">
        <v>79.306577447525711</v>
      </c>
      <c r="E362" s="43">
        <v>79.02263403370813</v>
      </c>
      <c r="F362" s="43">
        <v>78.612637497432786</v>
      </c>
      <c r="G362" s="43">
        <v>78.104252217660274</v>
      </c>
      <c r="H362" s="43">
        <v>77.520355502305307</v>
      </c>
      <c r="I362" s="43">
        <v>76.879916068841908</v>
      </c>
    </row>
    <row r="363" spans="1:9">
      <c r="A363" s="19">
        <v>395.7</v>
      </c>
      <c r="B363" s="43">
        <v>79.377592570943619</v>
      </c>
      <c r="C363" s="43">
        <v>79.452567239631009</v>
      </c>
      <c r="D363" s="43">
        <v>79.328603071812438</v>
      </c>
      <c r="E363" s="43">
        <v>79.045203722716195</v>
      </c>
      <c r="F363" s="43">
        <v>78.635682366524975</v>
      </c>
      <c r="G363" s="43">
        <v>78.127703133742813</v>
      </c>
      <c r="H363" s="43">
        <v>77.544144663389716</v>
      </c>
      <c r="I363" s="43">
        <v>76.903977600108504</v>
      </c>
    </row>
    <row r="364" spans="1:9">
      <c r="A364" s="19">
        <v>395.8</v>
      </c>
      <c r="B364" s="43">
        <v>79.398343011335015</v>
      </c>
      <c r="C364" s="43">
        <v>79.473982508109856</v>
      </c>
      <c r="D364" s="43">
        <v>79.350627809082397</v>
      </c>
      <c r="E364" s="43">
        <v>79.06777269680893</v>
      </c>
      <c r="F364" s="43">
        <v>78.65872674043888</v>
      </c>
      <c r="G364" s="43">
        <v>78.151153812490008</v>
      </c>
      <c r="H364" s="43">
        <v>77.567933877103997</v>
      </c>
      <c r="I364" s="43">
        <v>76.928039502499104</v>
      </c>
    </row>
    <row r="365" spans="1:9">
      <c r="A365" s="19">
        <v>395.9</v>
      </c>
      <c r="B365" s="43">
        <v>79.419092425839494</v>
      </c>
      <c r="C365" s="43">
        <v>79.495396779518614</v>
      </c>
      <c r="D365" s="43">
        <v>79.37265165927127</v>
      </c>
      <c r="E365" s="43">
        <v>79.090340955675714</v>
      </c>
      <c r="F365" s="43">
        <v>78.681770618632072</v>
      </c>
      <c r="G365" s="43">
        <v>78.174604253123675</v>
      </c>
      <c r="H365" s="43">
        <v>77.591723142432215</v>
      </c>
      <c r="I365" s="43">
        <v>76.952101774768323</v>
      </c>
    </row>
    <row r="366" spans="1:9">
      <c r="A366" s="19">
        <v>396</v>
      </c>
      <c r="B366" s="43">
        <v>79.43984081484686</v>
      </c>
      <c r="C366" s="43">
        <v>79.516810054006243</v>
      </c>
      <c r="D366" s="43">
        <v>79.39467462230067</v>
      </c>
      <c r="E366" s="43">
        <v>79.112908499018744</v>
      </c>
      <c r="F366" s="43">
        <v>78.704814000593529</v>
      </c>
      <c r="G366" s="43">
        <v>78.198054454925</v>
      </c>
      <c r="H366" s="43">
        <v>77.61551245844106</v>
      </c>
      <c r="I366" s="43">
        <v>76.97616441576406</v>
      </c>
    </row>
    <row r="367" spans="1:9">
      <c r="A367" s="19">
        <v>396.1</v>
      </c>
      <c r="B367" s="43">
        <v>79.460588178850031</v>
      </c>
      <c r="C367" s="43">
        <v>79.538222331779622</v>
      </c>
      <c r="D367" s="43">
        <v>79.416696698110769</v>
      </c>
      <c r="E367" s="43">
        <v>79.135475326530837</v>
      </c>
      <c r="F367" s="43">
        <v>78.727856885778976</v>
      </c>
      <c r="G367" s="43">
        <v>78.221504417121537</v>
      </c>
      <c r="H367" s="43">
        <v>77.63930182413128</v>
      </c>
      <c r="I367" s="43">
        <v>77.000227424251904</v>
      </c>
    </row>
    <row r="368" spans="1:9">
      <c r="A368" s="19">
        <v>396.2</v>
      </c>
      <c r="B368" s="43">
        <v>79.481334518245234</v>
      </c>
      <c r="C368" s="43">
        <v>79.559633612991121</v>
      </c>
      <c r="D368" s="43">
        <v>79.43871788662176</v>
      </c>
      <c r="E368" s="43">
        <v>79.158041437913454</v>
      </c>
      <c r="F368" s="43">
        <v>78.750899273681966</v>
      </c>
      <c r="G368" s="43">
        <v>78.244954138993819</v>
      </c>
      <c r="H368" s="43">
        <v>77.663091238574509</v>
      </c>
      <c r="I368" s="43">
        <v>77.024290799061276</v>
      </c>
    </row>
    <row r="369" spans="1:9">
      <c r="A369" s="19">
        <v>396.3</v>
      </c>
      <c r="B369" s="43">
        <v>79.50207983349631</v>
      </c>
      <c r="C369" s="43">
        <v>79.581043897840658</v>
      </c>
      <c r="D369" s="43">
        <v>79.460738187775831</v>
      </c>
      <c r="E369" s="43">
        <v>79.180606832863248</v>
      </c>
      <c r="F369" s="43">
        <v>78.773941163765386</v>
      </c>
      <c r="G369" s="43">
        <v>78.26840361977932</v>
      </c>
      <c r="H369" s="43">
        <v>77.686880700770985</v>
      </c>
      <c r="I369" s="43">
        <v>77.04835453898437</v>
      </c>
    </row>
    <row r="370" spans="1:9">
      <c r="A370" s="19">
        <v>396.4</v>
      </c>
      <c r="B370" s="43">
        <v>79.522824125022254</v>
      </c>
      <c r="C370" s="43">
        <v>79.602453186494472</v>
      </c>
      <c r="D370" s="43">
        <v>79.482757601500964</v>
      </c>
      <c r="E370" s="43">
        <v>79.203171511083696</v>
      </c>
      <c r="F370" s="43">
        <v>78.796982555516905</v>
      </c>
      <c r="G370" s="43">
        <v>78.291852858752975</v>
      </c>
      <c r="H370" s="43">
        <v>77.710670209783927</v>
      </c>
      <c r="I370" s="43">
        <v>77.072418642847794</v>
      </c>
    </row>
    <row r="371" spans="1:9">
      <c r="A371" s="19">
        <v>396.5</v>
      </c>
      <c r="B371" s="43">
        <v>79.543567393294751</v>
      </c>
      <c r="C371" s="43">
        <v>79.623861479152026</v>
      </c>
      <c r="D371" s="43">
        <v>79.504776127734573</v>
      </c>
      <c r="E371" s="43">
        <v>79.225735472273186</v>
      </c>
      <c r="F371" s="43">
        <v>78.820023448404498</v>
      </c>
      <c r="G371" s="43">
        <v>78.315301855155184</v>
      </c>
      <c r="H371" s="43">
        <v>77.734459764624148</v>
      </c>
      <c r="I371" s="43">
        <v>77.096483109431517</v>
      </c>
    </row>
    <row r="372" spans="1:9">
      <c r="A372" s="19">
        <v>396.6</v>
      </c>
      <c r="B372" s="43">
        <v>79.564309638724581</v>
      </c>
      <c r="C372" s="43">
        <v>79.645268775974273</v>
      </c>
      <c r="D372" s="43">
        <v>79.526793766409128</v>
      </c>
      <c r="E372" s="43">
        <v>79.248298716137384</v>
      </c>
      <c r="F372" s="43">
        <v>78.843063841922657</v>
      </c>
      <c r="G372" s="43">
        <v>78.338750608276769</v>
      </c>
      <c r="H372" s="43">
        <v>77.758249364372205</v>
      </c>
      <c r="I372" s="43">
        <v>77.120547937596484</v>
      </c>
    </row>
    <row r="373" spans="1:9">
      <c r="A373" s="19">
        <v>396.7</v>
      </c>
      <c r="B373" s="43">
        <v>79.585050861777233</v>
      </c>
      <c r="C373" s="43">
        <v>79.666675077168634</v>
      </c>
      <c r="D373" s="43">
        <v>79.548810517463835</v>
      </c>
      <c r="E373" s="43">
        <v>79.270861242375219</v>
      </c>
      <c r="F373" s="43">
        <v>78.866103735536967</v>
      </c>
      <c r="G373" s="43">
        <v>78.362199117346336</v>
      </c>
      <c r="H373" s="43">
        <v>77.78203900802589</v>
      </c>
      <c r="I373" s="43">
        <v>77.144613126099017</v>
      </c>
    </row>
    <row r="374" spans="1:9">
      <c r="A374" s="19">
        <v>396.8</v>
      </c>
      <c r="B374" s="43">
        <v>79.605791062876364</v>
      </c>
      <c r="C374" s="43">
        <v>79.688080382897795</v>
      </c>
      <c r="D374" s="43">
        <v>79.570826380832727</v>
      </c>
      <c r="E374" s="43">
        <v>79.293423050696731</v>
      </c>
      <c r="F374" s="43">
        <v>78.889143128742546</v>
      </c>
      <c r="G374" s="43">
        <v>78.385647381654167</v>
      </c>
      <c r="H374" s="43">
        <v>77.805828694661159</v>
      </c>
      <c r="I374" s="43">
        <v>77.168678673804521</v>
      </c>
    </row>
    <row r="375" spans="1:9">
      <c r="A375" s="19">
        <v>396.9</v>
      </c>
      <c r="B375" s="43">
        <v>79.626530242489025</v>
      </c>
      <c r="C375" s="43">
        <v>79.709484693367585</v>
      </c>
      <c r="D375" s="43">
        <v>79.592841356457541</v>
      </c>
      <c r="E375" s="43">
        <v>79.315984140802442</v>
      </c>
      <c r="F375" s="43">
        <v>78.91218202101075</v>
      </c>
      <c r="G375" s="43">
        <v>78.409095400442965</v>
      </c>
      <c r="H375" s="43">
        <v>77.829618423291549</v>
      </c>
      <c r="I375" s="43">
        <v>77.192744579487453</v>
      </c>
    </row>
    <row r="376" spans="1:9">
      <c r="A376" s="19">
        <v>397</v>
      </c>
      <c r="B376" s="43">
        <v>79.647268401034808</v>
      </c>
      <c r="C376" s="43">
        <v>79.730888008738674</v>
      </c>
      <c r="D376" s="43">
        <v>79.614855444270944</v>
      </c>
      <c r="E376" s="43">
        <v>79.338544512402962</v>
      </c>
      <c r="F376" s="43">
        <v>78.935220411838458</v>
      </c>
      <c r="G376" s="43">
        <v>78.432543173004092</v>
      </c>
      <c r="H376" s="43">
        <v>77.853408193002451</v>
      </c>
      <c r="I376" s="43">
        <v>77.216810842007476</v>
      </c>
    </row>
    <row r="377" spans="1:9">
      <c r="A377" s="19">
        <v>397.1</v>
      </c>
      <c r="B377" s="43">
        <v>79.668005538980168</v>
      </c>
      <c r="C377" s="43">
        <v>79.752290329222035</v>
      </c>
      <c r="D377" s="43">
        <v>79.636868644219163</v>
      </c>
      <c r="E377" s="43">
        <v>79.361104165202903</v>
      </c>
      <c r="F377" s="43">
        <v>78.95825830070126</v>
      </c>
      <c r="G377" s="43">
        <v>78.4559906985846</v>
      </c>
      <c r="H377" s="43">
        <v>77.877198002799133</v>
      </c>
      <c r="I377" s="43">
        <v>77.240877460143906</v>
      </c>
    </row>
    <row r="378" spans="1:9">
      <c r="A378" s="19">
        <v>397.2</v>
      </c>
      <c r="B378" s="43">
        <v>79.68874165674751</v>
      </c>
      <c r="C378" s="43">
        <v>79.773691654984759</v>
      </c>
      <c r="D378" s="43">
        <v>79.658880956239017</v>
      </c>
      <c r="E378" s="43">
        <v>79.383663098912422</v>
      </c>
      <c r="F378" s="43">
        <v>78.981295687094075</v>
      </c>
      <c r="G378" s="43">
        <v>78.479437976464567</v>
      </c>
      <c r="H378" s="43">
        <v>77.900987851762039</v>
      </c>
      <c r="I378" s="43">
        <v>77.264944432760046</v>
      </c>
    </row>
    <row r="379" spans="1:9">
      <c r="A379" s="19">
        <v>397.3</v>
      </c>
      <c r="B379" s="43">
        <v>79.70947675481176</v>
      </c>
      <c r="C379" s="43">
        <v>79.795091986234127</v>
      </c>
      <c r="D379" s="43">
        <v>79.680892380273889</v>
      </c>
      <c r="E379" s="43">
        <v>79.406221313240707</v>
      </c>
      <c r="F379" s="43">
        <v>79.004332570498661</v>
      </c>
      <c r="G379" s="43">
        <v>78.502885005911082</v>
      </c>
      <c r="H379" s="43">
        <v>77.924777738926821</v>
      </c>
      <c r="I379" s="43">
        <v>77.289011758649679</v>
      </c>
    </row>
    <row r="380" spans="1:9">
      <c r="A380" s="19">
        <v>397.4</v>
      </c>
      <c r="B380" s="43">
        <v>79.730210833602968</v>
      </c>
      <c r="C380" s="43">
        <v>79.8164913231453</v>
      </c>
      <c r="D380" s="43">
        <v>79.702902916264833</v>
      </c>
      <c r="E380" s="43">
        <v>79.428778807898368</v>
      </c>
      <c r="F380" s="43">
        <v>79.0273689504088</v>
      </c>
      <c r="G380" s="43">
        <v>78.526331786193225</v>
      </c>
      <c r="H380" s="43">
        <v>77.948567663348939</v>
      </c>
      <c r="I380" s="43">
        <v>77.313079436657517</v>
      </c>
    </row>
    <row r="381" spans="1:9">
      <c r="A381" s="19">
        <v>397.5</v>
      </c>
      <c r="B381" s="43">
        <v>79.750943893578381</v>
      </c>
      <c r="C381" s="43">
        <v>79.837889665919079</v>
      </c>
      <c r="D381" s="43">
        <v>79.724912564160007</v>
      </c>
      <c r="E381" s="43">
        <v>79.451335582596698</v>
      </c>
      <c r="F381" s="43">
        <v>79.050404826309091</v>
      </c>
      <c r="G381" s="43">
        <v>78.549778316584479</v>
      </c>
      <c r="H381" s="43">
        <v>77.972357624077404</v>
      </c>
      <c r="I381" s="43">
        <v>77.337147465591585</v>
      </c>
    </row>
    <row r="382" spans="1:9">
      <c r="A382" s="19">
        <v>397.6</v>
      </c>
      <c r="B382" s="43">
        <v>79.771675935181065</v>
      </c>
      <c r="C382" s="43">
        <v>79.859287014738612</v>
      </c>
      <c r="D382" s="43">
        <v>79.746921323899727</v>
      </c>
      <c r="E382" s="43">
        <v>79.473891637048752</v>
      </c>
      <c r="F382" s="43">
        <v>79.07344019769377</v>
      </c>
      <c r="G382" s="43">
        <v>78.573224596360404</v>
      </c>
      <c r="H382" s="43">
        <v>77.996147620176089</v>
      </c>
      <c r="I382" s="43">
        <v>77.361215844289944</v>
      </c>
    </row>
    <row r="383" spans="1:9">
      <c r="A383" s="19">
        <v>397.7</v>
      </c>
      <c r="B383" s="43">
        <v>79.792406958853206</v>
      </c>
      <c r="C383" s="43">
        <v>79.88068336979606</v>
      </c>
      <c r="D383" s="43">
        <v>79.768929195428257</v>
      </c>
      <c r="E383" s="43">
        <v>79.496446970968435</v>
      </c>
      <c r="F383" s="43">
        <v>79.096475064058922</v>
      </c>
      <c r="G383" s="43">
        <v>78.596670624798975</v>
      </c>
      <c r="H383" s="43">
        <v>78.019937650690395</v>
      </c>
      <c r="I383" s="43">
        <v>77.385284571590802</v>
      </c>
    </row>
    <row r="384" spans="1:9">
      <c r="A384" s="19">
        <v>397.8</v>
      </c>
      <c r="B384" s="43">
        <v>79.81313696506524</v>
      </c>
      <c r="C384" s="43">
        <v>79.902078731292818</v>
      </c>
      <c r="D384" s="43">
        <v>79.79093617869691</v>
      </c>
      <c r="E384" s="43">
        <v>79.519001584069457</v>
      </c>
      <c r="F384" s="43">
        <v>79.11950942489014</v>
      </c>
      <c r="G384" s="43">
        <v>78.620116401166342</v>
      </c>
      <c r="H384" s="43">
        <v>78.043727714678425</v>
      </c>
      <c r="I384" s="43">
        <v>77.409353646301753</v>
      </c>
    </row>
    <row r="385" spans="1:9">
      <c r="A385" s="19">
        <v>397.9</v>
      </c>
      <c r="B385" s="43">
        <v>79.833865954245454</v>
      </c>
      <c r="C385" s="43">
        <v>79.923473099406181</v>
      </c>
      <c r="D385" s="43">
        <v>79.812942273645376</v>
      </c>
      <c r="E385" s="43">
        <v>79.541555476068879</v>
      </c>
      <c r="F385" s="43">
        <v>79.142543279694479</v>
      </c>
      <c r="G385" s="43">
        <v>78.643561924756256</v>
      </c>
      <c r="H385" s="43">
        <v>78.067517811214543</v>
      </c>
      <c r="I385" s="43">
        <v>77.433423067302556</v>
      </c>
    </row>
    <row r="386" spans="1:9">
      <c r="A386" s="19">
        <v>398</v>
      </c>
      <c r="B386" s="43">
        <v>79.854593926878493</v>
      </c>
      <c r="C386" s="43">
        <v>79.944866474354171</v>
      </c>
      <c r="D386" s="43">
        <v>79.834947480231421</v>
      </c>
      <c r="E386" s="43">
        <v>79.564108646681859</v>
      </c>
      <c r="F386" s="43">
        <v>79.165576627951936</v>
      </c>
      <c r="G386" s="43">
        <v>78.667007194829722</v>
      </c>
      <c r="H386" s="43">
        <v>78.091307939329255</v>
      </c>
      <c r="I386" s="43">
        <v>77.457492833361499</v>
      </c>
    </row>
    <row r="387" spans="1:9">
      <c r="A387" s="19">
        <v>398.1</v>
      </c>
      <c r="B387" s="43">
        <v>79.875320883367323</v>
      </c>
      <c r="C387" s="43">
        <v>79.966258856300698</v>
      </c>
      <c r="D387" s="43">
        <v>79.856951798393482</v>
      </c>
      <c r="E387" s="43">
        <v>79.586661095628216</v>
      </c>
      <c r="F387" s="43">
        <v>79.18860946917664</v>
      </c>
      <c r="G387" s="43">
        <v>78.690452210692996</v>
      </c>
      <c r="H387" s="43">
        <v>78.115098098122075</v>
      </c>
      <c r="I387" s="43">
        <v>77.48156294338844</v>
      </c>
    </row>
    <row r="388" spans="1:9">
      <c r="A388" s="19">
        <v>398.2</v>
      </c>
      <c r="B388" s="43">
        <v>79.896046824217052</v>
      </c>
      <c r="C388" s="43">
        <v>79.987650245475237</v>
      </c>
      <c r="D388" s="43">
        <v>79.878955228092821</v>
      </c>
      <c r="E388" s="43">
        <v>79.609212822624556</v>
      </c>
      <c r="F388" s="43">
        <v>79.211641802849186</v>
      </c>
      <c r="G388" s="43">
        <v>78.713896971593442</v>
      </c>
      <c r="H388" s="43">
        <v>78.13888828661328</v>
      </c>
      <c r="I388" s="43">
        <v>77.505633396151239</v>
      </c>
    </row>
    <row r="389" spans="1:9">
      <c r="A389" s="19">
        <v>398.3</v>
      </c>
      <c r="B389" s="43">
        <v>79.916771749834709</v>
      </c>
      <c r="C389" s="43">
        <v>80.009040642040475</v>
      </c>
      <c r="D389" s="43">
        <v>79.900957769268217</v>
      </c>
      <c r="E389" s="43">
        <v>79.631763827392518</v>
      </c>
      <c r="F389" s="43">
        <v>79.234673628486917</v>
      </c>
      <c r="G389" s="43">
        <v>78.737341476846979</v>
      </c>
      <c r="H389" s="43">
        <v>78.162678503921853</v>
      </c>
      <c r="I389" s="43">
        <v>77.529704190561262</v>
      </c>
    </row>
    <row r="390" spans="1:9">
      <c r="A390" s="19">
        <v>398.4</v>
      </c>
      <c r="B390" s="43">
        <v>79.937495660711335</v>
      </c>
      <c r="C390" s="43">
        <v>80.030430046223785</v>
      </c>
      <c r="D390" s="43">
        <v>79.92295942188187</v>
      </c>
      <c r="E390" s="43">
        <v>79.654314109650983</v>
      </c>
      <c r="F390" s="43">
        <v>79.257704945575171</v>
      </c>
      <c r="G390" s="43">
        <v>78.760785725717483</v>
      </c>
      <c r="H390" s="43">
        <v>78.186468749064971</v>
      </c>
      <c r="I390" s="43">
        <v>77.553775325404672</v>
      </c>
    </row>
    <row r="391" spans="1:9">
      <c r="A391" s="19">
        <v>398.5</v>
      </c>
      <c r="B391" s="43">
        <v>79.958218557275671</v>
      </c>
      <c r="C391" s="43">
        <v>80.05181845819709</v>
      </c>
      <c r="D391" s="43">
        <v>79.944960185877221</v>
      </c>
      <c r="E391" s="43">
        <v>79.676863669124032</v>
      </c>
      <c r="F391" s="43">
        <v>79.280735753628818</v>
      </c>
      <c r="G391" s="43">
        <v>78.784229717504843</v>
      </c>
      <c r="H391" s="43">
        <v>78.210259021139308</v>
      </c>
      <c r="I391" s="43">
        <v>77.577846799558728</v>
      </c>
    </row>
    <row r="392" spans="1:9">
      <c r="A392" s="19">
        <v>398.6</v>
      </c>
      <c r="B392" s="43">
        <v>79.978940440016572</v>
      </c>
      <c r="C392" s="43">
        <v>80.073205878187423</v>
      </c>
      <c r="D392" s="43">
        <v>79.966960061217549</v>
      </c>
      <c r="E392" s="43">
        <v>79.699412505531768</v>
      </c>
      <c r="F392" s="43">
        <v>79.303766052136268</v>
      </c>
      <c r="G392" s="43">
        <v>78.80767345147467</v>
      </c>
      <c r="H392" s="43">
        <v>78.234049319186965</v>
      </c>
      <c r="I392" s="43">
        <v>77.601918611834947</v>
      </c>
    </row>
    <row r="393" spans="1:9">
      <c r="A393" s="19">
        <v>398.7</v>
      </c>
      <c r="B393" s="43">
        <v>79.999661309346095</v>
      </c>
      <c r="C393" s="43">
        <v>80.094592306366167</v>
      </c>
      <c r="D393" s="43">
        <v>79.988959047848169</v>
      </c>
      <c r="E393" s="43">
        <v>79.721960618600605</v>
      </c>
      <c r="F393" s="43">
        <v>79.326795840612448</v>
      </c>
      <c r="G393" s="43">
        <v>78.831116926937966</v>
      </c>
      <c r="H393" s="43">
        <v>78.257839642313172</v>
      </c>
      <c r="I393" s="43">
        <v>77.625990761117919</v>
      </c>
    </row>
    <row r="394" spans="1:9">
      <c r="A394" s="19">
        <v>398.8</v>
      </c>
      <c r="B394" s="43">
        <v>80.02038116576955</v>
      </c>
      <c r="C394" s="43">
        <v>80.115977742966038</v>
      </c>
      <c r="D394" s="43">
        <v>80.010957145734551</v>
      </c>
      <c r="E394" s="43">
        <v>79.744508008052634</v>
      </c>
      <c r="F394" s="43">
        <v>79.349825118553781</v>
      </c>
      <c r="G394" s="43">
        <v>78.85456014316685</v>
      </c>
      <c r="H394" s="43">
        <v>78.281629989550652</v>
      </c>
      <c r="I394" s="43">
        <v>77.650063246213335</v>
      </c>
    </row>
    <row r="395" spans="1:9">
      <c r="A395" s="19">
        <v>398.9</v>
      </c>
      <c r="B395" s="43">
        <v>80.041100009702546</v>
      </c>
      <c r="C395" s="43">
        <v>80.137362188152309</v>
      </c>
      <c r="D395" s="43">
        <v>80.032954354821669</v>
      </c>
      <c r="E395" s="43">
        <v>79.767054673616968</v>
      </c>
      <c r="F395" s="43">
        <v>79.37285388547906</v>
      </c>
      <c r="G395" s="43">
        <v>78.878003099465928</v>
      </c>
      <c r="H395" s="43">
        <v>78.3054203600162</v>
      </c>
      <c r="I395" s="43">
        <v>77.674136066025142</v>
      </c>
    </row>
    <row r="396" spans="1:9">
      <c r="A396" s="19">
        <v>399</v>
      </c>
      <c r="B396" s="43">
        <v>80.061817841637549</v>
      </c>
      <c r="C396" s="43">
        <v>80.158745642159658</v>
      </c>
      <c r="D396" s="43">
        <v>80.054950675077748</v>
      </c>
      <c r="E396" s="43">
        <v>79.78960061501698</v>
      </c>
      <c r="F396" s="43">
        <v>79.395882140878484</v>
      </c>
      <c r="G396" s="43">
        <v>78.901445795111385</v>
      </c>
      <c r="H396" s="43">
        <v>78.329210752743819</v>
      </c>
      <c r="I396" s="43">
        <v>77.698209219345927</v>
      </c>
    </row>
    <row r="397" spans="1:9">
      <c r="A397" s="19">
        <v>399.1</v>
      </c>
      <c r="B397" s="43">
        <v>80.082534662008641</v>
      </c>
      <c r="C397" s="43">
        <v>80.180128105166375</v>
      </c>
      <c r="D397" s="43">
        <v>80.076946106450748</v>
      </c>
      <c r="E397" s="43">
        <v>79.812145831983571</v>
      </c>
      <c r="F397" s="43">
        <v>79.418909884275223</v>
      </c>
      <c r="G397" s="43">
        <v>78.924888229417093</v>
      </c>
      <c r="H397" s="43">
        <v>78.353001166839618</v>
      </c>
      <c r="I397" s="43">
        <v>77.722282705087252</v>
      </c>
    </row>
    <row r="398" spans="1:9">
      <c r="A398" s="19">
        <v>399.2</v>
      </c>
      <c r="B398" s="43">
        <v>80.103250471297002</v>
      </c>
      <c r="C398" s="43">
        <v>80.201509577400799</v>
      </c>
      <c r="D398" s="43">
        <v>80.098940648910059</v>
      </c>
      <c r="E398" s="43">
        <v>79.834690324243013</v>
      </c>
      <c r="F398" s="43">
        <v>79.44193711516678</v>
      </c>
      <c r="G398" s="43">
        <v>78.948330401653038</v>
      </c>
      <c r="H398" s="43">
        <v>78.376791601358235</v>
      </c>
      <c r="I398" s="43">
        <v>77.74635652203736</v>
      </c>
    </row>
    <row r="399" spans="1:9">
      <c r="A399" s="19">
        <v>399.3</v>
      </c>
      <c r="B399" s="43">
        <v>80.123965269938992</v>
      </c>
      <c r="C399" s="43">
        <v>80.222890059040765</v>
      </c>
      <c r="D399" s="43">
        <v>80.120934302404322</v>
      </c>
      <c r="E399" s="43">
        <v>79.857234091527346</v>
      </c>
      <c r="F399" s="43">
        <v>79.464963833078002</v>
      </c>
      <c r="G399" s="43">
        <v>78.971772311140569</v>
      </c>
      <c r="H399" s="43">
        <v>78.400582055405096</v>
      </c>
      <c r="I399" s="43">
        <v>77.770430669122419</v>
      </c>
    </row>
    <row r="400" spans="1:9">
      <c r="A400" s="19">
        <v>399.4</v>
      </c>
      <c r="B400" s="43">
        <v>80.144679058426448</v>
      </c>
      <c r="C400" s="43">
        <v>80.244269550318336</v>
      </c>
      <c r="D400" s="43">
        <v>80.142927066906054</v>
      </c>
      <c r="E400" s="43">
        <v>79.879777133565767</v>
      </c>
      <c r="F400" s="43">
        <v>79.487990037503749</v>
      </c>
      <c r="G400" s="43">
        <v>78.995213957154391</v>
      </c>
      <c r="H400" s="43">
        <v>78.424372528032421</v>
      </c>
      <c r="I400" s="43">
        <v>77.794505145147099</v>
      </c>
    </row>
    <row r="401" spans="1:9">
      <c r="A401" s="19">
        <v>399.5</v>
      </c>
      <c r="B401" s="43">
        <v>80.165391837185808</v>
      </c>
      <c r="C401" s="43">
        <v>80.265648051416832</v>
      </c>
      <c r="D401" s="43">
        <v>80.16491894236637</v>
      </c>
      <c r="E401" s="43">
        <v>79.90231945009117</v>
      </c>
      <c r="F401" s="43">
        <v>79.511015727971852</v>
      </c>
      <c r="G401" s="43">
        <v>79.018655339007552</v>
      </c>
      <c r="H401" s="43">
        <v>78.448163018345355</v>
      </c>
      <c r="I401" s="43">
        <v>77.818579949007841</v>
      </c>
    </row>
    <row r="402" spans="1:9">
      <c r="A402" s="19">
        <v>399.6</v>
      </c>
      <c r="B402" s="43">
        <v>80.186103606719456</v>
      </c>
      <c r="C402" s="43">
        <v>80.28702556256431</v>
      </c>
      <c r="D402" s="43">
        <v>80.186909928756393</v>
      </c>
      <c r="E402" s="43">
        <v>79.924861040835538</v>
      </c>
      <c r="F402" s="43">
        <v>79.534040903983708</v>
      </c>
      <c r="G402" s="43">
        <v>79.042096455987519</v>
      </c>
      <c r="H402" s="43">
        <v>78.471953525406747</v>
      </c>
      <c r="I402" s="43">
        <v>77.842655079531539</v>
      </c>
    </row>
    <row r="403" spans="1:9">
      <c r="A403" s="19">
        <v>399.7</v>
      </c>
      <c r="B403" s="43">
        <v>80.206814367458747</v>
      </c>
      <c r="C403" s="43">
        <v>80.308402083948607</v>
      </c>
      <c r="D403" s="43">
        <v>80.208900026033717</v>
      </c>
      <c r="E403" s="43">
        <v>79.947401905533837</v>
      </c>
      <c r="F403" s="43">
        <v>79.55706556506604</v>
      </c>
      <c r="G403" s="43">
        <v>79.065537307408192</v>
      </c>
      <c r="H403" s="43">
        <v>78.495744048322479</v>
      </c>
      <c r="I403" s="43">
        <v>77.866730535615091</v>
      </c>
    </row>
    <row r="404" spans="1:9">
      <c r="A404" s="19">
        <v>399.8</v>
      </c>
      <c r="B404" s="43">
        <v>80.22752411989137</v>
      </c>
      <c r="C404" s="43">
        <v>80.329777615798008</v>
      </c>
      <c r="D404" s="43">
        <v>80.230889234170604</v>
      </c>
      <c r="E404" s="43">
        <v>79.969942043919701</v>
      </c>
      <c r="F404" s="43">
        <v>79.580089710723456</v>
      </c>
      <c r="G404" s="43">
        <v>79.088977892555164</v>
      </c>
      <c r="H404" s="43">
        <v>78.519534586153355</v>
      </c>
      <c r="I404" s="43">
        <v>77.890806316087179</v>
      </c>
    </row>
    <row r="405" spans="1:9">
      <c r="A405" s="19">
        <v>399.9</v>
      </c>
      <c r="B405" s="43">
        <v>80.248232864457947</v>
      </c>
      <c r="C405" s="43">
        <v>80.351152158306547</v>
      </c>
      <c r="D405" s="43">
        <v>80.252877553123142</v>
      </c>
      <c r="E405" s="43">
        <v>79.992481455730285</v>
      </c>
      <c r="F405" s="43">
        <v>79.603113340484356</v>
      </c>
      <c r="G405" s="43">
        <v>79.112418210752708</v>
      </c>
      <c r="H405" s="43">
        <v>78.54332513802018</v>
      </c>
      <c r="I405" s="43">
        <v>77.914882419856355</v>
      </c>
    </row>
    <row r="406" spans="1:9">
      <c r="A406" s="19">
        <v>400</v>
      </c>
      <c r="B406" s="43">
        <v>80.215542065652755</v>
      </c>
      <c r="C406" s="43">
        <v>80.336193353490188</v>
      </c>
      <c r="D406" s="43">
        <v>80.257147616165042</v>
      </c>
      <c r="E406" s="43">
        <v>80.016998205785541</v>
      </c>
      <c r="F406" s="43">
        <v>79.648539802982526</v>
      </c>
      <c r="G406" s="43">
        <v>79.179149938567178</v>
      </c>
      <c r="H406" s="43">
        <v>78.631545816499482</v>
      </c>
      <c r="I406" s="43">
        <v>78.024595083482865</v>
      </c>
    </row>
    <row r="407" spans="1:9">
      <c r="A407" s="19">
        <v>400.1</v>
      </c>
      <c r="B407" s="43">
        <v>80.182648927344161</v>
      </c>
      <c r="C407" s="43">
        <v>80.320977648795832</v>
      </c>
      <c r="D407" s="43">
        <v>80.261100464455183</v>
      </c>
      <c r="E407" s="43">
        <v>80.041122290393901</v>
      </c>
      <c r="F407" s="43">
        <v>79.693472932225148</v>
      </c>
      <c r="G407" s="43">
        <v>79.245253076082292</v>
      </c>
      <c r="H407" s="43">
        <v>78.718960264035246</v>
      </c>
      <c r="I407" s="43">
        <v>78.133275901599802</v>
      </c>
    </row>
    <row r="408" spans="1:9">
      <c r="A408" s="19">
        <v>400.2</v>
      </c>
      <c r="B408" s="43">
        <v>80.203059742540034</v>
      </c>
      <c r="C408" s="43">
        <v>80.34200786600951</v>
      </c>
      <c r="D408" s="43">
        <v>80.282701830811448</v>
      </c>
      <c r="E408" s="43">
        <v>80.063236507404667</v>
      </c>
      <c r="F408" s="43">
        <v>79.716037748451356</v>
      </c>
      <c r="G408" s="43">
        <v>79.268205687126084</v>
      </c>
      <c r="H408" s="43">
        <v>78.742239033431218</v>
      </c>
      <c r="I408" s="43">
        <v>78.156821111669132</v>
      </c>
    </row>
    <row r="409" spans="1:9">
      <c r="A409" s="19">
        <v>400.3</v>
      </c>
      <c r="B409" s="43">
        <v>80.223469557831834</v>
      </c>
      <c r="C409" s="43">
        <v>80.363037081542274</v>
      </c>
      <c r="D409" s="43">
        <v>80.30430226683734</v>
      </c>
      <c r="E409" s="43">
        <v>80.085349921823848</v>
      </c>
      <c r="F409" s="43">
        <v>79.738601933243274</v>
      </c>
      <c r="G409" s="43">
        <v>79.291157872122142</v>
      </c>
      <c r="H409" s="43">
        <v>78.765517610255642</v>
      </c>
      <c r="I409" s="43">
        <v>78.18036638671947</v>
      </c>
    </row>
    <row r="410" spans="1:9">
      <c r="A410" s="19">
        <v>400.4</v>
      </c>
      <c r="B410" s="43">
        <v>80.243878373646538</v>
      </c>
      <c r="C410" s="43">
        <v>80.384065295606661</v>
      </c>
      <c r="D410" s="43">
        <v>80.325901772543745</v>
      </c>
      <c r="E410" s="43">
        <v>80.107462533466361</v>
      </c>
      <c r="F410" s="43">
        <v>79.761165486224627</v>
      </c>
      <c r="G410" s="43">
        <v>79.314109630521017</v>
      </c>
      <c r="H410" s="43">
        <v>78.788795993782372</v>
      </c>
      <c r="I410" s="43">
        <v>78.203911725831091</v>
      </c>
    </row>
    <row r="411" spans="1:9">
      <c r="A411" s="19">
        <v>400.5</v>
      </c>
      <c r="B411" s="43">
        <v>80.264286190440004</v>
      </c>
      <c r="C411" s="43">
        <v>80.405092508441356</v>
      </c>
      <c r="D411" s="43">
        <v>80.347500347953201</v>
      </c>
      <c r="E411" s="43">
        <v>80.129574342147492</v>
      </c>
      <c r="F411" s="43">
        <v>79.783728407015786</v>
      </c>
      <c r="G411" s="43">
        <v>79.337060961749387</v>
      </c>
      <c r="H411" s="43">
        <v>78.812074183242146</v>
      </c>
      <c r="I411" s="43">
        <v>78.227457128041721</v>
      </c>
    </row>
    <row r="412" spans="1:9">
      <c r="A412" s="19">
        <v>400.6</v>
      </c>
      <c r="B412" s="43">
        <v>80.284693008683178</v>
      </c>
      <c r="C412" s="43">
        <v>80.426118720287263</v>
      </c>
      <c r="D412" s="43">
        <v>80.369097993088474</v>
      </c>
      <c r="E412" s="43">
        <v>80.151685347682701</v>
      </c>
      <c r="F412" s="43">
        <v>79.806290695231809</v>
      </c>
      <c r="G412" s="43">
        <v>79.360011865222702</v>
      </c>
      <c r="H412" s="43">
        <v>78.835352177864195</v>
      </c>
      <c r="I412" s="43">
        <v>78.251002592386214</v>
      </c>
    </row>
    <row r="413" spans="1:9">
      <c r="A413" s="19">
        <v>400.7</v>
      </c>
      <c r="B413" s="43">
        <v>80.305098828788203</v>
      </c>
      <c r="C413" s="43">
        <v>80.44714393135871</v>
      </c>
      <c r="D413" s="43">
        <v>80.390694707961302</v>
      </c>
      <c r="E413" s="43">
        <v>80.173795549889576</v>
      </c>
      <c r="F413" s="43">
        <v>79.828852350505457</v>
      </c>
      <c r="G413" s="43">
        <v>79.382962340396546</v>
      </c>
      <c r="H413" s="43">
        <v>78.858629976920668</v>
      </c>
      <c r="I413" s="43">
        <v>78.274548117969545</v>
      </c>
    </row>
    <row r="414" spans="1:9">
      <c r="A414" s="19">
        <v>400.8</v>
      </c>
      <c r="B414" s="43">
        <v>80.325503651217275</v>
      </c>
      <c r="C414" s="43">
        <v>80.468168141894182</v>
      </c>
      <c r="D414" s="43">
        <v>80.412290492593172</v>
      </c>
      <c r="E414" s="43">
        <v>80.195904948585849</v>
      </c>
      <c r="F414" s="43">
        <v>79.851413372460684</v>
      </c>
      <c r="G414" s="43">
        <v>79.405912386709076</v>
      </c>
      <c r="H414" s="43">
        <v>78.881907579654722</v>
      </c>
      <c r="I414" s="43">
        <v>78.298093703825714</v>
      </c>
    </row>
    <row r="415" spans="1:9">
      <c r="A415" s="19">
        <v>400.9</v>
      </c>
      <c r="B415" s="43">
        <v>80.345907476408172</v>
      </c>
      <c r="C415" s="43">
        <v>80.489191352120741</v>
      </c>
      <c r="D415" s="43">
        <v>80.433885347002473</v>
      </c>
      <c r="E415" s="43">
        <v>80.218013543589876</v>
      </c>
      <c r="F415" s="43">
        <v>79.873973760719593</v>
      </c>
      <c r="G415" s="43">
        <v>79.428862003588932</v>
      </c>
      <c r="H415" s="43">
        <v>78.905184985319408</v>
      </c>
      <c r="I415" s="43">
        <v>78.321639349022291</v>
      </c>
    </row>
    <row r="416" spans="1:9">
      <c r="A416" s="19">
        <v>401</v>
      </c>
      <c r="B416" s="43">
        <v>80.366310304806632</v>
      </c>
      <c r="C416" s="43">
        <v>80.510213562271872</v>
      </c>
      <c r="D416" s="43">
        <v>80.455479271211914</v>
      </c>
      <c r="E416" s="43">
        <v>80.240121334721209</v>
      </c>
      <c r="F416" s="43">
        <v>79.896533514915461</v>
      </c>
      <c r="G416" s="43">
        <v>79.451811190484221</v>
      </c>
      <c r="H416" s="43">
        <v>78.928462193165785</v>
      </c>
      <c r="I416" s="43">
        <v>78.345185052627983</v>
      </c>
    </row>
    <row r="417" spans="1:9">
      <c r="A417" s="19">
        <v>401.1</v>
      </c>
      <c r="B417" s="43">
        <v>80.386712136884228</v>
      </c>
      <c r="C417" s="43">
        <v>80.531234772589499</v>
      </c>
      <c r="D417" s="43">
        <v>80.477072265245567</v>
      </c>
      <c r="E417" s="43">
        <v>80.262228321799597</v>
      </c>
      <c r="F417" s="43">
        <v>79.919092634664025</v>
      </c>
      <c r="G417" s="43">
        <v>79.474759946815368</v>
      </c>
      <c r="H417" s="43">
        <v>78.951739202433771</v>
      </c>
      <c r="I417" s="43">
        <v>78.368730813686028</v>
      </c>
    </row>
    <row r="418" spans="1:9">
      <c r="A418" s="19">
        <v>401.2</v>
      </c>
      <c r="B418" s="43">
        <v>80.407112973063619</v>
      </c>
      <c r="C418" s="43">
        <v>80.552254983293352</v>
      </c>
      <c r="D418" s="43">
        <v>80.49866432912188</v>
      </c>
      <c r="E418" s="43">
        <v>80.284334504646324</v>
      </c>
      <c r="F418" s="43">
        <v>79.94165111960416</v>
      </c>
      <c r="G418" s="43">
        <v>79.497708272046737</v>
      </c>
      <c r="H418" s="43">
        <v>78.975016012399976</v>
      </c>
      <c r="I418" s="43">
        <v>78.392276631285455</v>
      </c>
    </row>
    <row r="419" spans="1:9">
      <c r="A419" s="19">
        <v>401.3</v>
      </c>
      <c r="B419" s="43">
        <v>80.427512813807795</v>
      </c>
      <c r="C419" s="43">
        <v>80.57327419462456</v>
      </c>
      <c r="D419" s="43">
        <v>80.520255462863219</v>
      </c>
      <c r="E419" s="43">
        <v>80.306439883083101</v>
      </c>
      <c r="F419" s="43">
        <v>79.964208969360811</v>
      </c>
      <c r="G419" s="43">
        <v>79.520656165606539</v>
      </c>
      <c r="H419" s="43">
        <v>78.998292622301562</v>
      </c>
      <c r="I419" s="43">
        <v>78.41582250448451</v>
      </c>
    </row>
    <row r="420" spans="1:9">
      <c r="A420" s="19">
        <v>401.4</v>
      </c>
      <c r="B420" s="43">
        <v>80.447911659558628</v>
      </c>
      <c r="C420" s="43">
        <v>80.594292406818255</v>
      </c>
      <c r="D420" s="43">
        <v>80.541845666498091</v>
      </c>
      <c r="E420" s="43">
        <v>80.328544456932406</v>
      </c>
      <c r="F420" s="43">
        <v>79.986766183564839</v>
      </c>
      <c r="G420" s="43">
        <v>79.543603626940381</v>
      </c>
      <c r="H420" s="43">
        <v>79.021569031408262</v>
      </c>
      <c r="I420" s="43">
        <v>78.439368432355565</v>
      </c>
    </row>
    <row r="421" spans="1:9">
      <c r="A421" s="19">
        <v>401.5</v>
      </c>
      <c r="B421" s="43">
        <v>80.46830951075583</v>
      </c>
      <c r="C421" s="43">
        <v>80.615309620103432</v>
      </c>
      <c r="D421" s="43">
        <v>80.563434940044147</v>
      </c>
      <c r="E421" s="43">
        <v>80.350648226017654</v>
      </c>
      <c r="F421" s="43">
        <v>80.009322761851791</v>
      </c>
      <c r="G421" s="43">
        <v>79.566550655500947</v>
      </c>
      <c r="H421" s="43">
        <v>79.044845238980912</v>
      </c>
      <c r="I421" s="43">
        <v>78.462914413970367</v>
      </c>
    </row>
    <row r="422" spans="1:9">
      <c r="A422" s="19">
        <v>401.6</v>
      </c>
      <c r="B422" s="43">
        <v>80.48870636788044</v>
      </c>
      <c r="C422" s="43">
        <v>80.636325834728211</v>
      </c>
      <c r="D422" s="43">
        <v>80.585023283534724</v>
      </c>
      <c r="E422" s="43">
        <v>80.372751190162916</v>
      </c>
      <c r="F422" s="43">
        <v>80.031878703843802</v>
      </c>
      <c r="G422" s="43">
        <v>79.589497250715027</v>
      </c>
      <c r="H422" s="43">
        <v>79.068121244257469</v>
      </c>
      <c r="I422" s="43">
        <v>78.486460448384634</v>
      </c>
    </row>
    <row r="423" spans="1:9">
      <c r="A423" s="19">
        <v>401.7</v>
      </c>
      <c r="B423" s="43">
        <v>80.509102231359464</v>
      </c>
      <c r="C423" s="43">
        <v>80.657341050918831</v>
      </c>
      <c r="D423" s="43">
        <v>80.606610696991225</v>
      </c>
      <c r="E423" s="43">
        <v>80.394853349193141</v>
      </c>
      <c r="F423" s="43">
        <v>80.05443400918125</v>
      </c>
      <c r="G423" s="43">
        <v>79.61244341204349</v>
      </c>
      <c r="H423" s="43">
        <v>79.091397046510167</v>
      </c>
      <c r="I423" s="43">
        <v>78.510006534681139</v>
      </c>
    </row>
    <row r="424" spans="1:9">
      <c r="A424" s="19">
        <v>401.8</v>
      </c>
      <c r="B424" s="43">
        <v>80.529497101652765</v>
      </c>
      <c r="C424" s="43">
        <v>80.678355268918466</v>
      </c>
      <c r="D424" s="43">
        <v>80.62819718044048</v>
      </c>
      <c r="E424" s="43">
        <v>80.416954702934106</v>
      </c>
      <c r="F424" s="43">
        <v>80.076988677493574</v>
      </c>
      <c r="G424" s="43">
        <v>79.635389138924864</v>
      </c>
      <c r="H424" s="43">
        <v>79.114672645001065</v>
      </c>
      <c r="I424" s="43">
        <v>78.533552671935666</v>
      </c>
    </row>
    <row r="425" spans="1:9">
      <c r="A425" s="19">
        <v>401.9</v>
      </c>
      <c r="B425" s="43">
        <v>80.549890979212307</v>
      </c>
      <c r="C425" s="43">
        <v>80.699368488962222</v>
      </c>
      <c r="D425" s="43">
        <v>80.649782733911252</v>
      </c>
      <c r="E425" s="43">
        <v>80.439055251212324</v>
      </c>
      <c r="F425" s="43">
        <v>80.099542708417431</v>
      </c>
      <c r="G425" s="43">
        <v>79.658334430808566</v>
      </c>
      <c r="H425" s="43">
        <v>79.137948038986963</v>
      </c>
      <c r="I425" s="43">
        <v>78.557098859214761</v>
      </c>
    </row>
    <row r="426" spans="1:9">
      <c r="A426" s="19">
        <v>402</v>
      </c>
      <c r="B426" s="43">
        <v>80.57028386446774</v>
      </c>
      <c r="C426" s="43">
        <v>80.720380711272696</v>
      </c>
      <c r="D426" s="43">
        <v>80.671367357422014</v>
      </c>
      <c r="E426" s="43">
        <v>80.461154993855075</v>
      </c>
      <c r="F426" s="43">
        <v>80.122096101595247</v>
      </c>
      <c r="G426" s="43">
        <v>79.681279287160862</v>
      </c>
      <c r="H426" s="43">
        <v>79.161223227756523</v>
      </c>
      <c r="I426" s="43">
        <v>78.580645095620895</v>
      </c>
    </row>
    <row r="427" spans="1:9">
      <c r="A427" s="19">
        <v>402.1</v>
      </c>
      <c r="B427" s="43">
        <v>80.590675757919087</v>
      </c>
      <c r="C427" s="43">
        <v>80.741391936127599</v>
      </c>
      <c r="D427" s="43">
        <v>80.692951051018753</v>
      </c>
      <c r="E427" s="43">
        <v>80.483253930690665</v>
      </c>
      <c r="F427" s="43">
        <v>80.144648856648672</v>
      </c>
      <c r="G427" s="43">
        <v>79.704223707398654</v>
      </c>
      <c r="H427" s="43">
        <v>79.184498210530336</v>
      </c>
      <c r="I427" s="43">
        <v>78.604191380182073</v>
      </c>
    </row>
    <row r="428" spans="1:9">
      <c r="A428" s="19">
        <v>402.2</v>
      </c>
      <c r="B428" s="43">
        <v>80.611066659983919</v>
      </c>
      <c r="C428" s="43">
        <v>80.762402163731025</v>
      </c>
      <c r="D428" s="43">
        <v>80.714533814717981</v>
      </c>
      <c r="E428" s="43">
        <v>80.505352061547768</v>
      </c>
      <c r="F428" s="43">
        <v>80.167200973227466</v>
      </c>
      <c r="G428" s="43">
        <v>79.727167690996822</v>
      </c>
      <c r="H428" s="43">
        <v>79.207772986605818</v>
      </c>
      <c r="I428" s="43">
        <v>78.627737712029131</v>
      </c>
    </row>
    <row r="429" spans="1:9">
      <c r="A429" s="19">
        <v>402.3</v>
      </c>
      <c r="B429" s="43">
        <v>80.631456571124403</v>
      </c>
      <c r="C429" s="43">
        <v>80.783411394337946</v>
      </c>
      <c r="D429" s="43">
        <v>80.736115648554289</v>
      </c>
      <c r="E429" s="43">
        <v>80.527449386256251</v>
      </c>
      <c r="F429" s="43">
        <v>80.189752450963766</v>
      </c>
      <c r="G429" s="43">
        <v>79.750111237402223</v>
      </c>
      <c r="H429" s="43">
        <v>79.231047555241815</v>
      </c>
      <c r="I429" s="43">
        <v>78.651284090202921</v>
      </c>
    </row>
    <row r="430" spans="1:9">
      <c r="A430" s="19">
        <v>402.4</v>
      </c>
      <c r="B430" s="43">
        <v>80.65184549179736</v>
      </c>
      <c r="C430" s="43">
        <v>80.804419628189606</v>
      </c>
      <c r="D430" s="43">
        <v>80.757696552557945</v>
      </c>
      <c r="E430" s="43">
        <v>80.549545904646692</v>
      </c>
      <c r="F430" s="43">
        <v>80.212303289498067</v>
      </c>
      <c r="G430" s="43">
        <v>79.773054346059524</v>
      </c>
      <c r="H430" s="43">
        <v>79.254321915699364</v>
      </c>
      <c r="I430" s="43">
        <v>78.674830513790539</v>
      </c>
    </row>
    <row r="431" spans="1:9">
      <c r="A431" s="19">
        <v>402.5</v>
      </c>
      <c r="B431" s="43">
        <v>80.672233422443725</v>
      </c>
      <c r="C431" s="43">
        <v>80.825426865516903</v>
      </c>
      <c r="D431" s="43">
        <v>80.779276526759077</v>
      </c>
      <c r="E431" s="43">
        <v>80.571641616550068</v>
      </c>
      <c r="F431" s="43">
        <v>80.234853488474243</v>
      </c>
      <c r="G431" s="43">
        <v>79.795997016443266</v>
      </c>
      <c r="H431" s="43">
        <v>79.277596067269911</v>
      </c>
      <c r="I431" s="43">
        <v>78.698376981909064</v>
      </c>
    </row>
    <row r="432" spans="1:9">
      <c r="A432" s="19">
        <v>402.6</v>
      </c>
      <c r="B432" s="43">
        <v>80.692620363554909</v>
      </c>
      <c r="C432" s="43">
        <v>80.846433106578701</v>
      </c>
      <c r="D432" s="43">
        <v>80.800855571193068</v>
      </c>
      <c r="E432" s="43">
        <v>80.593736521798888</v>
      </c>
      <c r="F432" s="43">
        <v>80.257403047523184</v>
      </c>
      <c r="G432" s="43">
        <v>79.818939247979728</v>
      </c>
      <c r="H432" s="43">
        <v>79.300870009193972</v>
      </c>
      <c r="I432" s="43">
        <v>78.721923493596051</v>
      </c>
    </row>
    <row r="433" spans="1:9">
      <c r="A433" s="19">
        <v>402.7</v>
      </c>
      <c r="B433" s="43">
        <v>80.713006315539417</v>
      </c>
      <c r="C433" s="43">
        <v>80.867438351600555</v>
      </c>
      <c r="D433" s="43">
        <v>80.822433685887688</v>
      </c>
      <c r="E433" s="43">
        <v>80.61583062022558</v>
      </c>
      <c r="F433" s="43">
        <v>80.279951966298938</v>
      </c>
      <c r="G433" s="43">
        <v>79.84188104015189</v>
      </c>
      <c r="H433" s="43">
        <v>79.324143740767482</v>
      </c>
      <c r="I433" s="43">
        <v>78.745470047970201</v>
      </c>
    </row>
    <row r="434" spans="1:9">
      <c r="A434" s="19">
        <v>402.8</v>
      </c>
      <c r="B434" s="43">
        <v>80.733391278879395</v>
      </c>
      <c r="C434" s="43">
        <v>80.888442600836839</v>
      </c>
      <c r="D434" s="43">
        <v>80.844010870879771</v>
      </c>
      <c r="E434" s="43">
        <v>80.637923911664103</v>
      </c>
      <c r="F434" s="43">
        <v>80.302500244437937</v>
      </c>
      <c r="G434" s="43">
        <v>79.864822392402061</v>
      </c>
      <c r="H434" s="43">
        <v>79.347417261250399</v>
      </c>
      <c r="I434" s="43">
        <v>78.769016644103232</v>
      </c>
    </row>
    <row r="435" spans="1:9">
      <c r="A435" s="19">
        <v>402.9</v>
      </c>
      <c r="B435" s="43">
        <v>80.753775254042125</v>
      </c>
      <c r="C435" s="43">
        <v>80.909445854530532</v>
      </c>
      <c r="D435" s="43">
        <v>80.86558712620544</v>
      </c>
      <c r="E435" s="43">
        <v>80.660016395948986</v>
      </c>
      <c r="F435" s="43">
        <v>80.3250478815809</v>
      </c>
      <c r="G435" s="43">
        <v>79.887763304184659</v>
      </c>
      <c r="H435" s="43">
        <v>79.370690569907424</v>
      </c>
      <c r="I435" s="43">
        <v>78.792563281077832</v>
      </c>
    </row>
    <row r="436" spans="1:9">
      <c r="A436" s="19">
        <v>403</v>
      </c>
      <c r="B436" s="43">
        <v>80.774158241452739</v>
      </c>
      <c r="C436" s="43">
        <v>80.930448112917503</v>
      </c>
      <c r="D436" s="43">
        <v>80.887162451894881</v>
      </c>
      <c r="E436" s="43">
        <v>80.682108072915156</v>
      </c>
      <c r="F436" s="43">
        <v>80.34759487737918</v>
      </c>
      <c r="G436" s="43">
        <v>79.9107037749732</v>
      </c>
      <c r="H436" s="43">
        <v>79.393963666038559</v>
      </c>
      <c r="I436" s="43">
        <v>78.816109957997099</v>
      </c>
    </row>
    <row r="437" spans="1:9">
      <c r="A437" s="19">
        <v>403.1</v>
      </c>
      <c r="B437" s="43">
        <v>80.794540241613504</v>
      </c>
      <c r="C437" s="43">
        <v>80.951449376260143</v>
      </c>
      <c r="D437" s="43">
        <v>80.908736847991634</v>
      </c>
      <c r="E437" s="43">
        <v>80.70419894239933</v>
      </c>
      <c r="F437" s="43">
        <v>80.370141231468125</v>
      </c>
      <c r="G437" s="43">
        <v>79.933643804206639</v>
      </c>
      <c r="H437" s="43">
        <v>79.417236548884659</v>
      </c>
      <c r="I437" s="43">
        <v>78.839656673916437</v>
      </c>
    </row>
    <row r="438" spans="1:9">
      <c r="A438" s="19">
        <v>403.2</v>
      </c>
      <c r="B438" s="43">
        <v>80.81492125494421</v>
      </c>
      <c r="C438" s="43">
        <v>80.972449644782216</v>
      </c>
      <c r="D438" s="43">
        <v>80.93031031452503</v>
      </c>
      <c r="E438" s="43">
        <v>80.726289004237373</v>
      </c>
      <c r="F438" s="43">
        <v>80.392686943505822</v>
      </c>
      <c r="G438" s="43">
        <v>79.956583391370344</v>
      </c>
      <c r="H438" s="43">
        <v>79.44050921775883</v>
      </c>
      <c r="I438" s="43">
        <v>78.863203427976515</v>
      </c>
    </row>
    <row r="439" spans="1:9">
      <c r="A439" s="19">
        <v>403.3</v>
      </c>
      <c r="B439" s="43">
        <v>80.835301281916429</v>
      </c>
      <c r="C439" s="43">
        <v>80.993448918746253</v>
      </c>
      <c r="D439" s="43">
        <v>80.951882851531906</v>
      </c>
      <c r="E439" s="43">
        <v>80.748378258267593</v>
      </c>
      <c r="F439" s="43">
        <v>80.415232013131771</v>
      </c>
      <c r="G439" s="43">
        <v>79.979522535905858</v>
      </c>
      <c r="H439" s="43">
        <v>79.463781671919577</v>
      </c>
      <c r="I439" s="43">
        <v>78.88675021924027</v>
      </c>
    </row>
    <row r="440" spans="1:9">
      <c r="A440" s="19">
        <v>403.4</v>
      </c>
      <c r="B440" s="43">
        <v>80.855680322988349</v>
      </c>
      <c r="C440" s="43">
        <v>81.014447198392219</v>
      </c>
      <c r="D440" s="43">
        <v>80.97345445905583</v>
      </c>
      <c r="E440" s="43">
        <v>80.770466704328044</v>
      </c>
      <c r="F440" s="43">
        <v>80.437776439995275</v>
      </c>
      <c r="G440" s="43">
        <v>80.002461237286582</v>
      </c>
      <c r="H440" s="43">
        <v>79.487053910651696</v>
      </c>
      <c r="I440" s="43">
        <v>78.910297046808239</v>
      </c>
    </row>
    <row r="441" spans="1:9">
      <c r="A441" s="19">
        <v>403.5</v>
      </c>
      <c r="B441" s="43">
        <v>80.876058378613095</v>
      </c>
      <c r="C441" s="43">
        <v>81.035444483964426</v>
      </c>
      <c r="D441" s="43">
        <v>80.995025137129829</v>
      </c>
      <c r="E441" s="43">
        <v>80.792554342257972</v>
      </c>
      <c r="F441" s="43">
        <v>80.460320223746635</v>
      </c>
      <c r="G441" s="43">
        <v>80.025399494980689</v>
      </c>
      <c r="H441" s="43">
        <v>79.5103259332287</v>
      </c>
      <c r="I441" s="43">
        <v>78.933843909774339</v>
      </c>
    </row>
    <row r="442" spans="1:9">
      <c r="A442" s="19">
        <v>403.6</v>
      </c>
      <c r="B442" s="43">
        <v>80.89643544927182</v>
      </c>
      <c r="C442" s="43">
        <v>81.056440775726031</v>
      </c>
      <c r="D442" s="43">
        <v>81.016594885798497</v>
      </c>
      <c r="E442" s="43">
        <v>80.814641171897762</v>
      </c>
      <c r="F442" s="43">
        <v>80.482863364032255</v>
      </c>
      <c r="G442" s="43">
        <v>80.048337308434384</v>
      </c>
      <c r="H442" s="43">
        <v>79.533597738934958</v>
      </c>
      <c r="I442" s="43">
        <v>78.957390807220378</v>
      </c>
    </row>
    <row r="443" spans="1:9">
      <c r="A443" s="19">
        <v>403.7</v>
      </c>
      <c r="B443" s="43">
        <v>80.916811535410545</v>
      </c>
      <c r="C443" s="43">
        <v>81.077436073914214</v>
      </c>
      <c r="D443" s="43">
        <v>81.038163705094689</v>
      </c>
      <c r="E443" s="43">
        <v>80.836727193087881</v>
      </c>
      <c r="F443" s="43">
        <v>80.505405860505931</v>
      </c>
      <c r="G443" s="43">
        <v>80.071274677132408</v>
      </c>
      <c r="H443" s="43">
        <v>79.556869327055551</v>
      </c>
      <c r="I443" s="43">
        <v>78.980937738267642</v>
      </c>
    </row>
    <row r="444" spans="1:9">
      <c r="A444" s="19">
        <v>403.8</v>
      </c>
      <c r="B444" s="43">
        <v>80.937186637492374</v>
      </c>
      <c r="C444" s="43">
        <v>81.09843037877468</v>
      </c>
      <c r="D444" s="43">
        <v>81.059731595066268</v>
      </c>
      <c r="E444" s="43">
        <v>80.858812405669454</v>
      </c>
      <c r="F444" s="43">
        <v>80.52794771281765</v>
      </c>
      <c r="G444" s="43">
        <v>80.094211600529718</v>
      </c>
      <c r="H444" s="43">
        <v>79.580140696868938</v>
      </c>
      <c r="I444" s="43">
        <v>79.004484701999388</v>
      </c>
    </row>
    <row r="445" spans="1:9">
      <c r="A445" s="19">
        <v>403.9</v>
      </c>
      <c r="B445" s="43">
        <v>80.957560755973475</v>
      </c>
      <c r="C445" s="43">
        <v>81.119423690563735</v>
      </c>
      <c r="D445" s="43">
        <v>81.08129855575072</v>
      </c>
      <c r="E445" s="43">
        <v>80.880896809485591</v>
      </c>
      <c r="F445" s="43">
        <v>80.550488920621518</v>
      </c>
      <c r="G445" s="43">
        <v>80.117148078103298</v>
      </c>
      <c r="H445" s="43">
        <v>79.603411847668042</v>
      </c>
      <c r="I445" s="43">
        <v>79.02803169752724</v>
      </c>
    </row>
    <row r="446" spans="1:9">
      <c r="A446" s="19">
        <v>404</v>
      </c>
      <c r="B446" s="43">
        <v>80.977933891314535</v>
      </c>
      <c r="C446" s="43">
        <v>81.140416009527286</v>
      </c>
      <c r="D446" s="43">
        <v>81.102864587185593</v>
      </c>
      <c r="E446" s="43">
        <v>80.90298040437844</v>
      </c>
      <c r="F446" s="43">
        <v>80.573029483570906</v>
      </c>
      <c r="G446" s="43">
        <v>80.140084109320242</v>
      </c>
      <c r="H446" s="43">
        <v>79.626682778745078</v>
      </c>
      <c r="I446" s="43">
        <v>79.051578723959352</v>
      </c>
    </row>
    <row r="447" spans="1:9">
      <c r="A447" s="19">
        <v>404.1</v>
      </c>
      <c r="B447" s="43">
        <v>80.99830604400637</v>
      </c>
      <c r="C447" s="43">
        <v>81.161407335929823</v>
      </c>
      <c r="D447" s="43">
        <v>81.124429689425824</v>
      </c>
      <c r="E447" s="43">
        <v>80.925063190193214</v>
      </c>
      <c r="F447" s="43">
        <v>80.595569401313838</v>
      </c>
      <c r="G447" s="43">
        <v>80.163019693639171</v>
      </c>
      <c r="H447" s="43">
        <v>79.649953489356704</v>
      </c>
      <c r="I447" s="43">
        <v>79.075125780355592</v>
      </c>
    </row>
    <row r="448" spans="1:9">
      <c r="A448" s="19">
        <v>404.2</v>
      </c>
      <c r="B448" s="43">
        <v>81.018677214473598</v>
      </c>
      <c r="C448" s="43">
        <v>81.182397670001592</v>
      </c>
      <c r="D448" s="43">
        <v>81.145993862505264</v>
      </c>
      <c r="E448" s="43">
        <v>80.947145166773311</v>
      </c>
      <c r="F448" s="43">
        <v>80.618108673513575</v>
      </c>
      <c r="G448" s="43">
        <v>80.185954830545086</v>
      </c>
      <c r="H448" s="43">
        <v>79.673223978821881</v>
      </c>
      <c r="I448" s="43">
        <v>79.098672865863733</v>
      </c>
    </row>
    <row r="449" spans="1:9">
      <c r="A449" s="19">
        <v>404.3</v>
      </c>
      <c r="B449" s="43">
        <v>81.039047403203881</v>
      </c>
      <c r="C449" s="43">
        <v>81.203387012013906</v>
      </c>
      <c r="D449" s="43">
        <v>81.167557106469218</v>
      </c>
      <c r="E449" s="43">
        <v>80.969226333965082</v>
      </c>
      <c r="F449" s="43">
        <v>80.64064729982087</v>
      </c>
      <c r="G449" s="43">
        <v>80.208889519501014</v>
      </c>
      <c r="H449" s="43">
        <v>79.696494246411646</v>
      </c>
      <c r="I449" s="43">
        <v>79.12221997956604</v>
      </c>
    </row>
    <row r="450" spans="1:9">
      <c r="A450" s="19">
        <v>404.4</v>
      </c>
      <c r="B450" s="43">
        <v>81.059416610643581</v>
      </c>
      <c r="C450" s="43">
        <v>81.224375362205876</v>
      </c>
      <c r="D450" s="43">
        <v>81.18911942136512</v>
      </c>
      <c r="E450" s="43">
        <v>80.991306691614142</v>
      </c>
      <c r="F450" s="43">
        <v>80.663185279894975</v>
      </c>
      <c r="G450" s="43">
        <v>80.231823759986128</v>
      </c>
      <c r="H450" s="43">
        <v>79.719764291426031</v>
      </c>
      <c r="I450" s="43">
        <v>79.1457671205888</v>
      </c>
    </row>
    <row r="451" spans="1:9">
      <c r="A451" s="19">
        <v>404.5</v>
      </c>
      <c r="B451" s="43">
        <v>81.079784837267141</v>
      </c>
      <c r="C451" s="43">
        <v>81.245362720835175</v>
      </c>
      <c r="D451" s="43">
        <v>81.210680807232308</v>
      </c>
      <c r="E451" s="43">
        <v>81.013386239567353</v>
      </c>
      <c r="F451" s="43">
        <v>80.68572261339483</v>
      </c>
      <c r="G451" s="43">
        <v>80.254757551472579</v>
      </c>
      <c r="H451" s="43">
        <v>79.743034113164043</v>
      </c>
      <c r="I451" s="43">
        <v>79.169314288028346</v>
      </c>
    </row>
    <row r="452" spans="1:9">
      <c r="A452" s="19">
        <v>404.6</v>
      </c>
      <c r="B452" s="43">
        <v>81.100152083556765</v>
      </c>
      <c r="C452" s="43">
        <v>81.26634908817249</v>
      </c>
      <c r="D452" s="43">
        <v>81.232241264127822</v>
      </c>
      <c r="E452" s="43">
        <v>81.035464977674081</v>
      </c>
      <c r="F452" s="43">
        <v>80.708259299970393</v>
      </c>
      <c r="G452" s="43">
        <v>80.27769089342263</v>
      </c>
      <c r="H452" s="43">
        <v>79.766303710885182</v>
      </c>
      <c r="I452" s="43">
        <v>79.192861480968702</v>
      </c>
    </row>
    <row r="453" spans="1:9">
      <c r="A453" s="19">
        <v>404.7</v>
      </c>
      <c r="B453" s="43">
        <v>81.120518349953585</v>
      </c>
      <c r="C453" s="43">
        <v>81.287334464453721</v>
      </c>
      <c r="D453" s="43">
        <v>81.253800792092278</v>
      </c>
      <c r="E453" s="43">
        <v>81.05754290578119</v>
      </c>
      <c r="F453" s="43">
        <v>80.730795339289216</v>
      </c>
      <c r="G453" s="43">
        <v>80.300623785326195</v>
      </c>
      <c r="H453" s="43">
        <v>79.789573083912558</v>
      </c>
      <c r="I453" s="43">
        <v>79.216408698545735</v>
      </c>
    </row>
    <row r="454" spans="1:9">
      <c r="A454" s="19">
        <v>404.8</v>
      </c>
      <c r="B454" s="43">
        <v>81.140883636920591</v>
      </c>
      <c r="C454" s="43">
        <v>81.308318849927275</v>
      </c>
      <c r="D454" s="43">
        <v>81.275359391167171</v>
      </c>
      <c r="E454" s="43">
        <v>81.0796200237383</v>
      </c>
      <c r="F454" s="43">
        <v>80.75333073101234</v>
      </c>
      <c r="G454" s="43">
        <v>80.323556226663214</v>
      </c>
      <c r="H454" s="43">
        <v>79.812842231545943</v>
      </c>
      <c r="I454" s="43">
        <v>79.239955939888716</v>
      </c>
    </row>
    <row r="455" spans="1:9">
      <c r="A455" s="19">
        <v>404.9</v>
      </c>
      <c r="B455" s="43">
        <v>81.161247944945359</v>
      </c>
      <c r="C455" s="43">
        <v>81.32930224486492</v>
      </c>
      <c r="D455" s="43">
        <v>81.296917061410937</v>
      </c>
      <c r="E455" s="43">
        <v>81.101696331395999</v>
      </c>
      <c r="F455" s="43">
        <v>80.775865474795921</v>
      </c>
      <c r="G455" s="43">
        <v>80.346488216899417</v>
      </c>
      <c r="H455" s="43">
        <v>79.836111153060671</v>
      </c>
      <c r="I455" s="43">
        <v>79.263503204080536</v>
      </c>
    </row>
    <row r="456" spans="1:9">
      <c r="A456" s="19">
        <v>405</v>
      </c>
      <c r="B456" s="43">
        <v>81.181611274469475</v>
      </c>
      <c r="C456" s="43">
        <v>81.350284649515459</v>
      </c>
      <c r="D456" s="43">
        <v>81.318473802864446</v>
      </c>
      <c r="E456" s="43">
        <v>81.123771828604674</v>
      </c>
      <c r="F456" s="43">
        <v>80.798399570306572</v>
      </c>
      <c r="G456" s="43">
        <v>80.369419755523666</v>
      </c>
      <c r="H456" s="43">
        <v>79.85937984776541</v>
      </c>
      <c r="I456" s="43">
        <v>79.287050490250863</v>
      </c>
    </row>
    <row r="457" spans="1:9">
      <c r="A457" s="19">
        <v>405.1</v>
      </c>
      <c r="B457" s="43">
        <v>81.201973625991229</v>
      </c>
      <c r="C457" s="43">
        <v>81.371266064145431</v>
      </c>
      <c r="D457" s="43">
        <v>81.340029615586758</v>
      </c>
      <c r="E457" s="43">
        <v>81.145846515217471</v>
      </c>
      <c r="F457" s="43">
        <v>80.820933017200389</v>
      </c>
      <c r="G457" s="43">
        <v>80.392350842002514</v>
      </c>
      <c r="H457" s="43">
        <v>79.882648314938194</v>
      </c>
      <c r="I457" s="43">
        <v>79.310597797483268</v>
      </c>
    </row>
    <row r="458" spans="1:9">
      <c r="A458" s="19">
        <v>405.2</v>
      </c>
      <c r="B458" s="43">
        <v>81.222334999962811</v>
      </c>
      <c r="C458" s="43">
        <v>81.392246489004634</v>
      </c>
      <c r="D458" s="43">
        <v>81.361584499622381</v>
      </c>
      <c r="E458" s="43">
        <v>81.167920391085147</v>
      </c>
      <c r="F458" s="43">
        <v>80.843465815147027</v>
      </c>
      <c r="G458" s="43">
        <v>80.415281475824429</v>
      </c>
      <c r="H458" s="43">
        <v>79.905916553909094</v>
      </c>
      <c r="I458" s="43">
        <v>79.334145124926266</v>
      </c>
    </row>
    <row r="459" spans="1:9">
      <c r="A459" s="19">
        <v>405.3</v>
      </c>
      <c r="B459" s="43">
        <v>81.242695396848887</v>
      </c>
      <c r="C459" s="43">
        <v>81.41322592435381</v>
      </c>
      <c r="D459" s="43">
        <v>81.383138455022362</v>
      </c>
      <c r="E459" s="43">
        <v>81.18999345606187</v>
      </c>
      <c r="F459" s="43">
        <v>80.865997963807359</v>
      </c>
      <c r="G459" s="43">
        <v>80.438211656469775</v>
      </c>
      <c r="H459" s="43">
        <v>79.929184563954209</v>
      </c>
      <c r="I459" s="43">
        <v>79.357692471683464</v>
      </c>
    </row>
    <row r="460" spans="1:9">
      <c r="A460" s="19">
        <v>405.4</v>
      </c>
      <c r="B460" s="43">
        <v>81.263054817117535</v>
      </c>
      <c r="C460" s="43">
        <v>81.434204370451766</v>
      </c>
      <c r="D460" s="43">
        <v>81.404691481833851</v>
      </c>
      <c r="E460" s="43">
        <v>81.212065710000871</v>
      </c>
      <c r="F460" s="43">
        <v>80.88852946285192</v>
      </c>
      <c r="G460" s="43">
        <v>80.461141383429805</v>
      </c>
      <c r="H460" s="43">
        <v>79.952452344390395</v>
      </c>
      <c r="I460" s="43">
        <v>79.381239836892064</v>
      </c>
    </row>
    <row r="461" spans="1:9">
      <c r="A461" s="19">
        <v>405.5</v>
      </c>
      <c r="B461" s="43">
        <v>81.283413261232027</v>
      </c>
      <c r="C461" s="43">
        <v>81.455181827543925</v>
      </c>
      <c r="D461" s="43">
        <v>81.426243580113578</v>
      </c>
      <c r="E461" s="43">
        <v>81.234137152757171</v>
      </c>
      <c r="F461" s="43">
        <v>80.911060311943174</v>
      </c>
      <c r="G461" s="43">
        <v>80.484070656179597</v>
      </c>
      <c r="H461" s="43">
        <v>79.97571989452095</v>
      </c>
      <c r="I461" s="43">
        <v>79.404787219656669</v>
      </c>
    </row>
    <row r="462" spans="1:9">
      <c r="A462" s="19">
        <v>405.6</v>
      </c>
      <c r="B462" s="43">
        <v>81.303770729692332</v>
      </c>
      <c r="C462" s="43">
        <v>81.476158295922744</v>
      </c>
      <c r="D462" s="43">
        <v>81.447794749924924</v>
      </c>
      <c r="E462" s="43">
        <v>81.256207784187808</v>
      </c>
      <c r="F462" s="43">
        <v>80.933590510746228</v>
      </c>
      <c r="G462" s="43">
        <v>80.506999474195254</v>
      </c>
      <c r="H462" s="43">
        <v>79.998987213624787</v>
      </c>
      <c r="I462" s="43">
        <v>79.428334619079379</v>
      </c>
    </row>
    <row r="463" spans="1:9">
      <c r="A463" s="19">
        <v>405.7</v>
      </c>
      <c r="B463" s="43">
        <v>81.324127222943133</v>
      </c>
      <c r="C463" s="43">
        <v>81.497133775822221</v>
      </c>
      <c r="D463" s="43">
        <v>81.469344991305292</v>
      </c>
      <c r="E463" s="43">
        <v>81.278277604147462</v>
      </c>
      <c r="F463" s="43">
        <v>80.956120058932896</v>
      </c>
      <c r="G463" s="43">
        <v>80.52992783697303</v>
      </c>
      <c r="H463" s="43">
        <v>80.022254301029591</v>
      </c>
      <c r="I463" s="43">
        <v>79.451882034308312</v>
      </c>
    </row>
    <row r="464" spans="1:9">
      <c r="A464" s="19">
        <v>405.8</v>
      </c>
      <c r="B464" s="43">
        <v>81.344482741450463</v>
      </c>
      <c r="C464" s="43">
        <v>81.518108267511025</v>
      </c>
      <c r="D464" s="43">
        <v>81.490894304316726</v>
      </c>
      <c r="E464" s="43">
        <v>81.300346612493541</v>
      </c>
      <c r="F464" s="43">
        <v>80.978648956172293</v>
      </c>
      <c r="G464" s="43">
        <v>80.552855744004205</v>
      </c>
      <c r="H464" s="43">
        <v>80.045521156034965</v>
      </c>
      <c r="I464" s="43">
        <v>79.47542946446967</v>
      </c>
    </row>
    <row r="465" spans="1:9">
      <c r="A465" s="19">
        <v>405.9</v>
      </c>
      <c r="B465" s="43">
        <v>81.364837285702009</v>
      </c>
      <c r="C465" s="43">
        <v>81.539081771246657</v>
      </c>
      <c r="D465" s="43">
        <v>81.512442689011294</v>
      </c>
      <c r="E465" s="43">
        <v>81.322414809083966</v>
      </c>
      <c r="F465" s="43">
        <v>81.001177202131231</v>
      </c>
      <c r="G465" s="43">
        <v>80.575783194765222</v>
      </c>
      <c r="H465" s="43">
        <v>80.068787777951314</v>
      </c>
      <c r="I465" s="43">
        <v>79.498976908670898</v>
      </c>
    </row>
    <row r="466" spans="1:9">
      <c r="A466" s="19">
        <v>406</v>
      </c>
      <c r="B466" s="43">
        <v>81.385190856160335</v>
      </c>
      <c r="C466" s="43">
        <v>81.560054287298897</v>
      </c>
      <c r="D466" s="43">
        <v>81.533990145451298</v>
      </c>
      <c r="E466" s="43">
        <v>81.344482193777878</v>
      </c>
      <c r="F466" s="43">
        <v>81.023704796483287</v>
      </c>
      <c r="G466" s="43">
        <v>80.598710188746708</v>
      </c>
      <c r="H466" s="43">
        <v>80.092054166077219</v>
      </c>
      <c r="I466" s="43">
        <v>79.522524366050106</v>
      </c>
    </row>
    <row r="467" spans="1:9">
      <c r="A467" s="19">
        <v>406.1</v>
      </c>
      <c r="B467" s="43">
        <v>81.40554345331077</v>
      </c>
      <c r="C467" s="43">
        <v>81.581025815936101</v>
      </c>
      <c r="D467" s="43">
        <v>81.555536673690824</v>
      </c>
      <c r="E467" s="43">
        <v>81.366548766435102</v>
      </c>
      <c r="F467" s="43">
        <v>81.046231738895273</v>
      </c>
      <c r="G467" s="43">
        <v>80.621636725433916</v>
      </c>
      <c r="H467" s="43">
        <v>80.115320319717796</v>
      </c>
      <c r="I467" s="43">
        <v>79.546071835710023</v>
      </c>
    </row>
    <row r="468" spans="1:9">
      <c r="A468" s="19">
        <v>406.2</v>
      </c>
      <c r="B468" s="43">
        <v>81.425895077608459</v>
      </c>
      <c r="C468" s="43">
        <v>81.601996357408069</v>
      </c>
      <c r="D468" s="43">
        <v>81.577082273781713</v>
      </c>
      <c r="E468" s="43">
        <v>81.388614526914552</v>
      </c>
      <c r="F468" s="43">
        <v>81.068758029046535</v>
      </c>
      <c r="G468" s="43">
        <v>80.64456280433194</v>
      </c>
      <c r="H468" s="43">
        <v>80.138586238204624</v>
      </c>
      <c r="I468" s="43">
        <v>79.569619316815192</v>
      </c>
    </row>
    <row r="469" spans="1:9">
      <c r="A469" s="19">
        <v>406.3</v>
      </c>
      <c r="B469" s="43">
        <v>81.446245729530403</v>
      </c>
      <c r="C469" s="43">
        <v>81.622965911986995</v>
      </c>
      <c r="D469" s="43">
        <v>81.598626945785782</v>
      </c>
      <c r="E469" s="43">
        <v>81.410679475077529</v>
      </c>
      <c r="F469" s="43">
        <v>81.0912836666038</v>
      </c>
      <c r="G469" s="43">
        <v>80.667488424918162</v>
      </c>
      <c r="H469" s="43">
        <v>80.161851920829491</v>
      </c>
      <c r="I469" s="43">
        <v>79.593166808474479</v>
      </c>
    </row>
    <row r="470" spans="1:9">
      <c r="A470" s="19">
        <v>406.4</v>
      </c>
      <c r="B470" s="43">
        <v>81.466595409563951</v>
      </c>
      <c r="C470" s="43">
        <v>81.643934479933449</v>
      </c>
      <c r="D470" s="43">
        <v>81.620170689763057</v>
      </c>
      <c r="E470" s="43">
        <v>81.432743610786304</v>
      </c>
      <c r="F470" s="43">
        <v>81.11380865124471</v>
      </c>
      <c r="G470" s="43">
        <v>80.690413586692017</v>
      </c>
      <c r="H470" s="43">
        <v>80.185117366914199</v>
      </c>
      <c r="I470" s="43">
        <v>79.616714309820509</v>
      </c>
    </row>
    <row r="471" spans="1:9">
      <c r="A471" s="19">
        <v>406.5</v>
      </c>
      <c r="B471" s="43">
        <v>81.486944118149239</v>
      </c>
      <c r="C471" s="43">
        <v>81.664902061507803</v>
      </c>
      <c r="D471" s="43">
        <v>81.641713505764841</v>
      </c>
      <c r="E471" s="43">
        <v>81.454806933902233</v>
      </c>
      <c r="F471" s="43">
        <v>81.13633298264628</v>
      </c>
      <c r="G471" s="43">
        <v>80.713338289149846</v>
      </c>
      <c r="H471" s="43">
        <v>80.208382575774692</v>
      </c>
      <c r="I471" s="43">
        <v>79.640261820000859</v>
      </c>
    </row>
    <row r="472" spans="1:9">
      <c r="A472" s="19">
        <v>406.6</v>
      </c>
      <c r="B472" s="43">
        <v>81.507291855807921</v>
      </c>
      <c r="C472" s="43">
        <v>81.685868656999844</v>
      </c>
      <c r="D472" s="43">
        <v>81.663255393865569</v>
      </c>
      <c r="E472" s="43">
        <v>81.476869444291282</v>
      </c>
      <c r="F472" s="43">
        <v>81.158856660477284</v>
      </c>
      <c r="G472" s="43">
        <v>80.736262531767721</v>
      </c>
      <c r="H472" s="43">
        <v>80.231647546705943</v>
      </c>
      <c r="I472" s="43">
        <v>79.663809338112941</v>
      </c>
    </row>
    <row r="473" spans="1:9">
      <c r="A473" s="19">
        <v>406.7</v>
      </c>
      <c r="B473" s="43">
        <v>81.527638622986785</v>
      </c>
      <c r="C473" s="43">
        <v>81.70683426665255</v>
      </c>
      <c r="D473" s="43">
        <v>81.68479635411353</v>
      </c>
      <c r="E473" s="43">
        <v>81.498931141814694</v>
      </c>
      <c r="F473" s="43">
        <v>81.181379684419653</v>
      </c>
      <c r="G473" s="43">
        <v>80.759186314058439</v>
      </c>
      <c r="H473" s="43">
        <v>80.254912279042458</v>
      </c>
      <c r="I473" s="43">
        <v>79.687356863317859</v>
      </c>
    </row>
    <row r="474" spans="1:9">
      <c r="A474" s="19">
        <v>406.8</v>
      </c>
      <c r="B474" s="43">
        <v>81.547984420159992</v>
      </c>
      <c r="C474" s="43">
        <v>81.727798890740672</v>
      </c>
      <c r="D474" s="43">
        <v>81.706336386575856</v>
      </c>
      <c r="E474" s="43">
        <v>81.520992026339059</v>
      </c>
      <c r="F474" s="43">
        <v>81.203902054149921</v>
      </c>
      <c r="G474" s="43">
        <v>80.782109635511262</v>
      </c>
      <c r="H474" s="43">
        <v>80.278176772091683</v>
      </c>
      <c r="I474" s="43">
        <v>79.710904394749974</v>
      </c>
    </row>
    <row r="475" spans="1:9">
      <c r="A475" s="19">
        <v>406.9</v>
      </c>
      <c r="B475" s="43">
        <v>81.568329247808208</v>
      </c>
      <c r="C475" s="43">
        <v>81.748762529534247</v>
      </c>
      <c r="D475" s="43">
        <v>81.72787549131192</v>
      </c>
      <c r="E475" s="43">
        <v>81.543052097728747</v>
      </c>
      <c r="F475" s="43">
        <v>81.226423769345303</v>
      </c>
      <c r="G475" s="43">
        <v>80.80503249562463</v>
      </c>
      <c r="H475" s="43">
        <v>80.301441025172238</v>
      </c>
      <c r="I475" s="43">
        <v>79.734451931531055</v>
      </c>
    </row>
    <row r="476" spans="1:9">
      <c r="A476" s="19">
        <v>407</v>
      </c>
      <c r="B476" s="43">
        <v>81.58867310640025</v>
      </c>
      <c r="C476" s="43">
        <v>81.769725183284464</v>
      </c>
      <c r="D476" s="43">
        <v>81.74941366838172</v>
      </c>
      <c r="E476" s="43">
        <v>81.565111355849155</v>
      </c>
      <c r="F476" s="43">
        <v>81.248944829690544</v>
      </c>
      <c r="G476" s="43">
        <v>80.827954893905286</v>
      </c>
      <c r="H476" s="43">
        <v>80.32470503762076</v>
      </c>
      <c r="I476" s="43">
        <v>79.757999472832552</v>
      </c>
    </row>
    <row r="477" spans="1:9">
      <c r="A477" s="19">
        <v>407.1</v>
      </c>
      <c r="B477" s="43">
        <v>81.609015996437307</v>
      </c>
      <c r="C477" s="43">
        <v>81.790686852293447</v>
      </c>
      <c r="D477" s="43">
        <v>81.770950917857789</v>
      </c>
      <c r="E477" s="43">
        <v>81.587169800570791</v>
      </c>
      <c r="F477" s="43">
        <v>81.271465234854787</v>
      </c>
      <c r="G477" s="43">
        <v>80.850876829830781</v>
      </c>
      <c r="H477" s="43">
        <v>80.347968808723522</v>
      </c>
      <c r="I477" s="43">
        <v>79.781547017744515</v>
      </c>
    </row>
    <row r="478" spans="1:9">
      <c r="A478" s="19">
        <v>407.2</v>
      </c>
      <c r="B478" s="43">
        <v>81.629357918380776</v>
      </c>
      <c r="C478" s="43">
        <v>81.811647536810483</v>
      </c>
      <c r="D478" s="43">
        <v>81.792487239798191</v>
      </c>
      <c r="E478" s="43">
        <v>81.60922743175928</v>
      </c>
      <c r="F478" s="43">
        <v>81.293984984528663</v>
      </c>
      <c r="G478" s="43">
        <v>80.873798302916413</v>
      </c>
      <c r="H478" s="43">
        <v>80.371232337823386</v>
      </c>
      <c r="I478" s="43">
        <v>79.805094565451242</v>
      </c>
    </row>
    <row r="479" spans="1:9">
      <c r="A479" s="19">
        <v>407.3</v>
      </c>
      <c r="B479" s="43">
        <v>81.649698872700782</v>
      </c>
      <c r="C479" s="43">
        <v>81.83260723710157</v>
      </c>
      <c r="D479" s="43">
        <v>81.814022634265797</v>
      </c>
      <c r="E479" s="43">
        <v>81.631284249282999</v>
      </c>
      <c r="F479" s="43">
        <v>81.316504078390153</v>
      </c>
      <c r="G479" s="43">
        <v>80.896719312662839</v>
      </c>
      <c r="H479" s="43">
        <v>80.394495624239312</v>
      </c>
      <c r="I479" s="43">
        <v>79.828642115074558</v>
      </c>
    </row>
    <row r="480" spans="1:9">
      <c r="A480" s="19">
        <v>407.4</v>
      </c>
      <c r="B480" s="43">
        <v>81.67003885988774</v>
      </c>
      <c r="C480" s="43">
        <v>81.853565953445298</v>
      </c>
      <c r="D480" s="43">
        <v>81.835557101328448</v>
      </c>
      <c r="E480" s="43">
        <v>81.653340253012203</v>
      </c>
      <c r="F480" s="43">
        <v>81.339022516121332</v>
      </c>
      <c r="G480" s="43">
        <v>80.919639858566427</v>
      </c>
      <c r="H480" s="43">
        <v>80.417758667290428</v>
      </c>
      <c r="I480" s="43">
        <v>79.852189665752149</v>
      </c>
    </row>
    <row r="481" spans="1:9">
      <c r="A481" s="19">
        <v>407.5</v>
      </c>
      <c r="B481" s="43">
        <v>81.690377880411631</v>
      </c>
      <c r="C481" s="43">
        <v>81.874523686111303</v>
      </c>
      <c r="D481" s="43">
        <v>81.857090641052707</v>
      </c>
      <c r="E481" s="43">
        <v>81.675395442816836</v>
      </c>
      <c r="F481" s="43">
        <v>81.361540297407203</v>
      </c>
      <c r="G481" s="43">
        <v>80.942559940136476</v>
      </c>
      <c r="H481" s="43">
        <v>80.441021466306154</v>
      </c>
      <c r="I481" s="43">
        <v>79.875737216638214</v>
      </c>
    </row>
    <row r="482" spans="1:9">
      <c r="A482" s="19">
        <v>407.6</v>
      </c>
      <c r="B482" s="43">
        <v>81.710715934771969</v>
      </c>
      <c r="C482" s="43">
        <v>81.89548043538116</v>
      </c>
      <c r="D482" s="43">
        <v>81.87862325351162</v>
      </c>
      <c r="E482" s="43">
        <v>81.697449818568828</v>
      </c>
      <c r="F482" s="43">
        <v>81.384057421929953</v>
      </c>
      <c r="G482" s="43">
        <v>80.965479556864466</v>
      </c>
      <c r="H482" s="43">
        <v>80.464284020597745</v>
      </c>
      <c r="I482" s="43">
        <v>79.899284766865605</v>
      </c>
    </row>
    <row r="483" spans="1:9">
      <c r="A483" s="19">
        <v>407.7</v>
      </c>
      <c r="B483" s="43">
        <v>81.731053023417957</v>
      </c>
      <c r="C483" s="43">
        <v>81.916436201505178</v>
      </c>
      <c r="D483" s="43">
        <v>81.900154938756913</v>
      </c>
      <c r="E483" s="43">
        <v>81.719503380137127</v>
      </c>
      <c r="F483" s="43">
        <v>81.40657388937899</v>
      </c>
      <c r="G483" s="43">
        <v>80.988398708273593</v>
      </c>
      <c r="H483" s="43">
        <v>80.487546329514629</v>
      </c>
      <c r="I483" s="43">
        <v>79.922832315601511</v>
      </c>
    </row>
    <row r="484" spans="1:9">
      <c r="A484" s="19">
        <v>407.8</v>
      </c>
      <c r="B484" s="43">
        <v>81.751389146845412</v>
      </c>
      <c r="C484" s="43">
        <v>81.937390984774424</v>
      </c>
      <c r="D484" s="43">
        <v>81.921685696867058</v>
      </c>
      <c r="E484" s="43">
        <v>81.741556127397587</v>
      </c>
      <c r="F484" s="43">
        <v>81.429089699436958</v>
      </c>
      <c r="G484" s="43">
        <v>81.011317393856615</v>
      </c>
      <c r="H484" s="43">
        <v>80.510808392365561</v>
      </c>
      <c r="I484" s="43">
        <v>79.946379861978329</v>
      </c>
    </row>
    <row r="485" spans="1:9">
      <c r="A485" s="19">
        <v>407.9</v>
      </c>
      <c r="B485" s="43">
        <v>81.771724305536225</v>
      </c>
      <c r="C485" s="43">
        <v>81.958344785458536</v>
      </c>
      <c r="D485" s="43">
        <v>81.943215527913139</v>
      </c>
      <c r="E485" s="43">
        <v>81.763608060220804</v>
      </c>
      <c r="F485" s="43">
        <v>81.45160485179079</v>
      </c>
      <c r="G485" s="43">
        <v>81.034235613117204</v>
      </c>
      <c r="H485" s="43">
        <v>80.534070208480529</v>
      </c>
      <c r="I485" s="43">
        <v>79.969927405141647</v>
      </c>
    </row>
    <row r="486" spans="1:9">
      <c r="A486" s="19">
        <v>408</v>
      </c>
      <c r="B486" s="43">
        <v>81.792058499965464</v>
      </c>
      <c r="C486" s="43">
        <v>81.979297603827263</v>
      </c>
      <c r="D486" s="43">
        <v>81.964744431956888</v>
      </c>
      <c r="E486" s="43">
        <v>81.785659178481211</v>
      </c>
      <c r="F486" s="43">
        <v>81.474119346130578</v>
      </c>
      <c r="G486" s="43">
        <v>81.057153365572788</v>
      </c>
      <c r="H486" s="43">
        <v>80.557331777201682</v>
      </c>
      <c r="I486" s="43">
        <v>79.99347494426712</v>
      </c>
    </row>
    <row r="487" spans="1:9">
      <c r="A487" s="19">
        <v>408.1</v>
      </c>
      <c r="B487" s="43">
        <v>81.812391730630054</v>
      </c>
      <c r="C487" s="43">
        <v>82.000249440168943</v>
      </c>
      <c r="D487" s="43">
        <v>81.986272409079817</v>
      </c>
      <c r="E487" s="43">
        <v>81.807709482056566</v>
      </c>
      <c r="F487" s="43">
        <v>81.496633182139703</v>
      </c>
      <c r="G487" s="43">
        <v>81.080070650721723</v>
      </c>
      <c r="H487" s="43">
        <v>80.580593097835987</v>
      </c>
      <c r="I487" s="43">
        <v>80.01702247846066</v>
      </c>
    </row>
    <row r="488" spans="1:9">
      <c r="A488" s="19">
        <v>408.2</v>
      </c>
      <c r="B488" s="43">
        <v>81.83272399799344</v>
      </c>
      <c r="C488" s="43">
        <v>82.021200294738037</v>
      </c>
      <c r="D488" s="43">
        <v>82.007799459335985</v>
      </c>
      <c r="E488" s="43">
        <v>81.829758970817522</v>
      </c>
      <c r="F488" s="43">
        <v>81.519146359515076</v>
      </c>
      <c r="G488" s="43">
        <v>81.102987468087719</v>
      </c>
      <c r="H488" s="43">
        <v>80.603854169743272</v>
      </c>
      <c r="I488" s="43">
        <v>80.040570006913441</v>
      </c>
    </row>
    <row r="489" spans="1:9">
      <c r="A489" s="19">
        <v>408.3</v>
      </c>
      <c r="B489" s="43">
        <v>81.85305530254243</v>
      </c>
      <c r="C489" s="43">
        <v>82.042150167830073</v>
      </c>
      <c r="D489" s="43">
        <v>82.029325582812959</v>
      </c>
      <c r="E489" s="43">
        <v>81.851807644643799</v>
      </c>
      <c r="F489" s="43">
        <v>81.541658877941643</v>
      </c>
      <c r="G489" s="43">
        <v>81.125903817166972</v>
      </c>
      <c r="H489" s="43">
        <v>80.627114992238091</v>
      </c>
      <c r="I489" s="43">
        <v>80.064117528770254</v>
      </c>
    </row>
    <row r="490" spans="1:9">
      <c r="A490" s="19">
        <v>408.4</v>
      </c>
      <c r="B490" s="43">
        <v>81.873385644769144</v>
      </c>
      <c r="C490" s="43">
        <v>82.06309905970619</v>
      </c>
      <c r="D490" s="43">
        <v>82.050850779576365</v>
      </c>
      <c r="E490" s="43">
        <v>81.873855503410994</v>
      </c>
      <c r="F490" s="43">
        <v>81.564170737111823</v>
      </c>
      <c r="G490" s="43">
        <v>81.148819697475943</v>
      </c>
      <c r="H490" s="43">
        <v>80.650375564649067</v>
      </c>
      <c r="I490" s="43">
        <v>80.087665043174241</v>
      </c>
    </row>
    <row r="491" spans="1:9">
      <c r="A491" s="19">
        <v>408.5</v>
      </c>
      <c r="B491" s="43">
        <v>81.893715025137112</v>
      </c>
      <c r="C491" s="43">
        <v>82.084046970645034</v>
      </c>
      <c r="D491" s="43">
        <v>82.072375049692596</v>
      </c>
      <c r="E491" s="43">
        <v>81.895902546996354</v>
      </c>
      <c r="F491" s="43">
        <v>81.586681936719799</v>
      </c>
      <c r="G491" s="43">
        <v>81.171735108533653</v>
      </c>
      <c r="H491" s="43">
        <v>80.673635886334409</v>
      </c>
      <c r="I491" s="43">
        <v>80.111212549299296</v>
      </c>
    </row>
    <row r="492" spans="1:9">
      <c r="A492" s="19">
        <v>408.6</v>
      </c>
      <c r="B492" s="43">
        <v>81.914043444167248</v>
      </c>
      <c r="C492" s="43">
        <v>82.104993900949665</v>
      </c>
      <c r="D492" s="43">
        <v>82.093898393253454</v>
      </c>
      <c r="E492" s="43">
        <v>81.917948775282156</v>
      </c>
      <c r="F492" s="43">
        <v>81.609192476452648</v>
      </c>
      <c r="G492" s="43">
        <v>81.1946500498359</v>
      </c>
      <c r="H492" s="43">
        <v>80.69689595659915</v>
      </c>
      <c r="I492" s="43">
        <v>80.13476004627654</v>
      </c>
    </row>
    <row r="493" spans="1:9">
      <c r="A493" s="19">
        <v>408.7</v>
      </c>
      <c r="B493" s="43">
        <v>81.93437090230978</v>
      </c>
      <c r="C493" s="43">
        <v>82.125939850865109</v>
      </c>
      <c r="D493" s="43">
        <v>82.115420810314504</v>
      </c>
      <c r="E493" s="43">
        <v>81.939994188142833</v>
      </c>
      <c r="F493" s="43">
        <v>81.63170235601109</v>
      </c>
      <c r="G493" s="43">
        <v>81.217564520914522</v>
      </c>
      <c r="H493" s="43">
        <v>80.720155774803203</v>
      </c>
      <c r="I493" s="43">
        <v>80.158307533288564</v>
      </c>
    </row>
    <row r="494" spans="1:9">
      <c r="A494" s="19">
        <v>408.8</v>
      </c>
      <c r="B494" s="43">
        <v>81.954697400062798</v>
      </c>
      <c r="C494" s="43">
        <v>82.146884820692833</v>
      </c>
      <c r="D494" s="43">
        <v>82.136942300960158</v>
      </c>
      <c r="E494" s="43">
        <v>81.962038785462084</v>
      </c>
      <c r="F494" s="43">
        <v>81.654211575083394</v>
      </c>
      <c r="G494" s="43">
        <v>81.240478521275179</v>
      </c>
      <c r="H494" s="43">
        <v>80.743415340274623</v>
      </c>
      <c r="I494" s="43">
        <v>80.181855009478198</v>
      </c>
    </row>
    <row r="495" spans="1:9">
      <c r="A495" s="19">
        <v>408.9</v>
      </c>
      <c r="B495" s="43">
        <v>81.975022937898501</v>
      </c>
      <c r="C495" s="43">
        <v>82.16782881069912</v>
      </c>
      <c r="D495" s="43">
        <v>82.158462865262408</v>
      </c>
      <c r="E495" s="43">
        <v>81.984082567117639</v>
      </c>
      <c r="F495" s="43">
        <v>81.676720133370083</v>
      </c>
      <c r="G495" s="43">
        <v>81.263392050438739</v>
      </c>
      <c r="H495" s="43">
        <v>80.766674652358091</v>
      </c>
      <c r="I495" s="43">
        <v>80.20540247402127</v>
      </c>
    </row>
    <row r="496" spans="1:9">
      <c r="A496" s="19">
        <v>409</v>
      </c>
      <c r="B496" s="43">
        <v>81.995347516317707</v>
      </c>
      <c r="C496" s="43">
        <v>82.188771821161225</v>
      </c>
      <c r="D496" s="43">
        <v>82.179982503293587</v>
      </c>
      <c r="E496" s="43">
        <v>82.006125532992456</v>
      </c>
      <c r="F496" s="43">
        <v>81.699228030565337</v>
      </c>
      <c r="G496" s="43">
        <v>81.286305107919674</v>
      </c>
      <c r="H496" s="43">
        <v>80.789933710392944</v>
      </c>
      <c r="I496" s="43">
        <v>80.22894992607911</v>
      </c>
    </row>
    <row r="497" spans="1:9">
      <c r="A497" s="19">
        <v>409.1</v>
      </c>
      <c r="B497" s="43">
        <v>82.015671135818167</v>
      </c>
      <c r="C497" s="43">
        <v>82.209713852385164</v>
      </c>
      <c r="D497" s="43">
        <v>82.201501215144816</v>
      </c>
      <c r="E497" s="43">
        <v>82.028167682970405</v>
      </c>
      <c r="F497" s="43">
        <v>81.721735266364163</v>
      </c>
      <c r="G497" s="43">
        <v>81.309217693234615</v>
      </c>
      <c r="H497" s="43">
        <v>80.813192513711243</v>
      </c>
      <c r="I497" s="43">
        <v>80.252497364793271</v>
      </c>
    </row>
    <row r="498" spans="1:9">
      <c r="A498" s="19">
        <v>409.2</v>
      </c>
      <c r="B498" s="43">
        <v>82.035993796852239</v>
      </c>
      <c r="C498" s="43">
        <v>82.230654904621076</v>
      </c>
      <c r="D498" s="43">
        <v>82.22301900087939</v>
      </c>
      <c r="E498" s="43">
        <v>82.050209016932399</v>
      </c>
      <c r="F498" s="43">
        <v>81.744241840467367</v>
      </c>
      <c r="G498" s="43">
        <v>81.332129805903492</v>
      </c>
      <c r="H498" s="43">
        <v>80.836451061665684</v>
      </c>
      <c r="I498" s="43">
        <v>80.27604478935325</v>
      </c>
    </row>
    <row r="499" spans="1:9">
      <c r="A499" s="19">
        <v>409.3</v>
      </c>
      <c r="B499" s="43">
        <v>82.056315499934215</v>
      </c>
      <c r="C499" s="43">
        <v>82.251594978166708</v>
      </c>
      <c r="D499" s="43">
        <v>82.244535860581408</v>
      </c>
      <c r="E499" s="43">
        <v>82.072249534763102</v>
      </c>
      <c r="F499" s="43">
        <v>81.766747752572599</v>
      </c>
      <c r="G499" s="43">
        <v>81.355041445450183</v>
      </c>
      <c r="H499" s="43">
        <v>80.859709353596912</v>
      </c>
      <c r="I499" s="43">
        <v>80.299592198908698</v>
      </c>
    </row>
    <row r="500" spans="1:9">
      <c r="A500" s="19">
        <v>409.4</v>
      </c>
      <c r="B500" s="43">
        <v>82.076636245542829</v>
      </c>
      <c r="C500" s="43">
        <v>82.272534073307753</v>
      </c>
      <c r="D500" s="43">
        <v>82.266051794332014</v>
      </c>
      <c r="E500" s="43">
        <v>82.094289236347748</v>
      </c>
      <c r="F500" s="43">
        <v>81.789253002378842</v>
      </c>
      <c r="G500" s="43">
        <v>81.377952611387713</v>
      </c>
      <c r="H500" s="43">
        <v>80.882967388838495</v>
      </c>
      <c r="I500" s="43">
        <v>80.323139592630611</v>
      </c>
    </row>
    <row r="501" spans="1:9">
      <c r="A501" s="19">
        <v>409.5</v>
      </c>
      <c r="B501" s="43">
        <v>82.096956034159859</v>
      </c>
      <c r="C501" s="43">
        <v>82.293472190312343</v>
      </c>
      <c r="D501" s="43">
        <v>82.287566802203088</v>
      </c>
      <c r="E501" s="43">
        <v>82.116328121569694</v>
      </c>
      <c r="F501" s="43">
        <v>81.811757589588922</v>
      </c>
      <c r="G501" s="43">
        <v>81.400863303247775</v>
      </c>
      <c r="H501" s="43">
        <v>80.90622516675532</v>
      </c>
      <c r="I501" s="43">
        <v>80.346686969695583</v>
      </c>
    </row>
    <row r="502" spans="1:9">
      <c r="A502" s="19">
        <v>409.6</v>
      </c>
      <c r="B502" s="43">
        <v>82.117274866292121</v>
      </c>
      <c r="C502" s="43">
        <v>82.314409329486324</v>
      </c>
      <c r="D502" s="43">
        <v>82.309080884287795</v>
      </c>
      <c r="E502" s="43">
        <v>82.138366190318152</v>
      </c>
      <c r="F502" s="43">
        <v>81.834261513899236</v>
      </c>
      <c r="G502" s="43">
        <v>81.423773520539697</v>
      </c>
      <c r="H502" s="43">
        <v>80.929482686670639</v>
      </c>
      <c r="I502" s="43">
        <v>80.370234329249058</v>
      </c>
    </row>
    <row r="503" spans="1:9">
      <c r="A503" s="19">
        <v>409.7</v>
      </c>
      <c r="B503" s="43">
        <v>82.137592742417525</v>
      </c>
      <c r="C503" s="43">
        <v>82.335345491098963</v>
      </c>
      <c r="D503" s="43">
        <v>82.330594040656933</v>
      </c>
      <c r="E503" s="43">
        <v>82.160403442477929</v>
      </c>
      <c r="F503" s="43">
        <v>81.856764775014994</v>
      </c>
      <c r="G503" s="43">
        <v>81.446683262793528</v>
      </c>
      <c r="H503" s="43">
        <v>80.952739947945275</v>
      </c>
      <c r="I503" s="43">
        <v>80.393781670479768</v>
      </c>
    </row>
    <row r="504" spans="1:9">
      <c r="A504" s="19">
        <v>409.8</v>
      </c>
      <c r="B504" s="43">
        <v>82.15790966302535</v>
      </c>
      <c r="C504" s="43">
        <v>82.356280675432146</v>
      </c>
      <c r="D504" s="43">
        <v>82.352106271391705</v>
      </c>
      <c r="E504" s="43">
        <v>82.182439877937043</v>
      </c>
      <c r="F504" s="43">
        <v>81.879267372640356</v>
      </c>
      <c r="G504" s="43">
        <v>81.469592529539142</v>
      </c>
      <c r="H504" s="43">
        <v>80.975996949932266</v>
      </c>
      <c r="I504" s="43">
        <v>80.417328992558396</v>
      </c>
    </row>
    <row r="505" spans="1:9">
      <c r="A505" s="19">
        <v>409.9</v>
      </c>
      <c r="B505" s="43">
        <v>82.178225628591832</v>
      </c>
      <c r="C505" s="43">
        <v>82.377214882772961</v>
      </c>
      <c r="D505" s="43">
        <v>82.373617576572514</v>
      </c>
      <c r="E505" s="43">
        <v>82.204475496581637</v>
      </c>
      <c r="F505" s="43">
        <v>81.90176930647965</v>
      </c>
      <c r="G505" s="43">
        <v>81.492501320302921</v>
      </c>
      <c r="H505" s="43">
        <v>80.999253691982091</v>
      </c>
      <c r="I505" s="43">
        <v>80.440876294670602</v>
      </c>
    </row>
    <row r="506" spans="1:9">
      <c r="A506" s="19">
        <v>410</v>
      </c>
      <c r="B506" s="43">
        <v>82.147595942952961</v>
      </c>
      <c r="C506" s="43">
        <v>82.360569424675731</v>
      </c>
      <c r="D506" s="43">
        <v>82.372083940585071</v>
      </c>
      <c r="E506" s="43">
        <v>82.218811627924509</v>
      </c>
      <c r="F506" s="43">
        <v>81.932455098411708</v>
      </c>
      <c r="G506" s="43">
        <v>81.539805898622376</v>
      </c>
      <c r="H506" s="43">
        <v>81.063280748285649</v>
      </c>
      <c r="I506" s="43">
        <v>80.521592133709362</v>
      </c>
    </row>
    <row r="507" spans="1:9">
      <c r="A507" s="19">
        <v>410.1</v>
      </c>
      <c r="B507" s="43">
        <v>82.116752367973447</v>
      </c>
      <c r="C507" s="43">
        <v>82.343686445800017</v>
      </c>
      <c r="D507" s="43">
        <v>82.370288773995185</v>
      </c>
      <c r="E507" s="43">
        <v>82.232856948238975</v>
      </c>
      <c r="F507" s="43">
        <v>81.96281012969564</v>
      </c>
      <c r="G507" s="43">
        <v>81.586724034323879</v>
      </c>
      <c r="H507" s="43">
        <v>81.126845710469581</v>
      </c>
      <c r="I507" s="43">
        <v>80.601747155749621</v>
      </c>
    </row>
    <row r="508" spans="1:9">
      <c r="A508" s="19">
        <v>410.2</v>
      </c>
      <c r="B508" s="43">
        <v>82.136830875306657</v>
      </c>
      <c r="C508" s="43">
        <v>82.364350097438148</v>
      </c>
      <c r="D508" s="43">
        <v>82.391498849179953</v>
      </c>
      <c r="E508" s="43">
        <v>82.254563645963685</v>
      </c>
      <c r="F508" s="43">
        <v>81.984958680004212</v>
      </c>
      <c r="G508" s="43">
        <v>81.609258312773846</v>
      </c>
      <c r="H508" s="43">
        <v>81.149710209840549</v>
      </c>
      <c r="I508" s="43">
        <v>80.624887956890319</v>
      </c>
    </row>
    <row r="509" spans="1:9">
      <c r="A509" s="19">
        <v>410.3</v>
      </c>
      <c r="B509" s="43">
        <v>82.156908420647511</v>
      </c>
      <c r="C509" s="43">
        <v>82.385012754316222</v>
      </c>
      <c r="D509" s="43">
        <v>82.412707963900345</v>
      </c>
      <c r="E509" s="43">
        <v>82.276269470223184</v>
      </c>
      <c r="F509" s="43">
        <v>82.007106484647153</v>
      </c>
      <c r="G509" s="43">
        <v>81.631792005251413</v>
      </c>
      <c r="H509" s="43">
        <v>81.172574308532631</v>
      </c>
      <c r="I509" s="43">
        <v>80.648028563941267</v>
      </c>
    </row>
    <row r="510" spans="1:9">
      <c r="A510" s="19">
        <v>410.4</v>
      </c>
      <c r="B510" s="43">
        <v>82.176985004441264</v>
      </c>
      <c r="C510" s="43">
        <v>82.405674416702226</v>
      </c>
      <c r="D510" s="43">
        <v>82.433916118259617</v>
      </c>
      <c r="E510" s="43">
        <v>82.297974420948037</v>
      </c>
      <c r="F510" s="43">
        <v>82.029253543385096</v>
      </c>
      <c r="G510" s="43">
        <v>81.654325111356314</v>
      </c>
      <c r="H510" s="43">
        <v>81.195438005986887</v>
      </c>
      <c r="I510" s="43">
        <v>80.671168976185584</v>
      </c>
    </row>
    <row r="511" spans="1:9">
      <c r="A511" s="19">
        <v>410.5</v>
      </c>
      <c r="B511" s="43">
        <v>82.197060627141042</v>
      </c>
      <c r="C511" s="43">
        <v>82.426335084874864</v>
      </c>
      <c r="D511" s="43">
        <v>82.455123312354971</v>
      </c>
      <c r="E511" s="43">
        <v>82.319678498062501</v>
      </c>
      <c r="F511" s="43">
        <v>82.051399855980605</v>
      </c>
      <c r="G511" s="43">
        <v>81.676857630690449</v>
      </c>
      <c r="H511" s="43">
        <v>81.218301301661626</v>
      </c>
      <c r="I511" s="43">
        <v>80.694309192911362</v>
      </c>
    </row>
    <row r="512" spans="1:9">
      <c r="A512" s="19">
        <v>410.6</v>
      </c>
      <c r="B512" s="43">
        <v>82.217135289241355</v>
      </c>
      <c r="C512" s="43">
        <v>82.446994759138136</v>
      </c>
      <c r="D512" s="43">
        <v>82.476329546301741</v>
      </c>
      <c r="E512" s="43">
        <v>82.341381701500978</v>
      </c>
      <c r="F512" s="43">
        <v>82.073545422192893</v>
      </c>
      <c r="G512" s="43">
        <v>81.699389562845482</v>
      </c>
      <c r="H512" s="43">
        <v>81.241164194972242</v>
      </c>
      <c r="I512" s="43">
        <v>80.717449213388392</v>
      </c>
    </row>
    <row r="513" spans="1:9">
      <c r="A513" s="19">
        <v>410.7</v>
      </c>
      <c r="B513" s="43">
        <v>82.237208991149942</v>
      </c>
      <c r="C513" s="43">
        <v>82.467653439742094</v>
      </c>
      <c r="D513" s="43">
        <v>82.497534820183517</v>
      </c>
      <c r="E513" s="43">
        <v>82.363084031187213</v>
      </c>
      <c r="F513" s="43">
        <v>82.09569024178964</v>
      </c>
      <c r="G513" s="43">
        <v>81.721920907442041</v>
      </c>
      <c r="H513" s="43">
        <v>81.264026685392992</v>
      </c>
      <c r="I513" s="43">
        <v>80.740589036938076</v>
      </c>
    </row>
    <row r="514" spans="1:9">
      <c r="A514" s="19">
        <v>410.8</v>
      </c>
      <c r="B514" s="43">
        <v>82.257281733323452</v>
      </c>
      <c r="C514" s="43">
        <v>82.488311126971098</v>
      </c>
      <c r="D514" s="43">
        <v>82.518739134104635</v>
      </c>
      <c r="E514" s="43">
        <v>82.384785487049498</v>
      </c>
      <c r="F514" s="43">
        <v>82.117834314535628</v>
      </c>
      <c r="G514" s="43">
        <v>81.744451664083499</v>
      </c>
      <c r="H514" s="43">
        <v>81.286888772370247</v>
      </c>
      <c r="I514" s="43">
        <v>80.763728662858227</v>
      </c>
    </row>
    <row r="515" spans="1:9">
      <c r="A515" s="19">
        <v>410.9</v>
      </c>
      <c r="B515" s="43">
        <v>82.277353516266629</v>
      </c>
      <c r="C515" s="43">
        <v>82.50896782113125</v>
      </c>
      <c r="D515" s="43">
        <v>82.539942488182731</v>
      </c>
      <c r="E515" s="43">
        <v>82.406486069023714</v>
      </c>
      <c r="F515" s="43">
        <v>82.139977640190494</v>
      </c>
      <c r="G515" s="43">
        <v>81.766981832357573</v>
      </c>
      <c r="H515" s="43">
        <v>81.309750455339554</v>
      </c>
      <c r="I515" s="43">
        <v>80.786868090401384</v>
      </c>
    </row>
    <row r="516" spans="1:9">
      <c r="A516" s="19">
        <v>411</v>
      </c>
      <c r="B516" s="43">
        <v>82.297424340413642</v>
      </c>
      <c r="C516" s="43">
        <v>82.52962352249429</v>
      </c>
      <c r="D516" s="43">
        <v>82.561144882511655</v>
      </c>
      <c r="E516" s="43">
        <v>82.428185777038266</v>
      </c>
      <c r="F516" s="43">
        <v>82.162120218523881</v>
      </c>
      <c r="G516" s="43">
        <v>81.789511411883353</v>
      </c>
      <c r="H516" s="43">
        <v>81.332611733749474</v>
      </c>
      <c r="I516" s="43">
        <v>80.810007318874796</v>
      </c>
    </row>
    <row r="517" spans="1:9">
      <c r="A517" s="19">
        <v>411.1</v>
      </c>
      <c r="B517" s="43">
        <v>82.317494206221255</v>
      </c>
      <c r="C517" s="43">
        <v>82.55027823133193</v>
      </c>
      <c r="D517" s="43">
        <v>82.582346317200887</v>
      </c>
      <c r="E517" s="43">
        <v>82.449884611024089</v>
      </c>
      <c r="F517" s="43">
        <v>82.18426204930006</v>
      </c>
      <c r="G517" s="43">
        <v>81.812040402262198</v>
      </c>
      <c r="H517" s="43">
        <v>81.355472607058005</v>
      </c>
      <c r="I517" s="43">
        <v>80.833146347580737</v>
      </c>
    </row>
    <row r="518" spans="1:9">
      <c r="A518" s="19">
        <v>411.2</v>
      </c>
      <c r="B518" s="43">
        <v>82.33756311414507</v>
      </c>
      <c r="C518" s="43">
        <v>82.570931947942825</v>
      </c>
      <c r="D518" s="43">
        <v>82.603546792353114</v>
      </c>
      <c r="E518" s="43">
        <v>82.471582570914677</v>
      </c>
      <c r="F518" s="43">
        <v>82.206403132285516</v>
      </c>
      <c r="G518" s="43">
        <v>81.834568803102144</v>
      </c>
      <c r="H518" s="43">
        <v>81.378333074707996</v>
      </c>
      <c r="I518" s="43">
        <v>80.856285175810086</v>
      </c>
    </row>
    <row r="519" spans="1:9">
      <c r="A519" s="19">
        <v>411.3</v>
      </c>
      <c r="B519" s="43">
        <v>82.357631064674365</v>
      </c>
      <c r="C519" s="43">
        <v>82.591584672610281</v>
      </c>
      <c r="D519" s="43">
        <v>82.62474630807651</v>
      </c>
      <c r="E519" s="43">
        <v>82.493279656644916</v>
      </c>
      <c r="F519" s="43">
        <v>82.228543467248073</v>
      </c>
      <c r="G519" s="43">
        <v>81.857096614007474</v>
      </c>
      <c r="H519" s="43">
        <v>81.401193136142723</v>
      </c>
      <c r="I519" s="43">
        <v>80.879423802840563</v>
      </c>
    </row>
    <row r="520" spans="1:9">
      <c r="A520" s="19">
        <v>411.4</v>
      </c>
      <c r="B520" s="43">
        <v>82.377698058221142</v>
      </c>
      <c r="C520" s="43">
        <v>82.612236405610446</v>
      </c>
      <c r="D520" s="43">
        <v>82.645944864468817</v>
      </c>
      <c r="E520" s="43">
        <v>82.514975868143154</v>
      </c>
      <c r="F520" s="43">
        <v>82.250683053957943</v>
      </c>
      <c r="G520" s="43">
        <v>81.879623834597766</v>
      </c>
      <c r="H520" s="43">
        <v>81.424052790842921</v>
      </c>
      <c r="I520" s="43">
        <v>80.902562227999198</v>
      </c>
    </row>
    <row r="521" spans="1:9">
      <c r="A521" s="19">
        <v>411.5</v>
      </c>
      <c r="B521" s="43">
        <v>82.397764095262033</v>
      </c>
      <c r="C521" s="43">
        <v>82.632887147214007</v>
      </c>
      <c r="D521" s="43">
        <v>82.667142461638321</v>
      </c>
      <c r="E521" s="43">
        <v>82.536671205344732</v>
      </c>
      <c r="F521" s="43">
        <v>82.272821892182549</v>
      </c>
      <c r="G521" s="43">
        <v>81.902150464475966</v>
      </c>
      <c r="H521" s="43">
        <v>81.446912038245699</v>
      </c>
      <c r="I521" s="43">
        <v>80.925700450579455</v>
      </c>
    </row>
    <row r="522" spans="1:9">
      <c r="A522" s="19">
        <v>411.6</v>
      </c>
      <c r="B522" s="43">
        <v>82.417829176285977</v>
      </c>
      <c r="C522" s="43">
        <v>82.653536897742754</v>
      </c>
      <c r="D522" s="43">
        <v>82.688339099705075</v>
      </c>
      <c r="E522" s="43">
        <v>82.558365668189026</v>
      </c>
      <c r="F522" s="43">
        <v>82.294959981688265</v>
      </c>
      <c r="G522" s="43">
        <v>81.924676503242893</v>
      </c>
      <c r="H522" s="43">
        <v>81.469770877788363</v>
      </c>
      <c r="I522" s="43">
        <v>80.948838469845157</v>
      </c>
    </row>
    <row r="523" spans="1:9">
      <c r="A523" s="19">
        <v>411.7</v>
      </c>
      <c r="B523" s="43">
        <v>82.437893301721687</v>
      </c>
      <c r="C523" s="43">
        <v>82.674185657458821</v>
      </c>
      <c r="D523" s="43">
        <v>82.709534778764265</v>
      </c>
      <c r="E523" s="43">
        <v>82.580059256605978</v>
      </c>
      <c r="F523" s="43">
        <v>82.317097322250049</v>
      </c>
      <c r="G523" s="43">
        <v>81.947201950523549</v>
      </c>
      <c r="H523" s="43">
        <v>81.492629308947244</v>
      </c>
      <c r="I523" s="43">
        <v>80.971976285133479</v>
      </c>
    </row>
    <row r="524" spans="1:9">
      <c r="A524" s="19">
        <v>411.8</v>
      </c>
      <c r="B524" s="43">
        <v>82.457956472047897</v>
      </c>
      <c r="C524" s="43">
        <v>82.694833426654668</v>
      </c>
      <c r="D524" s="43">
        <v>82.730729498928895</v>
      </c>
      <c r="E524" s="43">
        <v>82.601751970534622</v>
      </c>
      <c r="F524" s="43">
        <v>82.339233913636861</v>
      </c>
      <c r="G524" s="43">
        <v>81.969726805923472</v>
      </c>
      <c r="H524" s="43">
        <v>81.515487331170505</v>
      </c>
      <c r="I524" s="43">
        <v>80.995113895721403</v>
      </c>
    </row>
    <row r="525" spans="1:9">
      <c r="A525" s="19">
        <v>411.9</v>
      </c>
      <c r="B525" s="43">
        <v>82.478018687723221</v>
      </c>
      <c r="C525" s="43">
        <v>82.715480205619201</v>
      </c>
      <c r="D525" s="43">
        <v>82.751923260307024</v>
      </c>
      <c r="E525" s="43">
        <v>82.623443809910725</v>
      </c>
      <c r="F525" s="43">
        <v>82.361369755618739</v>
      </c>
      <c r="G525" s="43">
        <v>81.992251069053964</v>
      </c>
      <c r="H525" s="43">
        <v>81.538344943912421</v>
      </c>
      <c r="I525" s="43">
        <v>81.018251300919559</v>
      </c>
    </row>
    <row r="526" spans="1:9">
      <c r="A526" s="19">
        <v>412</v>
      </c>
      <c r="B526" s="43">
        <v>82.498079949213633</v>
      </c>
      <c r="C526" s="43">
        <v>82.736125994630555</v>
      </c>
      <c r="D526" s="43">
        <v>82.773116063011997</v>
      </c>
      <c r="E526" s="43">
        <v>82.64513477467159</v>
      </c>
      <c r="F526" s="43">
        <v>82.383504847970329</v>
      </c>
      <c r="G526" s="43">
        <v>82.0147747395294</v>
      </c>
      <c r="H526" s="43">
        <v>81.561202146630848</v>
      </c>
      <c r="I526" s="43">
        <v>81.041388500026727</v>
      </c>
    </row>
    <row r="527" spans="1:9">
      <c r="A527" s="19">
        <v>412.1</v>
      </c>
      <c r="B527" s="43">
        <v>82.518140256950943</v>
      </c>
      <c r="C527" s="43">
        <v>82.756770793977466</v>
      </c>
      <c r="D527" s="43">
        <v>82.794307907139796</v>
      </c>
      <c r="E527" s="43">
        <v>82.666824864752016</v>
      </c>
      <c r="F527" s="43">
        <v>82.405639190465365</v>
      </c>
      <c r="G527" s="43">
        <v>82.037297816969556</v>
      </c>
      <c r="H527" s="43">
        <v>81.584058938797995</v>
      </c>
      <c r="I527" s="43">
        <v>81.064525492357177</v>
      </c>
    </row>
    <row r="528" spans="1:9">
      <c r="A528" s="19">
        <v>412.2</v>
      </c>
      <c r="B528" s="43">
        <v>82.538199611435402</v>
      </c>
      <c r="C528" s="43">
        <v>82.777414603949978</v>
      </c>
      <c r="D528" s="43">
        <v>82.815498792812917</v>
      </c>
      <c r="E528" s="43">
        <v>82.688514080093682</v>
      </c>
      <c r="F528" s="43">
        <v>82.427772782875508</v>
      </c>
      <c r="G528" s="43">
        <v>82.059820300980192</v>
      </c>
      <c r="H528" s="43">
        <v>81.606915319855005</v>
      </c>
      <c r="I528" s="43">
        <v>81.087662277204316</v>
      </c>
    </row>
    <row r="529" spans="1:9">
      <c r="A529" s="19">
        <v>412.3</v>
      </c>
      <c r="B529" s="43">
        <v>82.55825801311363</v>
      </c>
      <c r="C529" s="43">
        <v>82.798057424841119</v>
      </c>
      <c r="D529" s="43">
        <v>82.83668872013979</v>
      </c>
      <c r="E529" s="43">
        <v>82.710202420634971</v>
      </c>
      <c r="F529" s="43">
        <v>82.449905624975088</v>
      </c>
      <c r="G529" s="43">
        <v>82.082342191183443</v>
      </c>
      <c r="H529" s="43">
        <v>81.629771289268575</v>
      </c>
      <c r="I529" s="43">
        <v>81.110798853872694</v>
      </c>
    </row>
    <row r="530" spans="1:9">
      <c r="A530" s="19">
        <v>412.4</v>
      </c>
      <c r="B530" s="43">
        <v>82.578315462449012</v>
      </c>
      <c r="C530" s="43">
        <v>82.818699256942551</v>
      </c>
      <c r="D530" s="43">
        <v>82.857877689233533</v>
      </c>
      <c r="E530" s="43">
        <v>82.731889886315344</v>
      </c>
      <c r="F530" s="43">
        <v>82.472037716539745</v>
      </c>
      <c r="G530" s="43">
        <v>82.104863487189419</v>
      </c>
      <c r="H530" s="43">
        <v>81.652626846495906</v>
      </c>
      <c r="I530" s="43">
        <v>81.133935221672573</v>
      </c>
    </row>
    <row r="531" spans="1:9">
      <c r="A531" s="19">
        <v>412.5</v>
      </c>
      <c r="B531" s="43">
        <v>82.598371959909656</v>
      </c>
      <c r="C531" s="43">
        <v>82.839340100528801</v>
      </c>
      <c r="D531" s="43">
        <v>82.879065700203682</v>
      </c>
      <c r="E531" s="43">
        <v>82.753576477073949</v>
      </c>
      <c r="F531" s="43">
        <v>82.494169057345431</v>
      </c>
      <c r="G531" s="43">
        <v>82.127384188622386</v>
      </c>
      <c r="H531" s="43">
        <v>81.675481991010059</v>
      </c>
      <c r="I531" s="43">
        <v>81.157071379912651</v>
      </c>
    </row>
    <row r="532" spans="1:9">
      <c r="A532" s="19">
        <v>412.6</v>
      </c>
      <c r="B532" s="43">
        <v>82.618427505974324</v>
      </c>
      <c r="C532" s="43">
        <v>82.859979955915549</v>
      </c>
      <c r="D532" s="43">
        <v>82.900252753168246</v>
      </c>
      <c r="E532" s="43">
        <v>82.775262192855195</v>
      </c>
      <c r="F532" s="43">
        <v>82.516299647165937</v>
      </c>
      <c r="G532" s="43">
        <v>82.149904295089584</v>
      </c>
      <c r="H532" s="43">
        <v>81.698336722247376</v>
      </c>
      <c r="I532" s="43">
        <v>81.180207327878605</v>
      </c>
    </row>
    <row r="533" spans="1:9">
      <c r="A533" s="19">
        <v>412.7</v>
      </c>
      <c r="B533" s="43">
        <v>82.638482101069854</v>
      </c>
      <c r="C533" s="43">
        <v>82.88061882336433</v>
      </c>
      <c r="D533" s="43">
        <v>82.9214388482321</v>
      </c>
      <c r="E533" s="43">
        <v>82.796947033594279</v>
      </c>
      <c r="F533" s="43">
        <v>82.538429485782473</v>
      </c>
      <c r="G533" s="43">
        <v>82.172423806220934</v>
      </c>
      <c r="H533" s="43">
        <v>81.721191039704138</v>
      </c>
      <c r="I533" s="43">
        <v>81.203343064914378</v>
      </c>
    </row>
    <row r="534" spans="1:9">
      <c r="A534" s="19">
        <v>412.8</v>
      </c>
      <c r="B534" s="43">
        <v>82.65853574566458</v>
      </c>
      <c r="C534" s="43">
        <v>82.901256703162318</v>
      </c>
      <c r="D534" s="43">
        <v>82.942623985503587</v>
      </c>
      <c r="E534" s="43">
        <v>82.818630999234927</v>
      </c>
      <c r="F534" s="43">
        <v>82.560558572972496</v>
      </c>
      <c r="G534" s="43">
        <v>82.194942721635584</v>
      </c>
      <c r="H534" s="43">
        <v>81.744044942831408</v>
      </c>
      <c r="I534" s="43">
        <v>81.226478590321506</v>
      </c>
    </row>
    <row r="535" spans="1:9">
      <c r="A535" s="19">
        <v>412.9</v>
      </c>
      <c r="B535" s="43">
        <v>82.678588440268868</v>
      </c>
      <c r="C535" s="43">
        <v>82.92189359563983</v>
      </c>
      <c r="D535" s="43">
        <v>82.963808165116291</v>
      </c>
      <c r="E535" s="43">
        <v>82.840314089724586</v>
      </c>
      <c r="F535" s="43">
        <v>82.582686908510283</v>
      </c>
      <c r="G535" s="43">
        <v>82.217461040944926</v>
      </c>
      <c r="H535" s="43">
        <v>81.766898431082865</v>
      </c>
      <c r="I535" s="43">
        <v>81.249613903388109</v>
      </c>
    </row>
    <row r="536" spans="1:9">
      <c r="A536" s="19">
        <v>413</v>
      </c>
      <c r="B536" s="43">
        <v>82.698640185306772</v>
      </c>
      <c r="C536" s="43">
        <v>82.942529501055446</v>
      </c>
      <c r="D536" s="43">
        <v>82.984991387168293</v>
      </c>
      <c r="E536" s="43">
        <v>82.861996305002549</v>
      </c>
      <c r="F536" s="43">
        <v>82.604814492178633</v>
      </c>
      <c r="G536" s="43">
        <v>82.239978763775184</v>
      </c>
      <c r="H536" s="43">
        <v>81.789751503941176</v>
      </c>
      <c r="I536" s="43">
        <v>81.272749003445853</v>
      </c>
    </row>
    <row r="537" spans="1:9">
      <c r="A537" s="19">
        <v>413.1</v>
      </c>
      <c r="B537" s="43">
        <v>82.718690981243043</v>
      </c>
      <c r="C537" s="43">
        <v>82.963164419700888</v>
      </c>
      <c r="D537" s="43">
        <v>83.006173651778965</v>
      </c>
      <c r="E537" s="43">
        <v>82.883677645011915</v>
      </c>
      <c r="F537" s="43">
        <v>82.626941323756228</v>
      </c>
      <c r="G537" s="43">
        <v>82.2624958897498</v>
      </c>
      <c r="H537" s="43">
        <v>81.812604160864481</v>
      </c>
      <c r="I537" s="43">
        <v>81.295883889803889</v>
      </c>
    </row>
    <row r="538" spans="1:9">
      <c r="A538" s="19">
        <v>413.2</v>
      </c>
      <c r="B538" s="43">
        <v>82.738740828571252</v>
      </c>
      <c r="C538" s="43">
        <v>82.983798351886804</v>
      </c>
      <c r="D538" s="43">
        <v>83.027354959064184</v>
      </c>
      <c r="E538" s="43">
        <v>82.905358109697573</v>
      </c>
      <c r="F538" s="43">
        <v>82.649067403023054</v>
      </c>
      <c r="G538" s="43">
        <v>82.285012418485508</v>
      </c>
      <c r="H538" s="43">
        <v>81.835456401319476</v>
      </c>
      <c r="I538" s="43">
        <v>81.319018561776545</v>
      </c>
    </row>
    <row r="539" spans="1:9">
      <c r="A539" s="19">
        <v>413.3</v>
      </c>
      <c r="B539" s="43">
        <v>82.758789727745494</v>
      </c>
      <c r="C539" s="43">
        <v>83.004431297902755</v>
      </c>
      <c r="D539" s="43">
        <v>83.048535309149798</v>
      </c>
      <c r="E539" s="43">
        <v>82.927037699009304</v>
      </c>
      <c r="F539" s="43">
        <v>82.671192729760406</v>
      </c>
      <c r="G539" s="43">
        <v>82.307528349606315</v>
      </c>
      <c r="H539" s="43">
        <v>81.858308224774333</v>
      </c>
      <c r="I539" s="43">
        <v>81.34215301866098</v>
      </c>
    </row>
    <row r="540" spans="1:9">
      <c r="A540" s="19">
        <v>413.4</v>
      </c>
      <c r="B540" s="43">
        <v>82.778837679223642</v>
      </c>
      <c r="C540" s="43">
        <v>83.02506325802986</v>
      </c>
      <c r="D540" s="43">
        <v>83.069714702139521</v>
      </c>
      <c r="E540" s="43">
        <v>82.948716412885346</v>
      </c>
      <c r="F540" s="43">
        <v>82.693317303750746</v>
      </c>
      <c r="G540" s="43">
        <v>82.330043682743366</v>
      </c>
      <c r="H540" s="43">
        <v>81.881159630701944</v>
      </c>
      <c r="I540" s="43">
        <v>81.365287259798947</v>
      </c>
    </row>
    <row r="541" spans="1:9">
      <c r="A541" s="19">
        <v>413.5</v>
      </c>
      <c r="B541" s="43">
        <v>82.798884683456919</v>
      </c>
      <c r="C541" s="43">
        <v>83.045694232551966</v>
      </c>
      <c r="D541" s="43">
        <v>83.090893138143741</v>
      </c>
      <c r="E541" s="43">
        <v>82.97039425127295</v>
      </c>
      <c r="F541" s="43">
        <v>82.715441124778039</v>
      </c>
      <c r="G541" s="43">
        <v>82.352558417519617</v>
      </c>
      <c r="H541" s="43">
        <v>81.90401061858222</v>
      </c>
      <c r="I541" s="43">
        <v>81.388421284506649</v>
      </c>
    </row>
    <row r="542" spans="1:9">
      <c r="A542" s="19">
        <v>413.6</v>
      </c>
      <c r="B542" s="43">
        <v>82.818930740948474</v>
      </c>
      <c r="C542" s="43">
        <v>83.066324221793082</v>
      </c>
      <c r="D542" s="43">
        <v>83.112070617300958</v>
      </c>
      <c r="E542" s="43">
        <v>82.992071214123541</v>
      </c>
      <c r="F542" s="43">
        <v>82.737564192622244</v>
      </c>
      <c r="G542" s="43">
        <v>82.37507255355348</v>
      </c>
      <c r="H542" s="43">
        <v>81.926861187869036</v>
      </c>
      <c r="I542" s="43">
        <v>81.411555092079709</v>
      </c>
    </row>
    <row r="543" spans="1:9">
      <c r="A543" s="19">
        <v>413.7</v>
      </c>
      <c r="B543" s="43">
        <v>82.838975852144642</v>
      </c>
      <c r="C543" s="43">
        <v>83.086953226035263</v>
      </c>
      <c r="D543" s="43">
        <v>83.133247139716616</v>
      </c>
      <c r="E543" s="43">
        <v>83.013747301381414</v>
      </c>
      <c r="F543" s="43">
        <v>82.759686507068722</v>
      </c>
      <c r="G543" s="43">
        <v>82.397586090475357</v>
      </c>
      <c r="H543" s="43">
        <v>81.949711338038213</v>
      </c>
      <c r="I543" s="43">
        <v>81.434688681850218</v>
      </c>
    </row>
    <row r="544" spans="1:9">
      <c r="A544" s="19">
        <v>413.8</v>
      </c>
      <c r="B544" s="43">
        <v>82.859020017525438</v>
      </c>
      <c r="C544" s="43">
        <v>83.1075812455652</v>
      </c>
      <c r="D544" s="43">
        <v>83.154422705513014</v>
      </c>
      <c r="E544" s="43">
        <v>83.035422512995808</v>
      </c>
      <c r="F544" s="43">
        <v>82.781808067902091</v>
      </c>
      <c r="G544" s="43">
        <v>82.420099027913324</v>
      </c>
      <c r="H544" s="43">
        <v>81.972561068571736</v>
      </c>
      <c r="I544" s="43">
        <v>81.457822053135061</v>
      </c>
    </row>
    <row r="545" spans="1:9">
      <c r="A545" s="19">
        <v>413.9</v>
      </c>
      <c r="B545" s="43">
        <v>82.879063237549076</v>
      </c>
      <c r="C545" s="43">
        <v>83.128208280693912</v>
      </c>
      <c r="D545" s="43">
        <v>83.175597314812535</v>
      </c>
      <c r="E545" s="43">
        <v>83.057096848914796</v>
      </c>
      <c r="F545" s="43">
        <v>82.803928874907399</v>
      </c>
      <c r="G545" s="43">
        <v>82.442611365489881</v>
      </c>
      <c r="H545" s="43">
        <v>81.995410378927374</v>
      </c>
      <c r="I545" s="43">
        <v>81.480955205251234</v>
      </c>
    </row>
    <row r="546" spans="1:9">
      <c r="A546" s="19">
        <v>414</v>
      </c>
      <c r="B546" s="43">
        <v>82.899105512692842</v>
      </c>
      <c r="C546" s="43">
        <v>83.148834331705871</v>
      </c>
      <c r="D546" s="43">
        <v>83.196770967731084</v>
      </c>
      <c r="E546" s="43">
        <v>83.078770309087759</v>
      </c>
      <c r="F546" s="43">
        <v>82.826048927869635</v>
      </c>
      <c r="G546" s="43">
        <v>82.465123102839414</v>
      </c>
      <c r="H546" s="43">
        <v>82.018259268590356</v>
      </c>
      <c r="I546" s="43">
        <v>81.504088137522189</v>
      </c>
    </row>
    <row r="547" spans="1:9">
      <c r="A547" s="19">
        <v>414.1</v>
      </c>
      <c r="B547" s="43">
        <v>82.919146843396248</v>
      </c>
      <c r="C547" s="43">
        <v>83.169459398886346</v>
      </c>
      <c r="D547" s="43">
        <v>83.21794366437868</v>
      </c>
      <c r="E547" s="43">
        <v>83.100442893460894</v>
      </c>
      <c r="F547" s="43">
        <v>82.848168226578309</v>
      </c>
      <c r="G547" s="43">
        <v>82.487634239594598</v>
      </c>
      <c r="H547" s="43">
        <v>82.041107737044484</v>
      </c>
      <c r="I547" s="43">
        <v>81.527220849284703</v>
      </c>
    </row>
    <row r="548" spans="1:9">
      <c r="A548" s="19">
        <v>414.2</v>
      </c>
      <c r="B548" s="43">
        <v>82.939187230165118</v>
      </c>
      <c r="C548" s="43">
        <v>83.190083482551557</v>
      </c>
      <c r="D548" s="43">
        <v>83.239115404893454</v>
      </c>
      <c r="E548" s="43">
        <v>83.122114601989267</v>
      </c>
      <c r="F548" s="43">
        <v>82.870286770817785</v>
      </c>
      <c r="G548" s="43">
        <v>82.510144775377171</v>
      </c>
      <c r="H548" s="43">
        <v>82.063955783753727</v>
      </c>
      <c r="I548" s="43">
        <v>81.550353339844747</v>
      </c>
    </row>
    <row r="549" spans="1:9">
      <c r="A549" s="19">
        <v>414.3</v>
      </c>
      <c r="B549" s="43">
        <v>82.959226673449535</v>
      </c>
      <c r="C549" s="43">
        <v>83.210706582997091</v>
      </c>
      <c r="D549" s="43">
        <v>83.260286189393156</v>
      </c>
      <c r="E549" s="43">
        <v>83.143785434625244</v>
      </c>
      <c r="F549" s="43">
        <v>82.892404560376548</v>
      </c>
      <c r="G549" s="43">
        <v>82.532654709816853</v>
      </c>
      <c r="H549" s="43">
        <v>82.086803408191599</v>
      </c>
      <c r="I549" s="43">
        <v>81.573485608520286</v>
      </c>
    </row>
    <row r="550" spans="1:9">
      <c r="A550" s="19">
        <v>414.4</v>
      </c>
      <c r="B550" s="43">
        <v>82.979265173730113</v>
      </c>
      <c r="C550" s="43">
        <v>83.23132870050992</v>
      </c>
      <c r="D550" s="43">
        <v>83.281456017995168</v>
      </c>
      <c r="E550" s="43">
        <v>83.165455391313742</v>
      </c>
      <c r="F550" s="43">
        <v>82.914521595043311</v>
      </c>
      <c r="G550" s="43">
        <v>82.555164042554878</v>
      </c>
      <c r="H550" s="43">
        <v>82.109650609845602</v>
      </c>
      <c r="I550" s="43">
        <v>81.596617654658502</v>
      </c>
    </row>
    <row r="551" spans="1:9">
      <c r="A551" s="19">
        <v>414.5</v>
      </c>
      <c r="B551" s="43">
        <v>82.999302731461569</v>
      </c>
      <c r="C551" s="43">
        <v>83.251949835389809</v>
      </c>
      <c r="D551" s="43">
        <v>83.302624890817043</v>
      </c>
      <c r="E551" s="43">
        <v>83.187124472010993</v>
      </c>
      <c r="F551" s="43">
        <v>82.93663787460838</v>
      </c>
      <c r="G551" s="43">
        <v>82.577672773216193</v>
      </c>
      <c r="H551" s="43">
        <v>82.132497388192604</v>
      </c>
      <c r="I551" s="43">
        <v>81.619749477570878</v>
      </c>
    </row>
    <row r="552" spans="1:9">
      <c r="A552" s="19">
        <v>414.6</v>
      </c>
      <c r="B552" s="43">
        <v>83.019339347134405</v>
      </c>
      <c r="C552" s="43">
        <v>83.272569987948771</v>
      </c>
      <c r="D552" s="43">
        <v>83.323792807998302</v>
      </c>
      <c r="E552" s="43">
        <v>83.208792676673141</v>
      </c>
      <c r="F552" s="43">
        <v>82.9587533988595</v>
      </c>
      <c r="G552" s="43">
        <v>82.600180901431514</v>
      </c>
      <c r="H552" s="43">
        <v>82.155343742703138</v>
      </c>
      <c r="I552" s="43">
        <v>81.642881076581347</v>
      </c>
    </row>
    <row r="553" spans="1:9">
      <c r="A553" s="19">
        <v>414.7</v>
      </c>
      <c r="B553" s="43">
        <v>83.039375021202886</v>
      </c>
      <c r="C553" s="43">
        <v>83.293189158478924</v>
      </c>
      <c r="D553" s="43">
        <v>83.344959769647971</v>
      </c>
      <c r="E553" s="43">
        <v>83.230460005247579</v>
      </c>
      <c r="F553" s="43">
        <v>82.98086816758871</v>
      </c>
      <c r="G553" s="43">
        <v>82.622688426842416</v>
      </c>
      <c r="H553" s="43">
        <v>82.178189672863198</v>
      </c>
      <c r="I553" s="43">
        <v>81.666012451022453</v>
      </c>
    </row>
    <row r="554" spans="1:9">
      <c r="A554" s="19">
        <v>414.8</v>
      </c>
      <c r="B554" s="43">
        <v>83.059409754132474</v>
      </c>
      <c r="C554" s="43">
        <v>83.313807347263946</v>
      </c>
      <c r="D554" s="43">
        <v>83.366125775890168</v>
      </c>
      <c r="E554" s="43">
        <v>83.252126457689371</v>
      </c>
      <c r="F554" s="43">
        <v>83.002982180588077</v>
      </c>
      <c r="G554" s="43">
        <v>82.645195349081348</v>
      </c>
      <c r="H554" s="43">
        <v>82.201035178162641</v>
      </c>
      <c r="I554" s="43">
        <v>81.689143600233677</v>
      </c>
    </row>
    <row r="555" spans="1:9">
      <c r="A555" s="19">
        <v>414.9</v>
      </c>
      <c r="B555" s="43">
        <v>83.079443546415234</v>
      </c>
      <c r="C555" s="43">
        <v>83.33442455461838</v>
      </c>
      <c r="D555" s="43">
        <v>83.38729082685515</v>
      </c>
      <c r="E555" s="43">
        <v>83.273792033954749</v>
      </c>
      <c r="F555" s="43">
        <v>83.025095437648076</v>
      </c>
      <c r="G555" s="43">
        <v>82.667701667780051</v>
      </c>
      <c r="H555" s="43">
        <v>82.223880258077401</v>
      </c>
      <c r="I555" s="43">
        <v>81.712274523526219</v>
      </c>
    </row>
    <row r="556" spans="1:9">
      <c r="A556" s="19">
        <v>415</v>
      </c>
      <c r="B556" s="43">
        <v>83.099476398495966</v>
      </c>
      <c r="C556" s="43">
        <v>83.355040780837015</v>
      </c>
      <c r="D556" s="43">
        <v>83.408454922662742</v>
      </c>
      <c r="E556" s="43">
        <v>83.295456733999373</v>
      </c>
      <c r="F556" s="43">
        <v>83.047207938562138</v>
      </c>
      <c r="G556" s="43">
        <v>82.690207382578166</v>
      </c>
      <c r="H556" s="43">
        <v>82.246724912087302</v>
      </c>
      <c r="I556" s="43">
        <v>81.735405220252346</v>
      </c>
    </row>
    <row r="557" spans="1:9">
      <c r="A557" s="19">
        <v>415.1</v>
      </c>
      <c r="B557" s="43">
        <v>83.119508310869548</v>
      </c>
      <c r="C557" s="43">
        <v>83.37565602622837</v>
      </c>
      <c r="D557" s="43">
        <v>83.429618063445304</v>
      </c>
      <c r="E557" s="43">
        <v>83.317120557776377</v>
      </c>
      <c r="F557" s="43">
        <v>83.069319683123155</v>
      </c>
      <c r="G557" s="43">
        <v>82.71271249310908</v>
      </c>
      <c r="H557" s="43">
        <v>82.269569139677174</v>
      </c>
      <c r="I557" s="43">
        <v>81.758535689727438</v>
      </c>
    </row>
    <row r="558" spans="1:9">
      <c r="A558" s="19">
        <v>415.2</v>
      </c>
      <c r="B558" s="43">
        <v>83.139539284004911</v>
      </c>
      <c r="C558" s="43">
        <v>83.396270291081493</v>
      </c>
      <c r="D558" s="43">
        <v>83.450780249326954</v>
      </c>
      <c r="E558" s="43">
        <v>83.338783505244294</v>
      </c>
      <c r="F558" s="43">
        <v>83.091430671124613</v>
      </c>
      <c r="G558" s="43">
        <v>82.735216999013147</v>
      </c>
      <c r="H558" s="43">
        <v>82.292412940332099</v>
      </c>
      <c r="I558" s="43">
        <v>81.781665931283868</v>
      </c>
    </row>
    <row r="559" spans="1:9">
      <c r="A559" s="19">
        <v>415.3</v>
      </c>
      <c r="B559" s="43">
        <v>83.159569318381216</v>
      </c>
      <c r="C559" s="43">
        <v>83.416883575722323</v>
      </c>
      <c r="D559" s="43">
        <v>83.471941480436328</v>
      </c>
      <c r="E559" s="43">
        <v>83.36044557636265</v>
      </c>
      <c r="F559" s="43">
        <v>83.113540902361279</v>
      </c>
      <c r="G559" s="43">
        <v>82.757720899924038</v>
      </c>
      <c r="H559" s="43">
        <v>82.315256313534661</v>
      </c>
      <c r="I559" s="43">
        <v>81.804795944249406</v>
      </c>
    </row>
    <row r="560" spans="1:9">
      <c r="A560" s="19">
        <v>415.4</v>
      </c>
      <c r="B560" s="43">
        <v>83.179598414443348</v>
      </c>
      <c r="C560" s="43">
        <v>83.437495880421409</v>
      </c>
      <c r="D560" s="43">
        <v>83.49310175689331</v>
      </c>
      <c r="E560" s="43">
        <v>83.382106771082789</v>
      </c>
      <c r="F560" s="43">
        <v>83.135650376629059</v>
      </c>
      <c r="G560" s="43">
        <v>82.780224195486312</v>
      </c>
      <c r="H560" s="43">
        <v>82.338099258777731</v>
      </c>
      <c r="I560" s="43">
        <v>81.827925727984137</v>
      </c>
    </row>
    <row r="561" spans="1:9">
      <c r="A561" s="19">
        <v>415.5</v>
      </c>
      <c r="B561" s="43">
        <v>83.199626572661515</v>
      </c>
      <c r="C561" s="43">
        <v>83.458107205481639</v>
      </c>
      <c r="D561" s="43">
        <v>83.514261078818066</v>
      </c>
      <c r="E561" s="43">
        <v>83.403767089360628</v>
      </c>
      <c r="F561" s="43">
        <v>83.157759093724849</v>
      </c>
      <c r="G561" s="43">
        <v>82.80272688534609</v>
      </c>
      <c r="H561" s="43">
        <v>82.360941775555659</v>
      </c>
      <c r="I561" s="43">
        <v>81.85105528181856</v>
      </c>
    </row>
    <row r="562" spans="1:9">
      <c r="A562" s="19">
        <v>415.6</v>
      </c>
      <c r="B562" s="43">
        <v>83.21965379354674</v>
      </c>
      <c r="C562" s="43">
        <v>83.478717551232876</v>
      </c>
      <c r="D562" s="43">
        <v>83.535419446359157</v>
      </c>
      <c r="E562" s="43">
        <v>83.425426531165925</v>
      </c>
      <c r="F562" s="43">
        <v>83.17986705344245</v>
      </c>
      <c r="G562" s="43">
        <v>82.825228969127295</v>
      </c>
      <c r="H562" s="43">
        <v>82.383783863334799</v>
      </c>
      <c r="I562" s="43">
        <v>81.87418460506322</v>
      </c>
    </row>
    <row r="563" spans="1:9">
      <c r="A563" s="19">
        <v>415.7</v>
      </c>
      <c r="B563" s="43">
        <v>83.239680077559257</v>
      </c>
      <c r="C563" s="43">
        <v>83.499326917963685</v>
      </c>
      <c r="D563" s="43">
        <v>83.556576859638511</v>
      </c>
      <c r="E563" s="43">
        <v>83.447085096452184</v>
      </c>
      <c r="F563" s="43">
        <v>83.201974255580893</v>
      </c>
      <c r="G563" s="43">
        <v>82.847730446479176</v>
      </c>
      <c r="H563" s="43">
        <v>82.406625521612312</v>
      </c>
      <c r="I563" s="43">
        <v>81.897313697062629</v>
      </c>
    </row>
    <row r="564" spans="1:9">
      <c r="A564" s="19">
        <v>415.8</v>
      </c>
      <c r="B564" s="43">
        <v>83.259705425165862</v>
      </c>
      <c r="C564" s="43">
        <v>83.519935305975764</v>
      </c>
      <c r="D564" s="43">
        <v>83.577733318776723</v>
      </c>
      <c r="E564" s="43">
        <v>83.46874278517717</v>
      </c>
      <c r="F564" s="43">
        <v>83.224080699938241</v>
      </c>
      <c r="G564" s="43">
        <v>82.870231317045153</v>
      </c>
      <c r="H564" s="43">
        <v>82.429466749887609</v>
      </c>
      <c r="I564" s="43">
        <v>81.920442557180081</v>
      </c>
    </row>
    <row r="565" spans="1:9">
      <c r="A565" s="19">
        <v>415.9</v>
      </c>
      <c r="B565" s="43">
        <v>83.279729836829773</v>
      </c>
      <c r="C565" s="43">
        <v>83.540542715571007</v>
      </c>
      <c r="D565" s="43">
        <v>83.59888882391013</v>
      </c>
      <c r="E565" s="43">
        <v>83.490399597303451</v>
      </c>
      <c r="F565" s="43">
        <v>83.246186386312615</v>
      </c>
      <c r="G565" s="43">
        <v>82.892731580468677</v>
      </c>
      <c r="H565" s="43">
        <v>82.452307547643443</v>
      </c>
      <c r="I565" s="43">
        <v>81.943571184730871</v>
      </c>
    </row>
    <row r="566" spans="1:9">
      <c r="A566" s="19">
        <v>416</v>
      </c>
      <c r="B566" s="43">
        <v>83.29975331306062</v>
      </c>
      <c r="C566" s="43">
        <v>83.5611491470668</v>
      </c>
      <c r="D566" s="43">
        <v>83.620043375174902</v>
      </c>
      <c r="E566" s="43">
        <v>83.51205553279442</v>
      </c>
      <c r="F566" s="43">
        <v>83.268291314503188</v>
      </c>
      <c r="G566" s="43">
        <v>82.915231236388706</v>
      </c>
      <c r="H566" s="43">
        <v>82.47514791436376</v>
      </c>
      <c r="I566" s="43">
        <v>81.96669957905786</v>
      </c>
    </row>
    <row r="567" spans="1:9">
      <c r="A567" s="19">
        <v>416.1</v>
      </c>
      <c r="B567" s="43">
        <v>83.319775854282</v>
      </c>
      <c r="C567" s="43">
        <v>83.581754600744318</v>
      </c>
      <c r="D567" s="43">
        <v>83.641196972682991</v>
      </c>
      <c r="E567" s="43">
        <v>83.533710591604688</v>
      </c>
      <c r="F567" s="43">
        <v>83.290395484310494</v>
      </c>
      <c r="G567" s="43">
        <v>82.937730284455341</v>
      </c>
      <c r="H567" s="43">
        <v>82.497987849557916</v>
      </c>
      <c r="I567" s="43">
        <v>81.989827739514624</v>
      </c>
    </row>
    <row r="568" spans="1:9">
      <c r="A568" s="19">
        <v>416.2</v>
      </c>
      <c r="B568" s="43">
        <v>83.339797461017241</v>
      </c>
      <c r="C568" s="43">
        <v>83.602359076934277</v>
      </c>
      <c r="D568" s="43">
        <v>83.662349616587193</v>
      </c>
      <c r="E568" s="43">
        <v>83.555364773704781</v>
      </c>
      <c r="F568" s="43">
        <v>83.312498895534333</v>
      </c>
      <c r="G568" s="43">
        <v>82.96022872430899</v>
      </c>
      <c r="H568" s="43">
        <v>82.520827352702781</v>
      </c>
      <c r="I568" s="43">
        <v>82.012955665431235</v>
      </c>
    </row>
    <row r="569" spans="1:9">
      <c r="A569" s="19">
        <v>416.3</v>
      </c>
      <c r="B569" s="43">
        <v>83.359818133713503</v>
      </c>
      <c r="C569" s="43">
        <v>83.622962575927602</v>
      </c>
      <c r="D569" s="43">
        <v>83.683501307003667</v>
      </c>
      <c r="E569" s="43">
        <v>83.577018079052039</v>
      </c>
      <c r="F569" s="43">
        <v>83.33460154797632</v>
      </c>
      <c r="G569" s="43">
        <v>82.982726555596031</v>
      </c>
      <c r="H569" s="43">
        <v>82.543666423301829</v>
      </c>
      <c r="I569" s="43">
        <v>82.036083356151295</v>
      </c>
    </row>
    <row r="570" spans="1:9">
      <c r="A570" s="19">
        <v>416.4</v>
      </c>
      <c r="B570" s="43">
        <v>83.379837872852164</v>
      </c>
      <c r="C570" s="43">
        <v>83.643565098034429</v>
      </c>
      <c r="D570" s="43">
        <v>83.704652044071878</v>
      </c>
      <c r="E570" s="43">
        <v>83.598670507610734</v>
      </c>
      <c r="F570" s="43">
        <v>83.356703441438782</v>
      </c>
      <c r="G570" s="43">
        <v>83.00522377796662</v>
      </c>
      <c r="H570" s="43">
        <v>82.566505060849209</v>
      </c>
      <c r="I570" s="43">
        <v>82.059210811027384</v>
      </c>
    </row>
    <row r="571" spans="1:9">
      <c r="A571" s="19">
        <v>416.5</v>
      </c>
      <c r="B571" s="43">
        <v>83.399856678913835</v>
      </c>
      <c r="C571" s="43">
        <v>83.664166643551738</v>
      </c>
      <c r="D571" s="43">
        <v>83.725801827916655</v>
      </c>
      <c r="E571" s="43">
        <v>83.620322059345796</v>
      </c>
      <c r="F571" s="43">
        <v>83.378804575723876</v>
      </c>
      <c r="G571" s="43">
        <v>83.027720391066481</v>
      </c>
      <c r="H571" s="43">
        <v>82.589343264839556</v>
      </c>
      <c r="I571" s="43">
        <v>82.082338029400546</v>
      </c>
    </row>
    <row r="572" spans="1:9">
      <c r="A572" s="19">
        <v>416.6</v>
      </c>
      <c r="B572" s="43">
        <v>83.4198745523978</v>
      </c>
      <c r="C572" s="43">
        <v>83.684767212820418</v>
      </c>
      <c r="D572" s="43">
        <v>83.74695065869463</v>
      </c>
      <c r="E572" s="43">
        <v>83.641972734227352</v>
      </c>
      <c r="F572" s="43">
        <v>83.400904950633816</v>
      </c>
      <c r="G572" s="43">
        <v>83.050216394533351</v>
      </c>
      <c r="H572" s="43">
        <v>82.612181034751302</v>
      </c>
      <c r="I572" s="43">
        <v>82.105465010598039</v>
      </c>
    </row>
    <row r="573" spans="1:9">
      <c r="A573" s="19">
        <v>416.7</v>
      </c>
      <c r="B573" s="43">
        <v>83.439891493735701</v>
      </c>
      <c r="C573" s="43">
        <v>83.705366806107094</v>
      </c>
      <c r="D573" s="43">
        <v>83.768098536513264</v>
      </c>
      <c r="E573" s="43">
        <v>83.663622532209274</v>
      </c>
      <c r="F573" s="43">
        <v>83.423004565974139</v>
      </c>
      <c r="G573" s="43">
        <v>83.072711788029977</v>
      </c>
      <c r="H573" s="43">
        <v>82.635018370110657</v>
      </c>
      <c r="I573" s="43">
        <v>82.128591753991003</v>
      </c>
    </row>
    <row r="574" spans="1:9">
      <c r="A574" s="19">
        <v>416.8</v>
      </c>
      <c r="B574" s="43">
        <v>83.459907503412069</v>
      </c>
      <c r="C574" s="43">
        <v>83.725965423724858</v>
      </c>
      <c r="D574" s="43">
        <v>83.789245461510887</v>
      </c>
      <c r="E574" s="43">
        <v>83.68527145326351</v>
      </c>
      <c r="F574" s="43">
        <v>83.445103421549362</v>
      </c>
      <c r="G574" s="43">
        <v>83.095206571205608</v>
      </c>
      <c r="H574" s="43">
        <v>82.657855270406827</v>
      </c>
      <c r="I574" s="43">
        <v>82.151718258929151</v>
      </c>
    </row>
    <row r="575" spans="1:9">
      <c r="A575" s="19">
        <v>416.9</v>
      </c>
      <c r="B575" s="43">
        <v>83.479922581923745</v>
      </c>
      <c r="C575" s="43">
        <v>83.746563065997975</v>
      </c>
      <c r="D575" s="43">
        <v>83.810391433827959</v>
      </c>
      <c r="E575" s="43">
        <v>83.706919497353084</v>
      </c>
      <c r="F575" s="43">
        <v>83.467201517163517</v>
      </c>
      <c r="G575" s="43">
        <v>83.1177007437025</v>
      </c>
      <c r="H575" s="43">
        <v>82.680691735132399</v>
      </c>
      <c r="I575" s="43">
        <v>82.174844524746078</v>
      </c>
    </row>
    <row r="576" spans="1:9">
      <c r="A576" s="19">
        <v>417</v>
      </c>
      <c r="B576" s="43">
        <v>83.499936729750857</v>
      </c>
      <c r="C576" s="43">
        <v>83.767159733229505</v>
      </c>
      <c r="D576" s="43">
        <v>83.831536453601444</v>
      </c>
      <c r="E576" s="43">
        <v>83.728566664452842</v>
      </c>
      <c r="F576" s="43">
        <v>83.489298852623335</v>
      </c>
      <c r="G576" s="43">
        <v>83.140194305173452</v>
      </c>
      <c r="H576" s="43">
        <v>82.703527763784109</v>
      </c>
      <c r="I576" s="43">
        <v>82.197970550792832</v>
      </c>
    </row>
    <row r="577" spans="1:9">
      <c r="A577" s="19">
        <v>417.1</v>
      </c>
      <c r="B577" s="43">
        <v>83.519949947355798</v>
      </c>
      <c r="C577" s="43">
        <v>83.787755425733565</v>
      </c>
      <c r="D577" s="43">
        <v>83.852680520966089</v>
      </c>
      <c r="E577" s="43">
        <v>83.750212954522311</v>
      </c>
      <c r="F577" s="43">
        <v>83.511395427734556</v>
      </c>
      <c r="G577" s="43">
        <v>83.162687255270441</v>
      </c>
      <c r="H577" s="43">
        <v>82.726363355866908</v>
      </c>
      <c r="I577" s="43">
        <v>82.22109633641594</v>
      </c>
    </row>
    <row r="578" spans="1:9">
      <c r="A578" s="19">
        <v>417.2</v>
      </c>
      <c r="B578" s="43">
        <v>83.539962235228273</v>
      </c>
      <c r="C578" s="43">
        <v>83.8083501438133</v>
      </c>
      <c r="D578" s="43">
        <v>83.873823636058972</v>
      </c>
      <c r="E578" s="43">
        <v>83.77185836753435</v>
      </c>
      <c r="F578" s="43">
        <v>83.533491242305047</v>
      </c>
      <c r="G578" s="43">
        <v>83.185179593645444</v>
      </c>
      <c r="H578" s="43">
        <v>82.749198510881001</v>
      </c>
      <c r="I578" s="43">
        <v>82.24422188097742</v>
      </c>
    </row>
    <row r="579" spans="1:9">
      <c r="A579" s="19">
        <v>417.3</v>
      </c>
      <c r="B579" s="43">
        <v>83.559973593850714</v>
      </c>
      <c r="C579" s="43">
        <v>83.828943887783026</v>
      </c>
      <c r="D579" s="43">
        <v>83.89496579901521</v>
      </c>
      <c r="E579" s="43">
        <v>83.793502903455533</v>
      </c>
      <c r="F579" s="43">
        <v>83.555586296142394</v>
      </c>
      <c r="G579" s="43">
        <v>83.207671319953818</v>
      </c>
      <c r="H579" s="43">
        <v>82.772033228327217</v>
      </c>
      <c r="I579" s="43">
        <v>82.267347183819624</v>
      </c>
    </row>
    <row r="580" spans="1:9">
      <c r="A580" s="19">
        <v>417.4</v>
      </c>
      <c r="B580" s="43">
        <v>83.579984023665986</v>
      </c>
      <c r="C580" s="43">
        <v>83.849536657939268</v>
      </c>
      <c r="D580" s="43">
        <v>83.916107009963838</v>
      </c>
      <c r="E580" s="43">
        <v>83.815146562252124</v>
      </c>
      <c r="F580" s="43">
        <v>83.577680589055319</v>
      </c>
      <c r="G580" s="43">
        <v>83.230162433850836</v>
      </c>
      <c r="H580" s="43">
        <v>82.794867507718152</v>
      </c>
      <c r="I580" s="43">
        <v>82.29047224431838</v>
      </c>
    </row>
    <row r="581" spans="1:9">
      <c r="A581" s="19">
        <v>417.5</v>
      </c>
      <c r="B581" s="43">
        <v>83.599993525185113</v>
      </c>
      <c r="C581" s="43">
        <v>83.87012845459941</v>
      </c>
      <c r="D581" s="43">
        <v>83.937247269051568</v>
      </c>
      <c r="E581" s="43">
        <v>83.836789343896925</v>
      </c>
      <c r="F581" s="43">
        <v>83.599774120852999</v>
      </c>
      <c r="G581" s="43">
        <v>83.252652934989555</v>
      </c>
      <c r="H581" s="43">
        <v>82.817701348553584</v>
      </c>
      <c r="I581" s="43">
        <v>82.313597061805126</v>
      </c>
    </row>
    <row r="582" spans="1:9">
      <c r="A582" s="19">
        <v>417.6</v>
      </c>
      <c r="B582" s="43">
        <v>83.620002098894417</v>
      </c>
      <c r="C582" s="43">
        <v>83.89071927808584</v>
      </c>
      <c r="D582" s="43">
        <v>83.958386576424687</v>
      </c>
      <c r="E582" s="43">
        <v>83.858431248365434</v>
      </c>
      <c r="F582" s="43">
        <v>83.621866891344581</v>
      </c>
      <c r="G582" s="43">
        <v>83.2751428230209</v>
      </c>
      <c r="H582" s="43">
        <v>82.840534750326299</v>
      </c>
      <c r="I582" s="43">
        <v>82.33672163562747</v>
      </c>
    </row>
    <row r="583" spans="1:9">
      <c r="A583" s="19">
        <v>417.7</v>
      </c>
      <c r="B583" s="43">
        <v>83.640009745262006</v>
      </c>
      <c r="C583" s="43">
        <v>83.911309128705255</v>
      </c>
      <c r="D583" s="43">
        <v>83.979524932209898</v>
      </c>
      <c r="E583" s="43">
        <v>83.880072275619966</v>
      </c>
      <c r="F583" s="43">
        <v>83.643958900341232</v>
      </c>
      <c r="G583" s="43">
        <v>83.297632097604264</v>
      </c>
      <c r="H583" s="43">
        <v>82.863367712549774</v>
      </c>
      <c r="I583" s="43">
        <v>82.359845965161441</v>
      </c>
    </row>
    <row r="584" spans="1:9">
      <c r="A584" s="19">
        <v>417.8</v>
      </c>
      <c r="B584" s="43">
        <v>83.660016464757064</v>
      </c>
      <c r="C584" s="43">
        <v>83.93189800676231</v>
      </c>
      <c r="D584" s="43">
        <v>84.00066233654394</v>
      </c>
      <c r="E584" s="43">
        <v>83.901712425636816</v>
      </c>
      <c r="F584" s="43">
        <v>83.666050147653891</v>
      </c>
      <c r="G584" s="43">
        <v>83.320120758398048</v>
      </c>
      <c r="H584" s="43">
        <v>82.886200234731831</v>
      </c>
      <c r="I584" s="43">
        <v>82.382970049759223</v>
      </c>
    </row>
    <row r="585" spans="1:9">
      <c r="A585" s="19">
        <v>417.9</v>
      </c>
      <c r="B585" s="43">
        <v>83.680022257872054</v>
      </c>
      <c r="C585" s="43">
        <v>83.952485912573451</v>
      </c>
      <c r="D585" s="43">
        <v>84.021798789575541</v>
      </c>
      <c r="E585" s="43">
        <v>83.92335169838563</v>
      </c>
      <c r="F585" s="43">
        <v>83.688140633094093</v>
      </c>
      <c r="G585" s="43">
        <v>83.342608805058802</v>
      </c>
      <c r="H585" s="43">
        <v>82.909032316380348</v>
      </c>
      <c r="I585" s="43">
        <v>82.406093888772517</v>
      </c>
    </row>
    <row r="586" spans="1:9">
      <c r="A586" s="19">
        <v>418</v>
      </c>
      <c r="B586" s="43">
        <v>83.700027125102537</v>
      </c>
      <c r="C586" s="43">
        <v>83.973072846467545</v>
      </c>
      <c r="D586" s="43">
        <v>84.042934291452184</v>
      </c>
      <c r="E586" s="43">
        <v>83.944990093847963</v>
      </c>
      <c r="F586" s="43">
        <v>83.710230356474142</v>
      </c>
      <c r="G586" s="43">
        <v>83.36509623723947</v>
      </c>
      <c r="H586" s="43">
        <v>82.931863956988906</v>
      </c>
      <c r="I586" s="43">
        <v>82.429217481549102</v>
      </c>
    </row>
    <row r="587" spans="1:9">
      <c r="A587" s="19">
        <v>418.1</v>
      </c>
      <c r="B587" s="43">
        <v>83.720031066895388</v>
      </c>
      <c r="C587" s="43">
        <v>83.993658808715509</v>
      </c>
      <c r="D587" s="43">
        <v>84.064068842291391</v>
      </c>
      <c r="E587" s="43">
        <v>83.966627611981977</v>
      </c>
      <c r="F587" s="43">
        <v>83.732319317607761</v>
      </c>
      <c r="G587" s="43">
        <v>83.387583054609365</v>
      </c>
      <c r="H587" s="43">
        <v>82.954695156093663</v>
      </c>
      <c r="I587" s="43">
        <v>82.452340827481947</v>
      </c>
    </row>
    <row r="588" spans="1:9">
      <c r="A588" s="19">
        <v>418.2</v>
      </c>
      <c r="B588" s="43">
        <v>83.740034083748554</v>
      </c>
      <c r="C588" s="43">
        <v>84.01424379967105</v>
      </c>
      <c r="D588" s="43">
        <v>84.085202442251955</v>
      </c>
      <c r="E588" s="43">
        <v>83.988264252771785</v>
      </c>
      <c r="F588" s="43">
        <v>83.754407516308106</v>
      </c>
      <c r="G588" s="43">
        <v>83.410069256821032</v>
      </c>
      <c r="H588" s="43">
        <v>82.977525913179392</v>
      </c>
      <c r="I588" s="43">
        <v>82.475463925899675</v>
      </c>
    </row>
    <row r="589" spans="1:9">
      <c r="A589" s="19">
        <v>418.3</v>
      </c>
      <c r="B589" s="43">
        <v>83.760036176141398</v>
      </c>
      <c r="C589" s="43">
        <v>84.034827819628362</v>
      </c>
      <c r="D589" s="43">
        <v>84.10633509146848</v>
      </c>
      <c r="E589" s="43">
        <v>84.009900016188396</v>
      </c>
      <c r="F589" s="43">
        <v>83.776494952389839</v>
      </c>
      <c r="G589" s="43">
        <v>83.432554843536735</v>
      </c>
      <c r="H589" s="43">
        <v>83.000356227769259</v>
      </c>
      <c r="I589" s="43">
        <v>82.498586776185675</v>
      </c>
    </row>
    <row r="590" spans="1:9">
      <c r="A590" s="19">
        <v>418.4</v>
      </c>
      <c r="B590" s="43">
        <v>83.780037344571014</v>
      </c>
      <c r="C590" s="43">
        <v>84.05541086891219</v>
      </c>
      <c r="D590" s="43">
        <v>84.127466790091745</v>
      </c>
      <c r="E590" s="43">
        <v>84.03153490221041</v>
      </c>
      <c r="F590" s="43">
        <v>83.79858162566768</v>
      </c>
      <c r="G590" s="43">
        <v>83.455039814415557</v>
      </c>
      <c r="H590" s="43">
        <v>83.023186099365006</v>
      </c>
      <c r="I590" s="43">
        <v>82.521709377682441</v>
      </c>
    </row>
    <row r="591" spans="1:9">
      <c r="A591" s="19">
        <v>418.5</v>
      </c>
      <c r="B591" s="43">
        <v>83.800037589499823</v>
      </c>
      <c r="C591" s="43">
        <v>84.075992947834266</v>
      </c>
      <c r="D591" s="43">
        <v>84.148597538253114</v>
      </c>
      <c r="E591" s="43">
        <v>84.053168910808552</v>
      </c>
      <c r="F591" s="43">
        <v>83.820667535957682</v>
      </c>
      <c r="G591" s="43">
        <v>83.477524169122887</v>
      </c>
      <c r="H591" s="43">
        <v>83.046015527487441</v>
      </c>
      <c r="I591" s="43">
        <v>82.544831729768021</v>
      </c>
    </row>
    <row r="592" spans="1:9">
      <c r="A592" s="19">
        <v>418.6</v>
      </c>
      <c r="B592" s="43">
        <v>83.820036911432709</v>
      </c>
      <c r="C592" s="43">
        <v>84.096574056717458</v>
      </c>
      <c r="D592" s="43">
        <v>84.169727336116551</v>
      </c>
      <c r="E592" s="43">
        <v>84.074802041969122</v>
      </c>
      <c r="F592" s="43">
        <v>83.842752683075759</v>
      </c>
      <c r="G592" s="43">
        <v>83.500007907314313</v>
      </c>
      <c r="H592" s="43">
        <v>83.068844511636314</v>
      </c>
      <c r="I592" s="43">
        <v>82.567953831784166</v>
      </c>
    </row>
    <row r="593" spans="1:9">
      <c r="A593" s="19">
        <v>418.7</v>
      </c>
      <c r="B593" s="43">
        <v>83.840035310825272</v>
      </c>
      <c r="C593" s="43">
        <v>84.117154195857722</v>
      </c>
      <c r="D593" s="43">
        <v>84.190856183798559</v>
      </c>
      <c r="E593" s="43">
        <v>84.096434295654433</v>
      </c>
      <c r="F593" s="43">
        <v>83.864837066839186</v>
      </c>
      <c r="G593" s="43">
        <v>83.52249102866395</v>
      </c>
      <c r="H593" s="43">
        <v>83.091673051340081</v>
      </c>
      <c r="I593" s="43">
        <v>82.59107568312308</v>
      </c>
    </row>
    <row r="594" spans="1:9">
      <c r="A594" s="19">
        <v>418.8</v>
      </c>
      <c r="B594" s="43">
        <v>83.86003278814556</v>
      </c>
      <c r="C594" s="43">
        <v>84.137733365569744</v>
      </c>
      <c r="D594" s="43">
        <v>84.211984081450083</v>
      </c>
      <c r="E594" s="43">
        <v>84.118065671846665</v>
      </c>
      <c r="F594" s="43">
        <v>83.886920687065611</v>
      </c>
      <c r="G594" s="43">
        <v>83.544973532833012</v>
      </c>
      <c r="H594" s="43">
        <v>83.11450114611722</v>
      </c>
      <c r="I594" s="43">
        <v>82.614197283153146</v>
      </c>
    </row>
    <row r="595" spans="1:9">
      <c r="A595" s="19">
        <v>418.9</v>
      </c>
      <c r="B595" s="43">
        <v>83.880029343931938</v>
      </c>
      <c r="C595" s="43">
        <v>84.15831156620257</v>
      </c>
      <c r="D595" s="43">
        <v>84.233111029238017</v>
      </c>
      <c r="E595" s="43">
        <v>84.139696170530613</v>
      </c>
      <c r="F595" s="43">
        <v>83.909003543573078</v>
      </c>
      <c r="G595" s="43">
        <v>83.567455419477739</v>
      </c>
      <c r="H595" s="43">
        <v>83.137328795463162</v>
      </c>
      <c r="I595" s="43">
        <v>82.637318631211343</v>
      </c>
    </row>
    <row r="596" spans="1:9">
      <c r="A596" s="19">
        <v>419</v>
      </c>
      <c r="B596" s="43">
        <v>83.900024978632644</v>
      </c>
      <c r="C596" s="43">
        <v>84.178888798046557</v>
      </c>
      <c r="D596" s="43">
        <v>84.254237027286138</v>
      </c>
      <c r="E596" s="43">
        <v>84.161325791679303</v>
      </c>
      <c r="F596" s="43">
        <v>83.931085636180626</v>
      </c>
      <c r="G596" s="43">
        <v>83.589936688272417</v>
      </c>
      <c r="H596" s="43">
        <v>83.160155998900393</v>
      </c>
      <c r="I596" s="43">
        <v>82.660439726687912</v>
      </c>
    </row>
    <row r="597" spans="1:9">
      <c r="A597" s="19">
        <v>419.1</v>
      </c>
      <c r="B597" s="43">
        <v>83.920019692741022</v>
      </c>
      <c r="C597" s="43">
        <v>84.199465061424149</v>
      </c>
      <c r="D597" s="43">
        <v>84.275362075743089</v>
      </c>
      <c r="E597" s="43">
        <v>84.182954535273012</v>
      </c>
      <c r="F597" s="43">
        <v>83.953166964707833</v>
      </c>
      <c r="G597" s="43">
        <v>83.612417338879908</v>
      </c>
      <c r="H597" s="43">
        <v>83.182982755953105</v>
      </c>
      <c r="I597" s="43">
        <v>82.683560568945808</v>
      </c>
    </row>
    <row r="598" spans="1:9">
      <c r="A598" s="19">
        <v>419.2</v>
      </c>
      <c r="B598" s="43">
        <v>83.940013486732312</v>
      </c>
      <c r="C598" s="43">
        <v>84.220040356656199</v>
      </c>
      <c r="D598" s="43">
        <v>84.29648617475911</v>
      </c>
      <c r="E598" s="43">
        <v>84.204582401290139</v>
      </c>
      <c r="F598" s="43">
        <v>83.975247528974847</v>
      </c>
      <c r="G598" s="43">
        <v>83.634897370967707</v>
      </c>
      <c r="H598" s="43">
        <v>83.205809066133753</v>
      </c>
      <c r="I598" s="43">
        <v>82.706681157354581</v>
      </c>
    </row>
    <row r="599" spans="1:9">
      <c r="A599" s="19">
        <v>419.3</v>
      </c>
      <c r="B599" s="43">
        <v>83.960006361117905</v>
      </c>
      <c r="C599" s="43">
        <v>84.240614684069556</v>
      </c>
      <c r="D599" s="43">
        <v>84.317609324489752</v>
      </c>
      <c r="E599" s="43">
        <v>84.226209389715194</v>
      </c>
      <c r="F599" s="43">
        <v>83.997327328802612</v>
      </c>
      <c r="G599" s="43">
        <v>83.657376784201603</v>
      </c>
      <c r="H599" s="43">
        <v>83.228634928957689</v>
      </c>
      <c r="I599" s="43">
        <v>82.729801491275623</v>
      </c>
    </row>
    <row r="600" spans="1:9">
      <c r="A600" s="19">
        <v>419.4</v>
      </c>
      <c r="B600" s="43">
        <v>83.979998316348542</v>
      </c>
      <c r="C600" s="43">
        <v>84.261188043964353</v>
      </c>
      <c r="D600" s="43">
        <v>84.338731525067487</v>
      </c>
      <c r="E600" s="43">
        <v>84.24783550052274</v>
      </c>
      <c r="F600" s="43">
        <v>84.019406364012582</v>
      </c>
      <c r="G600" s="43">
        <v>83.679855578252699</v>
      </c>
      <c r="H600" s="43">
        <v>83.251460343946235</v>
      </c>
      <c r="I600" s="43">
        <v>82.752921570086272</v>
      </c>
    </row>
    <row r="601" spans="1:9">
      <c r="A601" s="19">
        <v>419.5</v>
      </c>
      <c r="B601" s="43">
        <v>83.999989352901082</v>
      </c>
      <c r="C601" s="43">
        <v>84.281760436654423</v>
      </c>
      <c r="D601" s="43">
        <v>84.35985277663633</v>
      </c>
      <c r="E601" s="43">
        <v>84.269460733693563</v>
      </c>
      <c r="F601" s="43">
        <v>84.04148463442678</v>
      </c>
      <c r="G601" s="43">
        <v>83.702333752795539</v>
      </c>
      <c r="H601" s="43">
        <v>83.274285310634355</v>
      </c>
      <c r="I601" s="43">
        <v>82.776041393182908</v>
      </c>
    </row>
    <row r="602" spans="1:9">
      <c r="A602" s="19">
        <v>419.6</v>
      </c>
      <c r="B602" s="43">
        <v>84.019979471309682</v>
      </c>
      <c r="C602" s="43">
        <v>84.302331862489439</v>
      </c>
      <c r="D602" s="43">
        <v>84.380973079364878</v>
      </c>
      <c r="E602" s="43">
        <v>84.291085089219251</v>
      </c>
      <c r="F602" s="43">
        <v>84.063562139868253</v>
      </c>
      <c r="G602" s="43">
        <v>83.724811307487101</v>
      </c>
      <c r="H602" s="43">
        <v>83.297109828512305</v>
      </c>
      <c r="I602" s="43">
        <v>82.799160959897421</v>
      </c>
    </row>
    <row r="603" spans="1:9">
      <c r="A603" s="19">
        <v>419.7</v>
      </c>
      <c r="B603" s="43">
        <v>84.039968672022894</v>
      </c>
      <c r="C603" s="43">
        <v>84.322902321763621</v>
      </c>
      <c r="D603" s="43">
        <v>84.402092433387224</v>
      </c>
      <c r="E603" s="43">
        <v>84.31270856707394</v>
      </c>
      <c r="F603" s="43">
        <v>84.085638880160246</v>
      </c>
      <c r="G603" s="43">
        <v>83.747288242006789</v>
      </c>
      <c r="H603" s="43">
        <v>83.319933897128891</v>
      </c>
      <c r="I603" s="43">
        <v>82.822280269628294</v>
      </c>
    </row>
    <row r="604" spans="1:9">
      <c r="A604" s="19">
        <v>419.8</v>
      </c>
      <c r="B604" s="43">
        <v>84.059956955539207</v>
      </c>
      <c r="C604" s="43">
        <v>84.343471814810101</v>
      </c>
      <c r="D604" s="43">
        <v>84.423210838860371</v>
      </c>
      <c r="E604" s="43">
        <v>84.334331167243249</v>
      </c>
      <c r="F604" s="43">
        <v>84.107714855126915</v>
      </c>
      <c r="G604" s="43">
        <v>83.769764556021414</v>
      </c>
      <c r="H604" s="43">
        <v>83.342757515991508</v>
      </c>
      <c r="I604" s="43">
        <v>82.845399321741951</v>
      </c>
    </row>
    <row r="605" spans="1:9">
      <c r="A605" s="19">
        <v>419.9</v>
      </c>
      <c r="B605" s="43">
        <v>84.079944322349519</v>
      </c>
      <c r="C605" s="43">
        <v>84.364040341947032</v>
      </c>
      <c r="D605" s="43">
        <v>84.444328295933076</v>
      </c>
      <c r="E605" s="43">
        <v>84.355952889710636</v>
      </c>
      <c r="F605" s="43">
        <v>84.129790064592981</v>
      </c>
      <c r="G605" s="43">
        <v>83.792240249206969</v>
      </c>
      <c r="H605" s="43">
        <v>83.365580684623723</v>
      </c>
      <c r="I605" s="43">
        <v>82.868518115616382</v>
      </c>
    </row>
    <row r="606" spans="1:9">
      <c r="A606" s="19">
        <v>420</v>
      </c>
      <c r="B606" s="43">
        <v>84.052462495496826</v>
      </c>
      <c r="C606" s="43">
        <v>84.347606111270153</v>
      </c>
      <c r="D606" s="43">
        <v>84.439915194102156</v>
      </c>
      <c r="E606" s="43">
        <v>84.364221255694616</v>
      </c>
      <c r="F606" s="43">
        <v>84.151160325982033</v>
      </c>
      <c r="G606" s="43">
        <v>83.826949786881073</v>
      </c>
      <c r="H606" s="43">
        <v>83.413724357118355</v>
      </c>
      <c r="I606" s="43">
        <v>82.930075279476398</v>
      </c>
    </row>
    <row r="607" spans="1:9">
      <c r="A607" s="19">
        <v>420.1</v>
      </c>
      <c r="B607" s="43">
        <v>84.024823556183975</v>
      </c>
      <c r="C607" s="43">
        <v>84.330994419607208</v>
      </c>
      <c r="D607" s="43">
        <v>84.435305703798974</v>
      </c>
      <c r="E607" s="43">
        <v>84.372273352612979</v>
      </c>
      <c r="F607" s="43">
        <v>84.172290507829047</v>
      </c>
      <c r="G607" s="43">
        <v>83.86138854747216</v>
      </c>
      <c r="H607" s="43">
        <v>83.461557095367681</v>
      </c>
      <c r="I607" s="43">
        <v>82.991269918155012</v>
      </c>
    </row>
    <row r="608" spans="1:9">
      <c r="A608" s="19">
        <v>420.2</v>
      </c>
      <c r="B608" s="43">
        <v>84.044635686448686</v>
      </c>
      <c r="C608" s="43">
        <v>84.351362029038285</v>
      </c>
      <c r="D608" s="43">
        <v>84.456198178465343</v>
      </c>
      <c r="E608" s="43">
        <v>84.39364818409291</v>
      </c>
      <c r="F608" s="43">
        <v>84.194099325104844</v>
      </c>
      <c r="G608" s="43">
        <v>83.883580861576036</v>
      </c>
      <c r="H608" s="43">
        <v>83.484082460177035</v>
      </c>
      <c r="I608" s="43">
        <v>83.014079080490404</v>
      </c>
    </row>
    <row r="609" spans="1:9">
      <c r="A609" s="19">
        <v>420.3</v>
      </c>
      <c r="B609" s="43">
        <v>84.064446904893202</v>
      </c>
      <c r="C609" s="43">
        <v>84.371728671843783</v>
      </c>
      <c r="D609" s="43">
        <v>84.477089693299774</v>
      </c>
      <c r="E609" s="43">
        <v>84.415022111972689</v>
      </c>
      <c r="F609" s="43">
        <v>84.215907333704621</v>
      </c>
      <c r="G609" s="43">
        <v>83.905772492182166</v>
      </c>
      <c r="H609" s="43">
        <v>83.506607290704295</v>
      </c>
      <c r="I609" s="43">
        <v>83.03688787736624</v>
      </c>
    </row>
    <row r="610" spans="1:9">
      <c r="A610" s="19">
        <v>420.4</v>
      </c>
      <c r="B610" s="43">
        <v>84.084257212003905</v>
      </c>
      <c r="C610" s="43">
        <v>84.392094348357716</v>
      </c>
      <c r="D610" s="43">
        <v>84.497980248481042</v>
      </c>
      <c r="E610" s="43">
        <v>84.43639513626934</v>
      </c>
      <c r="F610" s="43">
        <v>84.237714533495819</v>
      </c>
      <c r="G610" s="43">
        <v>83.927963439015457</v>
      </c>
      <c r="H610" s="43">
        <v>83.529131586532628</v>
      </c>
      <c r="I610" s="43">
        <v>83.059696308225426</v>
      </c>
    </row>
    <row r="611" spans="1:9">
      <c r="A611" s="19">
        <v>420.5</v>
      </c>
      <c r="B611" s="43">
        <v>84.104066608180858</v>
      </c>
      <c r="C611" s="43">
        <v>84.412459058861657</v>
      </c>
      <c r="D611" s="43">
        <v>84.518869844147105</v>
      </c>
      <c r="E611" s="43">
        <v>84.457767256983686</v>
      </c>
      <c r="F611" s="43">
        <v>84.259520924345367</v>
      </c>
      <c r="G611" s="43">
        <v>83.950153701814116</v>
      </c>
      <c r="H611" s="43">
        <v>83.551655347267172</v>
      </c>
      <c r="I611" s="43">
        <v>83.082504372553643</v>
      </c>
    </row>
    <row r="612" spans="1:9">
      <c r="A612" s="19">
        <v>420.6</v>
      </c>
      <c r="B612" s="43">
        <v>84.123875093937897</v>
      </c>
      <c r="C612" s="43">
        <v>84.432822803708376</v>
      </c>
      <c r="D612" s="43">
        <v>84.539758480483584</v>
      </c>
      <c r="E612" s="43">
        <v>84.479138474140456</v>
      </c>
      <c r="F612" s="43">
        <v>84.281326506122525</v>
      </c>
      <c r="G612" s="43">
        <v>83.972343280295746</v>
      </c>
      <c r="H612" s="43">
        <v>83.574178572495384</v>
      </c>
      <c r="I612" s="43">
        <v>83.105312069782514</v>
      </c>
    </row>
    <row r="613" spans="1:9">
      <c r="A613" s="19">
        <v>420.7</v>
      </c>
      <c r="B613" s="43">
        <v>84.143682669726616</v>
      </c>
      <c r="C613" s="43">
        <v>84.453185583195904</v>
      </c>
      <c r="D613" s="43">
        <v>84.560646157648307</v>
      </c>
      <c r="E613" s="43">
        <v>84.500508787748572</v>
      </c>
      <c r="F613" s="43">
        <v>84.303131278695702</v>
      </c>
      <c r="G613" s="43">
        <v>83.994532174194234</v>
      </c>
      <c r="H613" s="43">
        <v>83.596701261806118</v>
      </c>
      <c r="I613" s="43">
        <v>83.128119399382115</v>
      </c>
    </row>
    <row r="614" spans="1:9">
      <c r="A614" s="19">
        <v>420.8</v>
      </c>
      <c r="B614" s="43">
        <v>84.163489335968904</v>
      </c>
      <c r="C614" s="43">
        <v>84.473547397624856</v>
      </c>
      <c r="D614" s="43">
        <v>84.581532875787872</v>
      </c>
      <c r="E614" s="43">
        <v>84.521878197817188</v>
      </c>
      <c r="F614" s="43">
        <v>84.324935241933844</v>
      </c>
      <c r="G614" s="43">
        <v>84.016720383243097</v>
      </c>
      <c r="H614" s="43">
        <v>83.619223414805049</v>
      </c>
      <c r="I614" s="43">
        <v>83.150926360823831</v>
      </c>
    </row>
    <row r="615" spans="1:9">
      <c r="A615" s="19">
        <v>420.9</v>
      </c>
      <c r="B615" s="43">
        <v>84.18329509317013</v>
      </c>
      <c r="C615" s="43">
        <v>84.493908247341864</v>
      </c>
      <c r="D615" s="43">
        <v>84.602418635093642</v>
      </c>
      <c r="E615" s="43">
        <v>84.543246704371199</v>
      </c>
      <c r="F615" s="43">
        <v>84.346738395707661</v>
      </c>
      <c r="G615" s="43">
        <v>84.038907907167072</v>
      </c>
      <c r="H615" s="43">
        <v>83.64174503107742</v>
      </c>
      <c r="I615" s="43">
        <v>83.173732953551081</v>
      </c>
    </row>
    <row r="616" spans="1:9">
      <c r="A616" s="19">
        <v>421</v>
      </c>
      <c r="B616" s="43">
        <v>84.203099941761764</v>
      </c>
      <c r="C616" s="43">
        <v>84.514268132635493</v>
      </c>
      <c r="D616" s="43">
        <v>84.623303435706617</v>
      </c>
      <c r="E616" s="43">
        <v>84.564614307415297</v>
      </c>
      <c r="F616" s="43">
        <v>84.36854073988701</v>
      </c>
      <c r="G616" s="43">
        <v>84.061094745703656</v>
      </c>
      <c r="H616" s="43">
        <v>83.664266110225583</v>
      </c>
      <c r="I616" s="43">
        <v>83.196539177050823</v>
      </c>
    </row>
    <row r="617" spans="1:9">
      <c r="A617" s="19">
        <v>421.1</v>
      </c>
      <c r="B617" s="43">
        <v>84.222903882192327</v>
      </c>
      <c r="C617" s="43">
        <v>84.534627053827762</v>
      </c>
      <c r="D617" s="43">
        <v>84.644187277795879</v>
      </c>
      <c r="E617" s="43">
        <v>84.585981006966875</v>
      </c>
      <c r="F617" s="43">
        <v>84.390342274342743</v>
      </c>
      <c r="G617" s="43">
        <v>84.08328089858253</v>
      </c>
      <c r="H617" s="43">
        <v>83.686786651851662</v>
      </c>
      <c r="I617" s="43">
        <v>83.219345030766135</v>
      </c>
    </row>
    <row r="618" spans="1:9">
      <c r="A618" s="19">
        <v>421.2</v>
      </c>
      <c r="B618" s="43">
        <v>84.242706914968238</v>
      </c>
      <c r="C618" s="43">
        <v>84.554985011246231</v>
      </c>
      <c r="D618" s="43">
        <v>84.665070161540939</v>
      </c>
      <c r="E618" s="43">
        <v>84.607346803045289</v>
      </c>
      <c r="F618" s="43">
        <v>84.41214299894736</v>
      </c>
      <c r="G618" s="43">
        <v>84.105466365533715</v>
      </c>
      <c r="H618" s="43">
        <v>83.709306655542065</v>
      </c>
      <c r="I618" s="43">
        <v>83.242150514171414</v>
      </c>
    </row>
    <row r="619" spans="1:9">
      <c r="A619" s="19">
        <v>421.3</v>
      </c>
      <c r="B619" s="43">
        <v>84.262509040511418</v>
      </c>
      <c r="C619" s="43">
        <v>84.575342005209791</v>
      </c>
      <c r="D619" s="43">
        <v>84.685952087094108</v>
      </c>
      <c r="E619" s="43">
        <v>84.62871169566472</v>
      </c>
      <c r="F619" s="43">
        <v>84.433942913571883</v>
      </c>
      <c r="G619" s="43">
        <v>84.12765114629434</v>
      </c>
      <c r="H619" s="43">
        <v>83.731826120899086</v>
      </c>
      <c r="I619" s="43">
        <v>83.264955626727101</v>
      </c>
    </row>
    <row r="620" spans="1:9">
      <c r="A620" s="19">
        <v>421.4</v>
      </c>
      <c r="B620" s="43">
        <v>84.282310259284429</v>
      </c>
      <c r="C620" s="43">
        <v>84.59569803601056</v>
      </c>
      <c r="D620" s="43">
        <v>84.706833054621484</v>
      </c>
      <c r="E620" s="43">
        <v>84.65007568483864</v>
      </c>
      <c r="F620" s="43">
        <v>84.455742018089325</v>
      </c>
      <c r="G620" s="43">
        <v>84.149835240598549</v>
      </c>
      <c r="H620" s="43">
        <v>83.754345047525049</v>
      </c>
      <c r="I620" s="43">
        <v>83.287760367909073</v>
      </c>
    </row>
    <row r="621" spans="1:9">
      <c r="A621" s="19">
        <v>421.5</v>
      </c>
      <c r="B621" s="43">
        <v>84.302110571785107</v>
      </c>
      <c r="C621" s="43">
        <v>84.616053104006227</v>
      </c>
      <c r="D621" s="43">
        <v>84.72771306430775</v>
      </c>
      <c r="E621" s="43">
        <v>84.671438770593795</v>
      </c>
      <c r="F621" s="43">
        <v>84.477540312373606</v>
      </c>
      <c r="G621" s="43">
        <v>84.172018648174486</v>
      </c>
      <c r="H621" s="43">
        <v>83.776863435010455</v>
      </c>
      <c r="I621" s="43">
        <v>83.310564737159353</v>
      </c>
    </row>
    <row r="622" spans="1:9">
      <c r="A622" s="19">
        <v>421.6</v>
      </c>
      <c r="B622" s="43">
        <v>84.32190997843071</v>
      </c>
      <c r="C622" s="43">
        <v>84.636407209485156</v>
      </c>
      <c r="D622" s="43">
        <v>84.748592116292656</v>
      </c>
      <c r="E622" s="43">
        <v>84.692800952939109</v>
      </c>
      <c r="F622" s="43">
        <v>84.499337796297368</v>
      </c>
      <c r="G622" s="43">
        <v>84.194201368763714</v>
      </c>
      <c r="H622" s="43">
        <v>83.799381282962344</v>
      </c>
      <c r="I622" s="43">
        <v>83.333368733969024</v>
      </c>
    </row>
    <row r="623" spans="1:9">
      <c r="A623" s="19">
        <v>421.7</v>
      </c>
      <c r="B623" s="43">
        <v>84.341708479674878</v>
      </c>
      <c r="C623" s="43">
        <v>84.656760352752087</v>
      </c>
      <c r="D623" s="43">
        <v>84.769470210753042</v>
      </c>
      <c r="E623" s="43">
        <v>84.714162231890157</v>
      </c>
      <c r="F623" s="43">
        <v>84.521134469734648</v>
      </c>
      <c r="G623" s="43">
        <v>84.216383402104356</v>
      </c>
      <c r="H623" s="43">
        <v>83.821898590993186</v>
      </c>
      <c r="I623" s="43">
        <v>83.356172357811317</v>
      </c>
    </row>
    <row r="624" spans="1:9">
      <c r="A624" s="19">
        <v>421.8</v>
      </c>
      <c r="B624" s="43">
        <v>84.361506076045657</v>
      </c>
      <c r="C624" s="43">
        <v>84.67711253417346</v>
      </c>
      <c r="D624" s="43">
        <v>84.790347347872455</v>
      </c>
      <c r="E624" s="43">
        <v>84.735522607474735</v>
      </c>
      <c r="F624" s="43">
        <v>84.542930332561781</v>
      </c>
      <c r="G624" s="43">
        <v>84.238564747923334</v>
      </c>
      <c r="H624" s="43">
        <v>83.844415358676628</v>
      </c>
      <c r="I624" s="43">
        <v>83.378975608126638</v>
      </c>
    </row>
    <row r="625" spans="1:9">
      <c r="A625" s="19">
        <v>421.9</v>
      </c>
      <c r="B625" s="43">
        <v>84.381302767929952</v>
      </c>
      <c r="C625" s="43">
        <v>84.697463754021527</v>
      </c>
      <c r="D625" s="43">
        <v>84.811223527793572</v>
      </c>
      <c r="E625" s="43">
        <v>84.756882079705747</v>
      </c>
      <c r="F625" s="43">
        <v>84.564725384652434</v>
      </c>
      <c r="G625" s="43">
        <v>84.260745405966617</v>
      </c>
      <c r="H625" s="43">
        <v>83.866931585642334</v>
      </c>
      <c r="I625" s="43">
        <v>83.401778484412716</v>
      </c>
    </row>
    <row r="626" spans="1:9">
      <c r="A626" s="19">
        <v>422</v>
      </c>
      <c r="B626" s="43">
        <v>84.401098555832561</v>
      </c>
      <c r="C626" s="43">
        <v>84.717814012642435</v>
      </c>
      <c r="D626" s="43">
        <v>84.83209875070321</v>
      </c>
      <c r="E626" s="43">
        <v>84.778240648605049</v>
      </c>
      <c r="F626" s="43">
        <v>84.58651962588354</v>
      </c>
      <c r="G626" s="43">
        <v>84.282925375965561</v>
      </c>
      <c r="H626" s="43">
        <v>83.889447271478332</v>
      </c>
      <c r="I626" s="43">
        <v>83.424580986123004</v>
      </c>
    </row>
    <row r="627" spans="1:9">
      <c r="A627" s="19">
        <v>422.1</v>
      </c>
      <c r="B627" s="43">
        <v>84.420893440222102</v>
      </c>
      <c r="C627" s="43">
        <v>84.73816331035755</v>
      </c>
      <c r="D627" s="43">
        <v>84.852973016774484</v>
      </c>
      <c r="E627" s="43">
        <v>84.799598314194895</v>
      </c>
      <c r="F627" s="43">
        <v>84.608313056131834</v>
      </c>
      <c r="G627" s="43">
        <v>84.305104657659285</v>
      </c>
      <c r="H627" s="43">
        <v>83.91196241578632</v>
      </c>
      <c r="I627" s="43">
        <v>83.447383112728289</v>
      </c>
    </row>
    <row r="628" spans="1:9">
      <c r="A628" s="19">
        <v>422.2</v>
      </c>
      <c r="B628" s="43">
        <v>84.440687421517538</v>
      </c>
      <c r="C628" s="43">
        <v>84.758511647462456</v>
      </c>
      <c r="D628" s="43">
        <v>84.873846326149021</v>
      </c>
      <c r="E628" s="43">
        <v>84.82095507648873</v>
      </c>
      <c r="F628" s="43">
        <v>84.630105675273228</v>
      </c>
      <c r="G628" s="43">
        <v>84.327283250790629</v>
      </c>
      <c r="H628" s="43">
        <v>83.934477018182179</v>
      </c>
      <c r="I628" s="43">
        <v>83.470184863708511</v>
      </c>
    </row>
    <row r="629" spans="1:9">
      <c r="A629" s="19">
        <v>422.3</v>
      </c>
      <c r="B629" s="43">
        <v>84.460480500229693</v>
      </c>
      <c r="C629" s="43">
        <v>84.77885902430458</v>
      </c>
      <c r="D629" s="43">
        <v>84.894718679028216</v>
      </c>
      <c r="E629" s="43">
        <v>84.842310935515059</v>
      </c>
      <c r="F629" s="43">
        <v>84.651897483185422</v>
      </c>
      <c r="G629" s="43">
        <v>84.349461155094957</v>
      </c>
      <c r="H629" s="43">
        <v>83.956991078260927</v>
      </c>
      <c r="I629" s="43">
        <v>83.492986238537668</v>
      </c>
    </row>
    <row r="630" spans="1:9">
      <c r="A630" s="19">
        <v>422.4</v>
      </c>
      <c r="B630" s="43">
        <v>84.480272676786058</v>
      </c>
      <c r="C630" s="43">
        <v>84.799205441186672</v>
      </c>
      <c r="D630" s="43">
        <v>84.915590075562335</v>
      </c>
      <c r="E630" s="43">
        <v>84.863665891288178</v>
      </c>
      <c r="F630" s="43">
        <v>84.673688479747085</v>
      </c>
      <c r="G630" s="43">
        <v>84.371638370313804</v>
      </c>
      <c r="H630" s="43">
        <v>83.979504595637451</v>
      </c>
      <c r="I630" s="43">
        <v>83.515787236684787</v>
      </c>
    </row>
    <row r="631" spans="1:9">
      <c r="A631" s="19">
        <v>422.5</v>
      </c>
      <c r="B631" s="43">
        <v>84.500063951650674</v>
      </c>
      <c r="C631" s="43">
        <v>84.819550898426115</v>
      </c>
      <c r="D631" s="43">
        <v>84.936460515920629</v>
      </c>
      <c r="E631" s="43">
        <v>84.885019943832674</v>
      </c>
      <c r="F631" s="43">
        <v>84.695478664835719</v>
      </c>
      <c r="G631" s="43">
        <v>84.393814896189923</v>
      </c>
      <c r="H631" s="43">
        <v>84.002017569915154</v>
      </c>
      <c r="I631" s="43">
        <v>83.538587857632791</v>
      </c>
    </row>
    <row r="632" spans="1:9">
      <c r="A632" s="19">
        <v>422.6</v>
      </c>
      <c r="B632" s="43">
        <v>84.519854325315521</v>
      </c>
      <c r="C632" s="43">
        <v>84.839895396359765</v>
      </c>
      <c r="D632" s="43">
        <v>84.957330000293126</v>
      </c>
      <c r="E632" s="43">
        <v>84.906373093176654</v>
      </c>
      <c r="F632" s="43">
        <v>84.717268038332008</v>
      </c>
      <c r="G632" s="43">
        <v>84.415990732459335</v>
      </c>
      <c r="H632" s="43">
        <v>84.02453000069417</v>
      </c>
      <c r="I632" s="43">
        <v>83.561388100840219</v>
      </c>
    </row>
    <row r="633" spans="1:9">
      <c r="A633" s="19">
        <v>422.7</v>
      </c>
      <c r="B633" s="43">
        <v>84.53964379823077</v>
      </c>
      <c r="C633" s="43">
        <v>84.860238935311827</v>
      </c>
      <c r="D633" s="43">
        <v>84.978198528834866</v>
      </c>
      <c r="E633" s="43">
        <v>84.927725339339332</v>
      </c>
      <c r="F633" s="43">
        <v>84.739056600114651</v>
      </c>
      <c r="G633" s="43">
        <v>84.438165878865476</v>
      </c>
      <c r="H633" s="43">
        <v>84.047041887584783</v>
      </c>
      <c r="I633" s="43">
        <v>83.584187965791585</v>
      </c>
    </row>
    <row r="634" spans="1:9">
      <c r="A634" s="19">
        <v>422.8</v>
      </c>
      <c r="B634" s="43">
        <v>84.559432370841989</v>
      </c>
      <c r="C634" s="43">
        <v>84.880581515583373</v>
      </c>
      <c r="D634" s="43">
        <v>84.999066101722747</v>
      </c>
      <c r="E634" s="43">
        <v>84.949076682337363</v>
      </c>
      <c r="F634" s="43">
        <v>84.76084435006328</v>
      </c>
      <c r="G634" s="43">
        <v>84.460340335154285</v>
      </c>
      <c r="H634" s="43">
        <v>84.069553230202075</v>
      </c>
      <c r="I634" s="43">
        <v>83.60698745196666</v>
      </c>
    </row>
    <row r="635" spans="1:9">
      <c r="A635" s="19">
        <v>422.9</v>
      </c>
      <c r="B635" s="43">
        <v>84.579220043631153</v>
      </c>
      <c r="C635" s="43">
        <v>84.900923137510631</v>
      </c>
      <c r="D635" s="43">
        <v>85.019932719123915</v>
      </c>
      <c r="E635" s="43">
        <v>84.970427122201528</v>
      </c>
      <c r="F635" s="43">
        <v>84.782631288059235</v>
      </c>
      <c r="G635" s="43">
        <v>84.482514101066869</v>
      </c>
      <c r="H635" s="43">
        <v>84.092064028152976</v>
      </c>
      <c r="I635" s="43">
        <v>83.629786558840237</v>
      </c>
    </row>
    <row r="636" spans="1:9">
      <c r="A636" s="19">
        <v>423</v>
      </c>
      <c r="B636" s="43">
        <v>84.599006817051588</v>
      </c>
      <c r="C636" s="43">
        <v>84.921263801401579</v>
      </c>
      <c r="D636" s="43">
        <v>85.040798381214273</v>
      </c>
      <c r="E636" s="43">
        <v>84.991776658953</v>
      </c>
      <c r="F636" s="43">
        <v>84.804417413983629</v>
      </c>
      <c r="G636" s="43">
        <v>84.504687176347971</v>
      </c>
      <c r="H636" s="43">
        <v>84.114574281047425</v>
      </c>
      <c r="I636" s="43">
        <v>83.652585285896805</v>
      </c>
    </row>
    <row r="637" spans="1:9">
      <c r="A637" s="19">
        <v>423.1</v>
      </c>
      <c r="B637" s="43">
        <v>84.618792691576033</v>
      </c>
      <c r="C637" s="43">
        <v>84.941603507597677</v>
      </c>
      <c r="D637" s="43">
        <v>85.061663088166</v>
      </c>
      <c r="E637" s="43">
        <v>85.013125292620401</v>
      </c>
      <c r="F637" s="43">
        <v>84.826202727718822</v>
      </c>
      <c r="G637" s="43">
        <v>84.526859560737876</v>
      </c>
      <c r="H637" s="43">
        <v>84.137083988490474</v>
      </c>
      <c r="I637" s="43">
        <v>83.675383632602404</v>
      </c>
    </row>
    <row r="638" spans="1:9">
      <c r="A638" s="19">
        <v>423.2</v>
      </c>
      <c r="B638" s="43">
        <v>84.638577667684075</v>
      </c>
      <c r="C638" s="43">
        <v>84.961942256427506</v>
      </c>
      <c r="D638" s="43">
        <v>85.082526840163382</v>
      </c>
      <c r="E638" s="43">
        <v>85.034473023228884</v>
      </c>
      <c r="F638" s="43">
        <v>84.847987229147407</v>
      </c>
      <c r="G638" s="43">
        <v>84.54903125398107</v>
      </c>
      <c r="H638" s="43">
        <v>84.15959315009016</v>
      </c>
      <c r="I638" s="43">
        <v>83.698181598426885</v>
      </c>
    </row>
    <row r="639" spans="1:9">
      <c r="A639" s="19">
        <v>423.3</v>
      </c>
      <c r="B639" s="43">
        <v>84.658361745800022</v>
      </c>
      <c r="C639" s="43">
        <v>84.982280048180883</v>
      </c>
      <c r="D639" s="43">
        <v>85.103389637362056</v>
      </c>
      <c r="E639" s="43">
        <v>85.055819850797661</v>
      </c>
      <c r="F639" s="43">
        <v>84.869770918150294</v>
      </c>
      <c r="G639" s="43">
        <v>84.571202255829746</v>
      </c>
      <c r="H639" s="43">
        <v>84.182101765474897</v>
      </c>
      <c r="I639" s="43">
        <v>83.720979182886765</v>
      </c>
    </row>
    <row r="640" spans="1:9">
      <c r="A640" s="19">
        <v>423.4</v>
      </c>
      <c r="B640" s="43">
        <v>84.678144926434612</v>
      </c>
      <c r="C640" s="43">
        <v>85.002616883219815</v>
      </c>
      <c r="D640" s="43">
        <v>85.124251479949976</v>
      </c>
      <c r="E640" s="43">
        <v>85.07716577535939</v>
      </c>
      <c r="F640" s="43">
        <v>84.891553794612975</v>
      </c>
      <c r="G640" s="43">
        <v>84.59337256602339</v>
      </c>
      <c r="H640" s="43">
        <v>84.204609834241097</v>
      </c>
      <c r="I640" s="43">
        <v>83.743776385431516</v>
      </c>
    </row>
    <row r="641" spans="1:9">
      <c r="A641" s="19">
        <v>423.5</v>
      </c>
      <c r="B641" s="43">
        <v>84.697927210015678</v>
      </c>
      <c r="C641" s="43">
        <v>85.022952761837303</v>
      </c>
      <c r="D641" s="43">
        <v>85.145112368091986</v>
      </c>
      <c r="E641" s="43">
        <v>85.09851079693729</v>
      </c>
      <c r="F641" s="43">
        <v>84.913335858418918</v>
      </c>
      <c r="G641" s="43">
        <v>84.615542184311408</v>
      </c>
      <c r="H641" s="43">
        <v>84.227117356007511</v>
      </c>
      <c r="I641" s="43">
        <v>83.766573205555687</v>
      </c>
    </row>
    <row r="642" spans="1:9">
      <c r="A642" s="19">
        <v>423.6</v>
      </c>
      <c r="B642" s="43">
        <v>84.717708597005185</v>
      </c>
      <c r="C642" s="43">
        <v>85.043287684366476</v>
      </c>
      <c r="D642" s="43">
        <v>85.165972301961176</v>
      </c>
      <c r="E642" s="43">
        <v>85.119854915557596</v>
      </c>
      <c r="F642" s="43">
        <v>84.935117109450914</v>
      </c>
      <c r="G642" s="43">
        <v>84.637711110443576</v>
      </c>
      <c r="H642" s="43">
        <v>84.249624330395619</v>
      </c>
      <c r="I642" s="43">
        <v>83.789369642750728</v>
      </c>
    </row>
    <row r="643" spans="1:9">
      <c r="A643" s="19">
        <v>423.7</v>
      </c>
      <c r="B643" s="43">
        <v>84.737489087913161</v>
      </c>
      <c r="C643" s="43">
        <v>85.063621651148281</v>
      </c>
      <c r="D643" s="43">
        <v>85.18683128174689</v>
      </c>
      <c r="E643" s="43">
        <v>85.141198131249666</v>
      </c>
      <c r="F643" s="43">
        <v>84.956897547595986</v>
      </c>
      <c r="G643" s="43">
        <v>84.659879344162391</v>
      </c>
      <c r="H643" s="43">
        <v>84.272130757007972</v>
      </c>
      <c r="I643" s="43">
        <v>83.812165696476654</v>
      </c>
    </row>
    <row r="644" spans="1:9">
      <c r="A644" s="19">
        <v>423.8</v>
      </c>
      <c r="B644" s="43">
        <v>84.757268683157349</v>
      </c>
      <c r="C644" s="43">
        <v>85.083954662489958</v>
      </c>
      <c r="D644" s="43">
        <v>85.207689307614061</v>
      </c>
      <c r="E644" s="43">
        <v>85.162540444043287</v>
      </c>
      <c r="F644" s="43">
        <v>84.978677172738855</v>
      </c>
      <c r="G644" s="43">
        <v>84.682046885219307</v>
      </c>
      <c r="H644" s="43">
        <v>84.294636635466617</v>
      </c>
      <c r="I644" s="43">
        <v>83.834961366235575</v>
      </c>
    </row>
    <row r="645" spans="1:9">
      <c r="A645" s="19">
        <v>423.9</v>
      </c>
      <c r="B645" s="43">
        <v>84.777047383221401</v>
      </c>
      <c r="C645" s="43">
        <v>85.104286718710568</v>
      </c>
      <c r="D645" s="43">
        <v>85.228546379735377</v>
      </c>
      <c r="E645" s="43">
        <v>85.183881853961054</v>
      </c>
      <c r="F645" s="43">
        <v>85.000455984764926</v>
      </c>
      <c r="G645" s="43">
        <v>84.704213733364355</v>
      </c>
      <c r="H645" s="43">
        <v>84.317141965387748</v>
      </c>
      <c r="I645" s="43">
        <v>83.85775665151246</v>
      </c>
    </row>
    <row r="646" spans="1:9">
      <c r="A646" s="19">
        <v>424</v>
      </c>
      <c r="B646" s="43">
        <v>84.796825188596074</v>
      </c>
      <c r="C646" s="43">
        <v>85.124617820163678</v>
      </c>
      <c r="D646" s="43">
        <v>85.249402498302061</v>
      </c>
      <c r="E646" s="43">
        <v>85.205222361041052</v>
      </c>
      <c r="F646" s="43">
        <v>85.022233983563041</v>
      </c>
      <c r="G646" s="43">
        <v>84.726379888341455</v>
      </c>
      <c r="H646" s="43">
        <v>84.339646746378719</v>
      </c>
      <c r="I646" s="43">
        <v>83.880551551770225</v>
      </c>
    </row>
    <row r="647" spans="1:9">
      <c r="A647" s="19">
        <v>424.1</v>
      </c>
      <c r="B647" s="43">
        <v>84.816602099703402</v>
      </c>
      <c r="C647" s="43">
        <v>85.144947967149847</v>
      </c>
      <c r="D647" s="43">
        <v>85.270257663477253</v>
      </c>
      <c r="E647" s="43">
        <v>85.226561965306189</v>
      </c>
      <c r="F647" s="43">
        <v>85.044011169017949</v>
      </c>
      <c r="G647" s="43">
        <v>84.748545349907715</v>
      </c>
      <c r="H647" s="43">
        <v>84.362150978067973</v>
      </c>
      <c r="I647" s="43">
        <v>83.903346066525245</v>
      </c>
    </row>
    <row r="648" spans="1:9">
      <c r="A648" s="19">
        <v>424.2</v>
      </c>
      <c r="B648" s="43">
        <v>84.836378117017347</v>
      </c>
      <c r="C648" s="43">
        <v>85.165277159987426</v>
      </c>
      <c r="D648" s="43">
        <v>85.291111875430431</v>
      </c>
      <c r="E648" s="43">
        <v>85.247900666781362</v>
      </c>
      <c r="F648" s="43">
        <v>85.065787541017301</v>
      </c>
      <c r="G648" s="43">
        <v>84.770710117813707</v>
      </c>
      <c r="H648" s="43">
        <v>84.384654660075256</v>
      </c>
      <c r="I648" s="43">
        <v>83.926140195259052</v>
      </c>
    </row>
    <row r="649" spans="1:9">
      <c r="A649" s="19">
        <v>424.3</v>
      </c>
      <c r="B649" s="43">
        <v>84.856153241048787</v>
      </c>
      <c r="C649" s="43">
        <v>85.185605399042942</v>
      </c>
      <c r="D649" s="43">
        <v>85.311965134370212</v>
      </c>
      <c r="E649" s="43">
        <v>85.269238465509488</v>
      </c>
      <c r="F649" s="43">
        <v>85.087563099451472</v>
      </c>
      <c r="G649" s="43">
        <v>84.792874191803264</v>
      </c>
      <c r="H649" s="43">
        <v>84.40715779200184</v>
      </c>
      <c r="I649" s="43">
        <v>83.948933937437459</v>
      </c>
    </row>
    <row r="650" spans="1:9">
      <c r="A650" s="19">
        <v>424.4</v>
      </c>
      <c r="B650" s="43">
        <v>84.875927472208105</v>
      </c>
      <c r="C650" s="43">
        <v>85.205932684602288</v>
      </c>
      <c r="D650" s="43">
        <v>85.332817440447087</v>
      </c>
      <c r="E650" s="43">
        <v>85.290575361510463</v>
      </c>
      <c r="F650" s="43">
        <v>85.109337844206664</v>
      </c>
      <c r="G650" s="43">
        <v>84.815037571636253</v>
      </c>
      <c r="H650" s="43">
        <v>84.429660373485149</v>
      </c>
      <c r="I650" s="43">
        <v>83.971727292571671</v>
      </c>
    </row>
    <row r="651" spans="1:9">
      <c r="A651" s="19">
        <v>424.5</v>
      </c>
      <c r="B651" s="43">
        <v>84.895700810993247</v>
      </c>
      <c r="C651" s="43">
        <v>85.22625901701673</v>
      </c>
      <c r="D651" s="43">
        <v>85.353668793846509</v>
      </c>
      <c r="E651" s="43">
        <v>85.311911354822115</v>
      </c>
      <c r="F651" s="43">
        <v>85.131111775173451</v>
      </c>
      <c r="G651" s="43">
        <v>84.837200257063927</v>
      </c>
      <c r="H651" s="43">
        <v>84.452162404137425</v>
      </c>
      <c r="I651" s="43">
        <v>83.994520260144014</v>
      </c>
    </row>
    <row r="652" spans="1:9">
      <c r="A652" s="19">
        <v>424.6</v>
      </c>
      <c r="B652" s="43">
        <v>84.91547325788369</v>
      </c>
      <c r="C652" s="43">
        <v>85.246584396615361</v>
      </c>
      <c r="D652" s="43">
        <v>85.374519194760239</v>
      </c>
      <c r="E652" s="43">
        <v>85.333246445475737</v>
      </c>
      <c r="F652" s="43">
        <v>85.152884892243094</v>
      </c>
      <c r="G652" s="43">
        <v>84.859362247833275</v>
      </c>
      <c r="H652" s="43">
        <v>84.474663883573896</v>
      </c>
      <c r="I652" s="43">
        <v>84.017312839633064</v>
      </c>
    </row>
    <row r="653" spans="1:9">
      <c r="A653" s="19">
        <v>424.7</v>
      </c>
      <c r="B653" s="43">
        <v>84.935244813293735</v>
      </c>
      <c r="C653" s="43">
        <v>85.266908823684901</v>
      </c>
      <c r="D653" s="43">
        <v>85.395368643340049</v>
      </c>
      <c r="E653" s="43">
        <v>85.354580633495374</v>
      </c>
      <c r="F653" s="43">
        <v>85.174657195301961</v>
      </c>
      <c r="G653" s="43">
        <v>84.881523543707885</v>
      </c>
      <c r="H653" s="43">
        <v>84.497164811431162</v>
      </c>
      <c r="I653" s="43">
        <v>84.040105030557044</v>
      </c>
    </row>
    <row r="654" spans="1:9">
      <c r="A654" s="19">
        <v>424.8</v>
      </c>
      <c r="B654" s="43">
        <v>84.955015477764107</v>
      </c>
      <c r="C654" s="43">
        <v>85.287232298619699</v>
      </c>
      <c r="D654" s="43">
        <v>85.416217139799215</v>
      </c>
      <c r="E654" s="43">
        <v>85.375913918928205</v>
      </c>
      <c r="F654" s="43">
        <v>85.196428684244836</v>
      </c>
      <c r="G654" s="43">
        <v>84.903684144433129</v>
      </c>
      <c r="H654" s="43">
        <v>84.519665187313763</v>
      </c>
      <c r="I654" s="43">
        <v>84.062896832375998</v>
      </c>
    </row>
    <row r="655" spans="1:9">
      <c r="A655" s="19">
        <v>424.9</v>
      </c>
      <c r="B655" s="43">
        <v>84.974785251701462</v>
      </c>
      <c r="C655" s="43">
        <v>85.307554821696613</v>
      </c>
      <c r="D655" s="43">
        <v>85.437064684287236</v>
      </c>
      <c r="E655" s="43">
        <v>85.397246301792279</v>
      </c>
      <c r="F655" s="43">
        <v>85.218199358960106</v>
      </c>
      <c r="G655" s="43">
        <v>84.925844049769722</v>
      </c>
      <c r="H655" s="43">
        <v>84.542165010855967</v>
      </c>
      <c r="I655" s="43">
        <v>84.085688244600789</v>
      </c>
    </row>
    <row r="656" spans="1:9">
      <c r="A656" s="19">
        <v>425</v>
      </c>
      <c r="B656" s="43">
        <v>84.994554135584394</v>
      </c>
      <c r="C656" s="43">
        <v>85.32787639324826</v>
      </c>
      <c r="D656" s="43">
        <v>85.457911276993229</v>
      </c>
      <c r="E656" s="43">
        <v>85.418577782127215</v>
      </c>
      <c r="F656" s="43">
        <v>85.239969219340907</v>
      </c>
      <c r="G656" s="43">
        <v>84.948003259473523</v>
      </c>
      <c r="H656" s="43">
        <v>84.564664281679427</v>
      </c>
      <c r="I656" s="43">
        <v>84.108479266725453</v>
      </c>
    </row>
    <row r="657" spans="1:9">
      <c r="A657" s="19">
        <v>425.1</v>
      </c>
      <c r="B657" s="43">
        <v>85.014322129917389</v>
      </c>
      <c r="C657" s="43">
        <v>85.348197013634945</v>
      </c>
      <c r="D657" s="43">
        <v>85.478756918113106</v>
      </c>
      <c r="E657" s="43">
        <v>85.439908359973003</v>
      </c>
      <c r="F657" s="43">
        <v>85.261738265280229</v>
      </c>
      <c r="G657" s="43">
        <v>84.970161773295018</v>
      </c>
      <c r="H657" s="43">
        <v>84.587162999403006</v>
      </c>
      <c r="I657" s="43">
        <v>84.131269898233768</v>
      </c>
    </row>
    <row r="658" spans="1:9">
      <c r="A658" s="19">
        <v>425.2</v>
      </c>
      <c r="B658" s="43">
        <v>85.034089235131631</v>
      </c>
      <c r="C658" s="43">
        <v>85.368516683155804</v>
      </c>
      <c r="D658" s="43">
        <v>85.499601607812252</v>
      </c>
      <c r="E658" s="43">
        <v>85.461238035354285</v>
      </c>
      <c r="F658" s="43">
        <v>85.2835064966701</v>
      </c>
      <c r="G658" s="43">
        <v>84.992319590996715</v>
      </c>
      <c r="H658" s="43">
        <v>84.609661163653556</v>
      </c>
      <c r="I658" s="43">
        <v>84.154060138629063</v>
      </c>
    </row>
    <row r="659" spans="1:9">
      <c r="A659" s="19">
        <v>425.3</v>
      </c>
      <c r="B659" s="43">
        <v>85.053855451691845</v>
      </c>
      <c r="C659" s="43">
        <v>85.388835402141069</v>
      </c>
      <c r="D659" s="43">
        <v>85.520445346267138</v>
      </c>
      <c r="E659" s="43">
        <v>85.482566808307041</v>
      </c>
      <c r="F659" s="43">
        <v>85.30527391340317</v>
      </c>
      <c r="G659" s="43">
        <v>85.014476712334698</v>
      </c>
      <c r="H659" s="43">
        <v>84.632158774063811</v>
      </c>
      <c r="I659" s="43">
        <v>84.17684998740387</v>
      </c>
    </row>
    <row r="660" spans="1:9">
      <c r="A660" s="19">
        <v>425.4</v>
      </c>
      <c r="B660" s="43">
        <v>85.073620780112151</v>
      </c>
      <c r="C660" s="43">
        <v>85.409153170951299</v>
      </c>
      <c r="D660" s="43">
        <v>85.541288133689079</v>
      </c>
      <c r="E660" s="43">
        <v>85.503894678877401</v>
      </c>
      <c r="F660" s="43">
        <v>85.327040515376467</v>
      </c>
      <c r="G660" s="43">
        <v>85.036633137063603</v>
      </c>
      <c r="H660" s="43">
        <v>84.654655830241751</v>
      </c>
      <c r="I660" s="43">
        <v>84.199639444044095</v>
      </c>
    </row>
    <row r="661" spans="1:9">
      <c r="A661" s="19">
        <v>425.5</v>
      </c>
      <c r="B661" s="43">
        <v>85.093385220792726</v>
      </c>
      <c r="C661" s="43">
        <v>85.429469989867215</v>
      </c>
      <c r="D661" s="43">
        <v>85.562129970215267</v>
      </c>
      <c r="E661" s="43">
        <v>85.525221647083896</v>
      </c>
      <c r="F661" s="43">
        <v>85.348806302479886</v>
      </c>
      <c r="G661" s="43">
        <v>85.058788864948525</v>
      </c>
      <c r="H661" s="43">
        <v>84.677152331839409</v>
      </c>
      <c r="I661" s="43">
        <v>84.222428508075922</v>
      </c>
    </row>
    <row r="662" spans="1:9">
      <c r="A662" s="19">
        <v>425.6</v>
      </c>
      <c r="B662" s="43">
        <v>85.113148774267273</v>
      </c>
      <c r="C662" s="43">
        <v>85.449785859275806</v>
      </c>
      <c r="D662" s="43">
        <v>85.582970856070403</v>
      </c>
      <c r="E662" s="43">
        <v>85.546547712982004</v>
      </c>
      <c r="F662" s="43">
        <v>85.370571274612814</v>
      </c>
      <c r="G662" s="43">
        <v>85.080943895740631</v>
      </c>
      <c r="H662" s="43">
        <v>84.699648278456948</v>
      </c>
      <c r="I662" s="43">
        <v>84.245217178957773</v>
      </c>
    </row>
    <row r="663" spans="1:9">
      <c r="A663" s="19">
        <v>425.7</v>
      </c>
      <c r="B663" s="43">
        <v>85.132911440984884</v>
      </c>
      <c r="C663" s="43">
        <v>85.470100779469647</v>
      </c>
      <c r="D663" s="43">
        <v>85.603810791423939</v>
      </c>
      <c r="E663" s="43">
        <v>85.567872876598585</v>
      </c>
      <c r="F663" s="43">
        <v>85.392335431669949</v>
      </c>
      <c r="G663" s="43">
        <v>85.103098229203169</v>
      </c>
      <c r="H663" s="43">
        <v>84.722143669733953</v>
      </c>
      <c r="I663" s="43">
        <v>84.268005456205913</v>
      </c>
    </row>
    <row r="664" spans="1:9">
      <c r="A664" s="19">
        <v>425.8</v>
      </c>
      <c r="B664" s="43">
        <v>85.152673221384703</v>
      </c>
      <c r="C664" s="43">
        <v>85.490414750777632</v>
      </c>
      <c r="D664" s="43">
        <v>85.624649776442453</v>
      </c>
      <c r="E664" s="43">
        <v>85.58919713796314</v>
      </c>
      <c r="F664" s="43">
        <v>85.414098773544453</v>
      </c>
      <c r="G664" s="43">
        <v>85.125251865099813</v>
      </c>
      <c r="H664" s="43">
        <v>84.744638505308131</v>
      </c>
      <c r="I664" s="43">
        <v>84.290793339333135</v>
      </c>
    </row>
    <row r="665" spans="1:9">
      <c r="A665" s="19">
        <v>425.9</v>
      </c>
      <c r="B665" s="43">
        <v>85.17243411599398</v>
      </c>
      <c r="C665" s="43">
        <v>85.51072777356012</v>
      </c>
      <c r="D665" s="43">
        <v>85.645487811341468</v>
      </c>
      <c r="E665" s="43">
        <v>85.610520497133791</v>
      </c>
      <c r="F665" s="43">
        <v>85.435861300136935</v>
      </c>
      <c r="G665" s="43">
        <v>85.147404803183889</v>
      </c>
      <c r="H665" s="43">
        <v>84.767132784790306</v>
      </c>
      <c r="I665" s="43">
        <v>84.313580827809119</v>
      </c>
    </row>
    <row r="666" spans="1:9">
      <c r="A666" s="19">
        <v>426</v>
      </c>
      <c r="B666" s="43">
        <v>85.192194125226848</v>
      </c>
      <c r="C666" s="43">
        <v>85.531039848122759</v>
      </c>
      <c r="D666" s="43">
        <v>85.666324896275967</v>
      </c>
      <c r="E666" s="43">
        <v>85.63184295412924</v>
      </c>
      <c r="F666" s="43">
        <v>85.457623011341553</v>
      </c>
      <c r="G666" s="43">
        <v>85.16955704322487</v>
      </c>
      <c r="H666" s="43">
        <v>84.789626507828956</v>
      </c>
      <c r="I666" s="43">
        <v>84.336367921163458</v>
      </c>
    </row>
    <row r="667" spans="1:9">
      <c r="A667" s="19">
        <v>426.1</v>
      </c>
      <c r="B667" s="43">
        <v>85.211953249560764</v>
      </c>
      <c r="C667" s="43">
        <v>85.551350974790438</v>
      </c>
      <c r="D667" s="43">
        <v>85.687161031436403</v>
      </c>
      <c r="E667" s="43">
        <v>85.653164508991381</v>
      </c>
      <c r="F667" s="43">
        <v>85.479383907055507</v>
      </c>
      <c r="G667" s="43">
        <v>85.19170858498282</v>
      </c>
      <c r="H667" s="43">
        <v>84.812119674047494</v>
      </c>
      <c r="I667" s="43">
        <v>84.359154618888596</v>
      </c>
    </row>
    <row r="668" spans="1:9">
      <c r="A668" s="19">
        <v>426.2</v>
      </c>
      <c r="B668" s="43">
        <v>85.231711489510133</v>
      </c>
      <c r="C668" s="43">
        <v>85.571661153934713</v>
      </c>
      <c r="D668" s="43">
        <v>85.707996217027471</v>
      </c>
      <c r="E668" s="43">
        <v>85.674485161771855</v>
      </c>
      <c r="F668" s="43">
        <v>85.501143987181109</v>
      </c>
      <c r="G668" s="43">
        <v>85.213859428214676</v>
      </c>
      <c r="H668" s="43">
        <v>84.834612283065439</v>
      </c>
      <c r="I668" s="43">
        <v>84.381940920468935</v>
      </c>
    </row>
    <row r="669" spans="1:9">
      <c r="A669" s="19">
        <v>426.3</v>
      </c>
      <c r="B669" s="43">
        <v>85.251468845495964</v>
      </c>
      <c r="C669" s="43">
        <v>85.591970385847532</v>
      </c>
      <c r="D669" s="43">
        <v>85.728830453210719</v>
      </c>
      <c r="E669" s="43">
        <v>85.695804912495447</v>
      </c>
      <c r="F669" s="43">
        <v>85.522903251611638</v>
      </c>
      <c r="G669" s="43">
        <v>85.236009572690534</v>
      </c>
      <c r="H669" s="43">
        <v>84.857104334530845</v>
      </c>
      <c r="I669" s="43">
        <v>84.404726825430203</v>
      </c>
    </row>
    <row r="670" spans="1:9">
      <c r="A670" s="19">
        <v>426.4</v>
      </c>
      <c r="B670" s="43">
        <v>85.271225318008931</v>
      </c>
      <c r="C670" s="43">
        <v>85.612278670877743</v>
      </c>
      <c r="D670" s="43">
        <v>85.749663740181006</v>
      </c>
      <c r="E670" s="43">
        <v>85.717123761207489</v>
      </c>
      <c r="F670" s="43">
        <v>85.544661700249947</v>
      </c>
      <c r="G670" s="43">
        <v>85.258159018171426</v>
      </c>
      <c r="H670" s="43">
        <v>84.87959582807224</v>
      </c>
      <c r="I670" s="43">
        <v>84.427512333268226</v>
      </c>
    </row>
    <row r="671" spans="1:9">
      <c r="A671" s="19">
        <v>426.5</v>
      </c>
      <c r="B671" s="43">
        <v>85.290980907537374</v>
      </c>
      <c r="C671" s="43">
        <v>85.63258600937246</v>
      </c>
      <c r="D671" s="43">
        <v>85.770496078131544</v>
      </c>
      <c r="E671" s="43">
        <v>85.738441707953712</v>
      </c>
      <c r="F671" s="43">
        <v>85.566419332995793</v>
      </c>
      <c r="G671" s="43">
        <v>85.280307764419206</v>
      </c>
      <c r="H671" s="43">
        <v>84.902086763313548</v>
      </c>
      <c r="I671" s="43">
        <v>84.450297443471214</v>
      </c>
    </row>
    <row r="672" spans="1:9">
      <c r="A672" s="19">
        <v>426.6</v>
      </c>
      <c r="B672" s="43">
        <v>85.310735614521406</v>
      </c>
      <c r="C672" s="43">
        <v>85.652892401634432</v>
      </c>
      <c r="D672" s="43">
        <v>85.791327467238347</v>
      </c>
      <c r="E672" s="43">
        <v>85.759758752765407</v>
      </c>
      <c r="F672" s="43">
        <v>85.588176149746744</v>
      </c>
      <c r="G672" s="43">
        <v>85.30245581120451</v>
      </c>
      <c r="H672" s="43">
        <v>84.924577139900208</v>
      </c>
      <c r="I672" s="43">
        <v>84.473082155572371</v>
      </c>
    </row>
    <row r="673" spans="1:9">
      <c r="A673" s="19">
        <v>426.7</v>
      </c>
      <c r="B673" s="43">
        <v>85.330489439436406</v>
      </c>
      <c r="C673" s="43">
        <v>85.673197848015207</v>
      </c>
      <c r="D673" s="43">
        <v>85.812157907688061</v>
      </c>
      <c r="E673" s="43">
        <v>85.781074895690352</v>
      </c>
      <c r="F673" s="43">
        <v>85.609932150405427</v>
      </c>
      <c r="G673" s="43">
        <v>85.324603158289875</v>
      </c>
      <c r="H673" s="43">
        <v>84.947066957464585</v>
      </c>
      <c r="I673" s="43">
        <v>84.495866469060161</v>
      </c>
    </row>
    <row r="674" spans="1:9">
      <c r="A674" s="19">
        <v>426.8</v>
      </c>
      <c r="B674" s="43">
        <v>85.350242382774638</v>
      </c>
      <c r="C674" s="43">
        <v>85.693502348855304</v>
      </c>
      <c r="D674" s="43">
        <v>85.832987399676369</v>
      </c>
      <c r="E674" s="43">
        <v>85.802390136769588</v>
      </c>
      <c r="F674" s="43">
        <v>85.631687334872879</v>
      </c>
      <c r="G674" s="43">
        <v>85.34674980544014</v>
      </c>
      <c r="H674" s="43">
        <v>84.969556215632423</v>
      </c>
      <c r="I674" s="43">
        <v>84.518650383440445</v>
      </c>
    </row>
    <row r="675" spans="1:9">
      <c r="A675" s="19">
        <v>426.9</v>
      </c>
      <c r="B675" s="43">
        <v>85.369994444976072</v>
      </c>
      <c r="C675" s="43">
        <v>85.713805904465573</v>
      </c>
      <c r="D675" s="43">
        <v>85.853815943377583</v>
      </c>
      <c r="E675" s="43">
        <v>85.823704476039154</v>
      </c>
      <c r="F675" s="43">
        <v>85.653441703050504</v>
      </c>
      <c r="G675" s="43">
        <v>85.368895752424777</v>
      </c>
      <c r="H675" s="43">
        <v>84.992044914052542</v>
      </c>
      <c r="I675" s="43">
        <v>84.541433898234772</v>
      </c>
    </row>
    <row r="676" spans="1:9">
      <c r="A676" s="19">
        <v>427</v>
      </c>
      <c r="B676" s="43">
        <v>85.389745626542663</v>
      </c>
      <c r="C676" s="43">
        <v>85.734108515207083</v>
      </c>
      <c r="D676" s="43">
        <v>85.874643539002761</v>
      </c>
      <c r="E676" s="43">
        <v>85.845017913553193</v>
      </c>
      <c r="F676" s="43">
        <v>85.675195254841242</v>
      </c>
      <c r="G676" s="43">
        <v>85.391040999009249</v>
      </c>
      <c r="H676" s="43">
        <v>85.014533052351538</v>
      </c>
      <c r="I676" s="43">
        <v>84.564217012925155</v>
      </c>
    </row>
    <row r="677" spans="1:9">
      <c r="A677" s="19">
        <v>427.1</v>
      </c>
      <c r="B677" s="43">
        <v>85.409495927949365</v>
      </c>
      <c r="C677" s="43">
        <v>85.754410181416574</v>
      </c>
      <c r="D677" s="43">
        <v>85.89547018672846</v>
      </c>
      <c r="E677" s="43">
        <v>85.866330449350556</v>
      </c>
      <c r="F677" s="43">
        <v>85.696947990149567</v>
      </c>
      <c r="G677" s="43">
        <v>85.413185544959788</v>
      </c>
      <c r="H677" s="43">
        <v>85.037020630164136</v>
      </c>
      <c r="I677" s="43">
        <v>84.586999727031611</v>
      </c>
    </row>
    <row r="678" spans="1:9">
      <c r="A678" s="19">
        <v>427.2</v>
      </c>
      <c r="B678" s="43">
        <v>85.429245349635039</v>
      </c>
      <c r="C678" s="43">
        <v>85.774710903388325</v>
      </c>
      <c r="D678" s="43">
        <v>85.916295886730524</v>
      </c>
      <c r="E678" s="43">
        <v>85.887642083466517</v>
      </c>
      <c r="F678" s="43">
        <v>85.718699908874413</v>
      </c>
      <c r="G678" s="43">
        <v>85.435329390049503</v>
      </c>
      <c r="H678" s="43">
        <v>85.05950764713927</v>
      </c>
      <c r="I678" s="43">
        <v>84.609782040073554</v>
      </c>
    </row>
    <row r="679" spans="1:9">
      <c r="A679" s="19">
        <v>427.3</v>
      </c>
      <c r="B679" s="43">
        <v>85.448993892104397</v>
      </c>
      <c r="C679" s="43">
        <v>85.795010681515379</v>
      </c>
      <c r="D679" s="43">
        <v>85.937120639218648</v>
      </c>
      <c r="E679" s="43">
        <v>85.908952815959537</v>
      </c>
      <c r="F679" s="43">
        <v>85.74045101092392</v>
      </c>
      <c r="G679" s="43">
        <v>85.457472534043774</v>
      </c>
      <c r="H679" s="43">
        <v>85.081994102907601</v>
      </c>
      <c r="I679" s="43">
        <v>84.632563951551447</v>
      </c>
    </row>
    <row r="680" spans="1:9">
      <c r="A680" s="19">
        <v>427.4</v>
      </c>
      <c r="B680" s="43">
        <v>85.468741555799511</v>
      </c>
      <c r="C680" s="43">
        <v>85.815309516081555</v>
      </c>
      <c r="D680" s="43">
        <v>85.957944444368479</v>
      </c>
      <c r="E680" s="43">
        <v>85.930262646858438</v>
      </c>
      <c r="F680" s="43">
        <v>85.762201296198697</v>
      </c>
      <c r="G680" s="43">
        <v>85.479614976714004</v>
      </c>
      <c r="H680" s="43">
        <v>85.104479997112207</v>
      </c>
      <c r="I680" s="43">
        <v>84.655345460979191</v>
      </c>
    </row>
    <row r="681" spans="1:9">
      <c r="A681" s="19">
        <v>427.5</v>
      </c>
      <c r="B681" s="43">
        <v>85.488488341204857</v>
      </c>
      <c r="C681" s="43">
        <v>85.835607407437692</v>
      </c>
      <c r="D681" s="43">
        <v>85.978767302369789</v>
      </c>
      <c r="E681" s="43">
        <v>85.951571576213524</v>
      </c>
      <c r="F681" s="43">
        <v>85.783950764605976</v>
      </c>
      <c r="G681" s="43">
        <v>85.501756717831086</v>
      </c>
      <c r="H681" s="43">
        <v>85.126965329393499</v>
      </c>
      <c r="I681" s="43">
        <v>84.678126567871885</v>
      </c>
    </row>
    <row r="682" spans="1:9">
      <c r="A682" s="19">
        <v>427.6</v>
      </c>
      <c r="B682" s="43">
        <v>85.50823424882222</v>
      </c>
      <c r="C682" s="43">
        <v>85.855904355950855</v>
      </c>
      <c r="D682" s="43">
        <v>85.9995892134271</v>
      </c>
      <c r="E682" s="43">
        <v>85.972879604081697</v>
      </c>
      <c r="F682" s="43">
        <v>85.805699416051567</v>
      </c>
      <c r="G682" s="43">
        <v>85.523897757162587</v>
      </c>
      <c r="H682" s="43">
        <v>85.149450099381312</v>
      </c>
      <c r="I682" s="43">
        <v>84.700907271726379</v>
      </c>
    </row>
    <row r="683" spans="1:9">
      <c r="A683" s="19">
        <v>427.7</v>
      </c>
      <c r="B683" s="43">
        <v>85.527979279088726</v>
      </c>
      <c r="C683" s="43">
        <v>85.876200361927999</v>
      </c>
      <c r="D683" s="43">
        <v>86.020410177722624</v>
      </c>
      <c r="E683" s="43">
        <v>85.994186730496068</v>
      </c>
      <c r="F683" s="43">
        <v>85.827447250441594</v>
      </c>
      <c r="G683" s="43">
        <v>85.546038094482554</v>
      </c>
      <c r="H683" s="43">
        <v>85.171934306730606</v>
      </c>
      <c r="I683" s="43">
        <v>84.723687572065842</v>
      </c>
    </row>
    <row r="684" spans="1:9">
      <c r="A684" s="19">
        <v>427.8</v>
      </c>
      <c r="B684" s="43">
        <v>85.547723432479415</v>
      </c>
      <c r="C684" s="43">
        <v>85.896495425696031</v>
      </c>
      <c r="D684" s="43">
        <v>86.041230195440136</v>
      </c>
      <c r="E684" s="43">
        <v>86.015492955503703</v>
      </c>
      <c r="F684" s="43">
        <v>85.849194267679877</v>
      </c>
      <c r="G684" s="43">
        <v>85.568177729562791</v>
      </c>
      <c r="H684" s="43">
        <v>85.194417951073092</v>
      </c>
      <c r="I684" s="43">
        <v>84.746467468411169</v>
      </c>
    </row>
    <row r="685" spans="1:9">
      <c r="A685" s="19">
        <v>427.9</v>
      </c>
      <c r="B685" s="43">
        <v>85.567466709493715</v>
      </c>
      <c r="C685" s="43">
        <v>85.916789547625001</v>
      </c>
      <c r="D685" s="43">
        <v>86.062049266783731</v>
      </c>
      <c r="E685" s="43">
        <v>86.036798279159257</v>
      </c>
      <c r="F685" s="43">
        <v>85.870940467675496</v>
      </c>
      <c r="G685" s="43">
        <v>85.590316662174928</v>
      </c>
      <c r="H685" s="43">
        <v>85.216901032053755</v>
      </c>
      <c r="I685" s="43">
        <v>84.769246960262507</v>
      </c>
    </row>
    <row r="686" spans="1:9">
      <c r="A686" s="19">
        <v>428</v>
      </c>
      <c r="B686" s="43">
        <v>85.587209110563208</v>
      </c>
      <c r="C686" s="43">
        <v>85.937082728018339</v>
      </c>
      <c r="D686" s="43">
        <v>86.082867391928858</v>
      </c>
      <c r="E686" s="43">
        <v>86.058102701498143</v>
      </c>
      <c r="F686" s="43">
        <v>85.892685850334601</v>
      </c>
      <c r="G686" s="43">
        <v>85.612454892093126</v>
      </c>
      <c r="H686" s="43">
        <v>85.239383549319996</v>
      </c>
      <c r="I686" s="43">
        <v>84.792026047149562</v>
      </c>
    </row>
    <row r="687" spans="1:9">
      <c r="A687" s="19">
        <v>428.1</v>
      </c>
      <c r="B687" s="43">
        <v>85.606950636198263</v>
      </c>
      <c r="C687" s="43">
        <v>85.95737496723541</v>
      </c>
      <c r="D687" s="43">
        <v>86.103684571085466</v>
      </c>
      <c r="E687" s="43">
        <v>86.079406222575727</v>
      </c>
      <c r="F687" s="43">
        <v>85.914430415566159</v>
      </c>
      <c r="G687" s="43">
        <v>85.634592419090581</v>
      </c>
      <c r="H687" s="43">
        <v>85.261865502509238</v>
      </c>
      <c r="I687" s="43">
        <v>84.814804728573392</v>
      </c>
    </row>
    <row r="688" spans="1:9">
      <c r="A688" s="19">
        <v>428.2</v>
      </c>
      <c r="B688" s="43">
        <v>85.626691286883357</v>
      </c>
      <c r="C688" s="43">
        <v>85.977666265627846</v>
      </c>
      <c r="D688" s="43">
        <v>86.124500804446967</v>
      </c>
      <c r="E688" s="43">
        <v>86.100708842445016</v>
      </c>
      <c r="F688" s="43">
        <v>85.936174163280413</v>
      </c>
      <c r="G688" s="43">
        <v>85.656729242939889</v>
      </c>
      <c r="H688" s="43">
        <v>85.284346891264875</v>
      </c>
      <c r="I688" s="43">
        <v>84.83758300405438</v>
      </c>
    </row>
    <row r="689" spans="1:9">
      <c r="A689" s="19">
        <v>428.3</v>
      </c>
      <c r="B689" s="43">
        <v>85.646431063041717</v>
      </c>
      <c r="C689" s="43">
        <v>85.997956623501324</v>
      </c>
      <c r="D689" s="43">
        <v>86.145316092185169</v>
      </c>
      <c r="E689" s="43">
        <v>86.122010561141678</v>
      </c>
      <c r="F689" s="43">
        <v>85.95791709338269</v>
      </c>
      <c r="G689" s="43">
        <v>85.678865363419362</v>
      </c>
      <c r="H689" s="43">
        <v>85.306827715239649</v>
      </c>
      <c r="I689" s="43">
        <v>84.86036087311885</v>
      </c>
    </row>
    <row r="690" spans="1:9">
      <c r="A690" s="19">
        <v>428.4</v>
      </c>
      <c r="B690" s="43">
        <v>85.666169965203267</v>
      </c>
      <c r="C690" s="43">
        <v>86.018246041223421</v>
      </c>
      <c r="D690" s="43">
        <v>86.166130434522131</v>
      </c>
      <c r="E690" s="43">
        <v>86.14331137873063</v>
      </c>
      <c r="F690" s="43">
        <v>85.979659205786334</v>
      </c>
      <c r="G690" s="43">
        <v>85.701000780299353</v>
      </c>
      <c r="H690" s="43">
        <v>85.329307974066182</v>
      </c>
      <c r="I690" s="43">
        <v>84.883138335265528</v>
      </c>
    </row>
    <row r="691" spans="1:9">
      <c r="A691" s="19">
        <v>428.5</v>
      </c>
      <c r="B691" s="43">
        <v>85.685907993795041</v>
      </c>
      <c r="C691" s="43">
        <v>86.038534519104132</v>
      </c>
      <c r="D691" s="43">
        <v>86.186943831626849</v>
      </c>
      <c r="E691" s="43">
        <v>86.164611295242736</v>
      </c>
      <c r="F691" s="43">
        <v>86.001400500397267</v>
      </c>
      <c r="G691" s="43">
        <v>85.723135493362719</v>
      </c>
      <c r="H691" s="43">
        <v>85.351787667405404</v>
      </c>
      <c r="I691" s="43">
        <v>84.905915390035489</v>
      </c>
    </row>
    <row r="692" spans="1:9">
      <c r="A692" s="19">
        <v>428.6</v>
      </c>
      <c r="B692" s="43">
        <v>85.70564514930166</v>
      </c>
      <c r="C692" s="43">
        <v>86.058822057488356</v>
      </c>
      <c r="D692" s="43">
        <v>86.207756283695176</v>
      </c>
      <c r="E692" s="43">
        <v>86.18591031073754</v>
      </c>
      <c r="F692" s="43">
        <v>86.023140977126786</v>
      </c>
      <c r="G692" s="43">
        <v>85.745269502381461</v>
      </c>
      <c r="H692" s="43">
        <v>85.374266794900109</v>
      </c>
      <c r="I692" s="43">
        <v>84.928692036940134</v>
      </c>
    </row>
    <row r="693" spans="1:9">
      <c r="A693" s="19">
        <v>428.7</v>
      </c>
      <c r="B693" s="43">
        <v>85.725381432240823</v>
      </c>
      <c r="C693" s="43">
        <v>86.079108656744864</v>
      </c>
      <c r="D693" s="43">
        <v>86.228567790945931</v>
      </c>
      <c r="E693" s="43">
        <v>86.207208425274104</v>
      </c>
      <c r="F693" s="43">
        <v>86.044880635889825</v>
      </c>
      <c r="G693" s="43">
        <v>85.767402807132498</v>
      </c>
      <c r="H693" s="43">
        <v>85.396745356185789</v>
      </c>
      <c r="I693" s="43">
        <v>84.951468275486377</v>
      </c>
    </row>
    <row r="694" spans="1:9">
      <c r="A694" s="19">
        <v>428.8</v>
      </c>
      <c r="B694" s="43">
        <v>85.745116843039483</v>
      </c>
      <c r="C694" s="43">
        <v>86.099394317192207</v>
      </c>
      <c r="D694" s="43">
        <v>86.249378353553851</v>
      </c>
      <c r="E694" s="43">
        <v>86.228505638891676</v>
      </c>
      <c r="F694" s="43">
        <v>86.066619476595804</v>
      </c>
      <c r="G694" s="43">
        <v>85.789535407393686</v>
      </c>
      <c r="H694" s="43">
        <v>85.419223350919452</v>
      </c>
      <c r="I694" s="43">
        <v>84.974244105206935</v>
      </c>
    </row>
    <row r="695" spans="1:9">
      <c r="A695" s="19">
        <v>428.9</v>
      </c>
      <c r="B695" s="43">
        <v>85.764851382168587</v>
      </c>
      <c r="C695" s="43">
        <v>86.119679039157461</v>
      </c>
      <c r="D695" s="43">
        <v>86.27018797170598</v>
      </c>
      <c r="E695" s="43">
        <v>86.249801951636556</v>
      </c>
      <c r="F695" s="43">
        <v>86.08835749915329</v>
      </c>
      <c r="G695" s="43">
        <v>85.811667302946773</v>
      </c>
      <c r="H695" s="43">
        <v>85.441700778757593</v>
      </c>
      <c r="I695" s="43">
        <v>84.997019525631458</v>
      </c>
    </row>
    <row r="696" spans="1:9">
      <c r="A696" s="19">
        <v>429</v>
      </c>
      <c r="B696" s="43">
        <v>85.784585050162491</v>
      </c>
      <c r="C696" s="43">
        <v>86.139962823014486</v>
      </c>
      <c r="D696" s="43">
        <v>86.290996645630401</v>
      </c>
      <c r="E696" s="43">
        <v>86.271097363578804</v>
      </c>
      <c r="F696" s="43">
        <v>86.11009470348057</v>
      </c>
      <c r="G696" s="43">
        <v>85.833798493566377</v>
      </c>
      <c r="H696" s="43">
        <v>85.464177639333684</v>
      </c>
      <c r="I696" s="43">
        <v>85.019794536263078</v>
      </c>
    </row>
    <row r="697" spans="1:9">
      <c r="A697" s="19">
        <v>429.1</v>
      </c>
      <c r="B697" s="43">
        <v>85.804317847442974</v>
      </c>
      <c r="C697" s="43">
        <v>86.160245669072054</v>
      </c>
      <c r="D697" s="43">
        <v>86.311804375492528</v>
      </c>
      <c r="E697" s="43">
        <v>86.292391874753662</v>
      </c>
      <c r="F697" s="43">
        <v>86.131831089488031</v>
      </c>
      <c r="G697" s="43">
        <v>85.855928979033848</v>
      </c>
      <c r="H697" s="43">
        <v>85.48665393230732</v>
      </c>
      <c r="I697" s="43">
        <v>85.042569136630931</v>
      </c>
    </row>
    <row r="698" spans="1:9">
      <c r="A698" s="19">
        <v>429.2</v>
      </c>
      <c r="B698" s="43">
        <v>85.824049774472769</v>
      </c>
      <c r="C698" s="43">
        <v>86.180527577675264</v>
      </c>
      <c r="D698" s="43">
        <v>86.33261116148887</v>
      </c>
      <c r="E698" s="43">
        <v>86.313685485215501</v>
      </c>
      <c r="F698" s="43">
        <v>86.153566657086884</v>
      </c>
      <c r="G698" s="43">
        <v>85.87805875913142</v>
      </c>
      <c r="H698" s="43">
        <v>85.509129657334086</v>
      </c>
      <c r="I698" s="43">
        <v>85.06534332627507</v>
      </c>
    </row>
    <row r="699" spans="1:9">
      <c r="A699" s="19">
        <v>429.3</v>
      </c>
      <c r="B699" s="43">
        <v>85.843780831799222</v>
      </c>
      <c r="C699" s="43">
        <v>86.200808549192317</v>
      </c>
      <c r="D699" s="43">
        <v>86.353417003848392</v>
      </c>
      <c r="E699" s="43">
        <v>86.334978195032221</v>
      </c>
      <c r="F699" s="43">
        <v>86.175301406196752</v>
      </c>
      <c r="G699" s="43">
        <v>85.900187833634305</v>
      </c>
      <c r="H699" s="43">
        <v>85.531604814048251</v>
      </c>
      <c r="I699" s="43">
        <v>85.088117104694646</v>
      </c>
    </row>
    <row r="700" spans="1:9">
      <c r="A700" s="19">
        <v>429.4</v>
      </c>
      <c r="B700" s="43">
        <v>85.863511019821402</v>
      </c>
      <c r="C700" s="43">
        <v>86.221088583933835</v>
      </c>
      <c r="D700" s="43">
        <v>86.374221902729943</v>
      </c>
      <c r="E700" s="43">
        <v>86.35627000424023</v>
      </c>
      <c r="F700" s="43">
        <v>86.197035336727055</v>
      </c>
      <c r="G700" s="43">
        <v>85.922316202327806</v>
      </c>
      <c r="H700" s="43">
        <v>85.554079402115519</v>
      </c>
      <c r="I700" s="43">
        <v>85.110890471429997</v>
      </c>
    </row>
    <row r="701" spans="1:9">
      <c r="A701" s="19">
        <v>429.5</v>
      </c>
      <c r="B701" s="43">
        <v>85.883240339060535</v>
      </c>
      <c r="C701" s="43">
        <v>86.241367682255145</v>
      </c>
      <c r="D701" s="43">
        <v>86.3950258583493</v>
      </c>
      <c r="E701" s="43">
        <v>86.377560912899014</v>
      </c>
      <c r="F701" s="43">
        <v>86.218768448593778</v>
      </c>
      <c r="G701" s="43">
        <v>85.944443864993019</v>
      </c>
      <c r="H701" s="43">
        <v>85.576553421189288</v>
      </c>
      <c r="I701" s="43">
        <v>85.133663426007161</v>
      </c>
    </row>
    <row r="702" spans="1:9">
      <c r="A702" s="19">
        <v>429.6</v>
      </c>
      <c r="B702" s="43">
        <v>85.902968790005758</v>
      </c>
      <c r="C702" s="43">
        <v>86.261645844518483</v>
      </c>
      <c r="D702" s="43">
        <v>86.415828870914879</v>
      </c>
      <c r="E702" s="43">
        <v>86.398850921070817</v>
      </c>
      <c r="F702" s="43">
        <v>86.24050074171717</v>
      </c>
      <c r="G702" s="43">
        <v>85.966570821410187</v>
      </c>
      <c r="H702" s="43">
        <v>85.599026870909483</v>
      </c>
      <c r="I702" s="43">
        <v>85.156435967939814</v>
      </c>
    </row>
    <row r="703" spans="1:9">
      <c r="A703" s="19">
        <v>429.7</v>
      </c>
      <c r="B703" s="43">
        <v>85.922696373068703</v>
      </c>
      <c r="C703" s="43">
        <v>86.281923071017303</v>
      </c>
      <c r="D703" s="43">
        <v>86.436630940603436</v>
      </c>
      <c r="E703" s="43">
        <v>86.420140028793611</v>
      </c>
      <c r="F703" s="43">
        <v>86.262232216007163</v>
      </c>
      <c r="G703" s="43">
        <v>85.988697071365067</v>
      </c>
      <c r="H703" s="43">
        <v>85.621499750944849</v>
      </c>
      <c r="I703" s="43">
        <v>85.179208096771447</v>
      </c>
    </row>
    <row r="704" spans="1:9">
      <c r="A704" s="19">
        <v>429.8</v>
      </c>
      <c r="B704" s="43">
        <v>85.942423088800865</v>
      </c>
      <c r="C704" s="43">
        <v>86.302199362145075</v>
      </c>
      <c r="D704" s="43">
        <v>86.457432067626399</v>
      </c>
      <c r="E704" s="43">
        <v>86.441428236142713</v>
      </c>
      <c r="F704" s="43">
        <v>86.283962871385285</v>
      </c>
      <c r="G704" s="43">
        <v>86.010822614638101</v>
      </c>
      <c r="H704" s="43">
        <v>85.643972060938523</v>
      </c>
      <c r="I704" s="43">
        <v>85.201979812015026</v>
      </c>
    </row>
    <row r="705" spans="1:9">
      <c r="A705" s="19">
        <v>429.9</v>
      </c>
      <c r="B705" s="43">
        <v>85.962148937627887</v>
      </c>
      <c r="C705" s="43">
        <v>86.322474718214977</v>
      </c>
      <c r="D705" s="43">
        <v>86.47823225217806</v>
      </c>
      <c r="E705" s="43">
        <v>86.462715543158509</v>
      </c>
      <c r="F705" s="43">
        <v>86.305692707765218</v>
      </c>
      <c r="G705" s="43">
        <v>86.032947451016184</v>
      </c>
      <c r="H705" s="43">
        <v>85.666443800551775</v>
      </c>
      <c r="I705" s="43">
        <v>85.224751113208072</v>
      </c>
    </row>
    <row r="706" spans="1:9">
      <c r="A706" s="19">
        <v>430</v>
      </c>
      <c r="B706" s="43">
        <v>85.939865426096674</v>
      </c>
      <c r="C706" s="43">
        <v>86.308557230474918</v>
      </c>
      <c r="D706" s="43">
        <v>86.473584534422969</v>
      </c>
      <c r="E706" s="43">
        <v>86.467972146544895</v>
      </c>
      <c r="F706" s="43">
        <v>86.321276150396869</v>
      </c>
      <c r="G706" s="43">
        <v>86.059115702032983</v>
      </c>
      <c r="H706" s="43">
        <v>85.703326142926727</v>
      </c>
      <c r="I706" s="43">
        <v>85.27237359361726</v>
      </c>
    </row>
    <row r="707" spans="1:9">
      <c r="A707" s="19">
        <v>430.1</v>
      </c>
      <c r="B707" s="43">
        <v>85.91742920525266</v>
      </c>
      <c r="C707" s="43">
        <v>86.294474293205212</v>
      </c>
      <c r="D707" s="43">
        <v>86.468761195013229</v>
      </c>
      <c r="E707" s="43">
        <v>86.473044321154248</v>
      </c>
      <c r="F707" s="43">
        <v>86.336665943561684</v>
      </c>
      <c r="G707" s="43">
        <v>86.08507877521609</v>
      </c>
      <c r="H707" s="43">
        <v>85.739987739351108</v>
      </c>
      <c r="I707" s="43">
        <v>85.319754309849941</v>
      </c>
    </row>
    <row r="708" spans="1:9">
      <c r="A708" s="19">
        <v>430.2</v>
      </c>
      <c r="B708" s="43">
        <v>85.937015929168155</v>
      </c>
      <c r="C708" s="43">
        <v>86.314589538151722</v>
      </c>
      <c r="D708" s="43">
        <v>86.489381352065749</v>
      </c>
      <c r="E708" s="43">
        <v>86.494133287279027</v>
      </c>
      <c r="F708" s="43">
        <v>86.358180992760538</v>
      </c>
      <c r="G708" s="43">
        <v>86.106974361773638</v>
      </c>
      <c r="H708" s="43">
        <v>85.76221779547393</v>
      </c>
      <c r="I708" s="43">
        <v>85.34227354087713</v>
      </c>
    </row>
    <row r="709" spans="1:9">
      <c r="A709" s="19">
        <v>430.3</v>
      </c>
      <c r="B709" s="43">
        <v>85.95660179529068</v>
      </c>
      <c r="C709" s="43">
        <v>86.334703854572922</v>
      </c>
      <c r="D709" s="43">
        <v>86.510000566309344</v>
      </c>
      <c r="E709" s="43">
        <v>86.515221342665768</v>
      </c>
      <c r="F709" s="43">
        <v>86.379695200108046</v>
      </c>
      <c r="G709" s="43">
        <v>86.12886920432598</v>
      </c>
      <c r="H709" s="43">
        <v>85.78444722837898</v>
      </c>
      <c r="I709" s="43">
        <v>85.364792287998455</v>
      </c>
    </row>
    <row r="710" spans="1:9">
      <c r="A710" s="19">
        <v>430.4</v>
      </c>
      <c r="B710" s="43">
        <v>85.976186804071972</v>
      </c>
      <c r="C710" s="43">
        <v>86.354817242806035</v>
      </c>
      <c r="D710" s="43">
        <v>86.530618837944502</v>
      </c>
      <c r="E710" s="43">
        <v>86.536308487388084</v>
      </c>
      <c r="F710" s="43">
        <v>86.40120856555356</v>
      </c>
      <c r="G710" s="43">
        <v>86.150763302702046</v>
      </c>
      <c r="H710" s="43">
        <v>85.806676037776128</v>
      </c>
      <c r="I710" s="43">
        <v>85.387310550811208</v>
      </c>
    </row>
    <row r="711" spans="1:9">
      <c r="A711" s="19">
        <v>430.5</v>
      </c>
      <c r="B711" s="43">
        <v>85.995770955944749</v>
      </c>
      <c r="C711" s="43">
        <v>86.37492970314824</v>
      </c>
      <c r="D711" s="43">
        <v>86.551236167164546</v>
      </c>
      <c r="E711" s="43">
        <v>86.55739472151285</v>
      </c>
      <c r="F711" s="43">
        <v>86.42272108904794</v>
      </c>
      <c r="G711" s="43">
        <v>86.172656656732499</v>
      </c>
      <c r="H711" s="43">
        <v>85.828904223387013</v>
      </c>
      <c r="I711" s="43">
        <v>85.40982832892459</v>
      </c>
    </row>
    <row r="712" spans="1:9">
      <c r="A712" s="19">
        <v>430.6</v>
      </c>
      <c r="B712" s="43">
        <v>86.015354251398435</v>
      </c>
      <c r="C712" s="43">
        <v>86.395041236003607</v>
      </c>
      <c r="D712" s="43">
        <v>86.571852554203645</v>
      </c>
      <c r="E712" s="43">
        <v>86.578480045141589</v>
      </c>
      <c r="F712" s="43">
        <v>86.444232770546023</v>
      </c>
      <c r="G712" s="43">
        <v>86.194549266242689</v>
      </c>
      <c r="H712" s="43">
        <v>85.851131784899792</v>
      </c>
      <c r="I712" s="43">
        <v>85.432345621895223</v>
      </c>
    </row>
    <row r="713" spans="1:9">
      <c r="A713" s="19">
        <v>430.7</v>
      </c>
      <c r="B713" s="43">
        <v>86.034936690866658</v>
      </c>
      <c r="C713" s="43">
        <v>86.415151841659906</v>
      </c>
      <c r="D713" s="43">
        <v>86.59246799925873</v>
      </c>
      <c r="E713" s="43">
        <v>86.599564458336516</v>
      </c>
      <c r="F713" s="43">
        <v>86.465743609999038</v>
      </c>
      <c r="G713" s="43">
        <v>86.216441131064755</v>
      </c>
      <c r="H713" s="43">
        <v>85.873358722043065</v>
      </c>
      <c r="I713" s="43">
        <v>85.454862429350953</v>
      </c>
    </row>
    <row r="714" spans="1:9">
      <c r="A714" s="19">
        <v>430.8</v>
      </c>
      <c r="B714" s="43">
        <v>86.054518274804934</v>
      </c>
      <c r="C714" s="43">
        <v>86.435261520479344</v>
      </c>
      <c r="D714" s="43">
        <v>86.613082502548565</v>
      </c>
      <c r="E714" s="43">
        <v>86.620647961184886</v>
      </c>
      <c r="F714" s="43">
        <v>86.487253607359293</v>
      </c>
      <c r="G714" s="43">
        <v>86.238332251029192</v>
      </c>
      <c r="H714" s="43">
        <v>85.895585034522639</v>
      </c>
      <c r="I714" s="43">
        <v>85.477378750870116</v>
      </c>
    </row>
    <row r="715" spans="1:9">
      <c r="A715" s="19">
        <v>430.9</v>
      </c>
      <c r="B715" s="43">
        <v>86.074099003678441</v>
      </c>
      <c r="C715" s="43">
        <v>86.455370272787633</v>
      </c>
      <c r="D715" s="43">
        <v>86.633696064266644</v>
      </c>
      <c r="E715" s="43">
        <v>86.641730553760965</v>
      </c>
      <c r="F715" s="43">
        <v>86.508762762580801</v>
      </c>
      <c r="G715" s="43">
        <v>86.260222625966009</v>
      </c>
      <c r="H715" s="43">
        <v>85.91781072205103</v>
      </c>
      <c r="I715" s="43">
        <v>85.499894586051198</v>
      </c>
    </row>
    <row r="716" spans="1:9">
      <c r="A716" s="19">
        <v>431</v>
      </c>
      <c r="B716" s="43">
        <v>86.093678877929193</v>
      </c>
      <c r="C716" s="43">
        <v>86.475478098931234</v>
      </c>
      <c r="D716" s="43">
        <v>86.654308684637272</v>
      </c>
      <c r="E716" s="43">
        <v>86.662812236151353</v>
      </c>
      <c r="F716" s="43">
        <v>86.530271075615104</v>
      </c>
      <c r="G716" s="43">
        <v>86.282112255706807</v>
      </c>
      <c r="H716" s="43">
        <v>85.940035784337681</v>
      </c>
      <c r="I716" s="43">
        <v>85.522409934494135</v>
      </c>
    </row>
    <row r="717" spans="1:9">
      <c r="A717" s="19">
        <v>431.1</v>
      </c>
      <c r="B717" s="43">
        <v>86.113257898038</v>
      </c>
      <c r="C717" s="43">
        <v>86.495584999256664</v>
      </c>
      <c r="D717" s="43">
        <v>86.674920363871507</v>
      </c>
      <c r="E717" s="43">
        <v>86.683893008434353</v>
      </c>
      <c r="F717" s="43">
        <v>86.551778546420252</v>
      </c>
      <c r="G717" s="43">
        <v>86.304001140082534</v>
      </c>
      <c r="H717" s="43">
        <v>85.962260221094539</v>
      </c>
      <c r="I717" s="43">
        <v>85.544924795787637</v>
      </c>
    </row>
    <row r="718" spans="1:9">
      <c r="A718" s="19">
        <v>431.2</v>
      </c>
      <c r="B718" s="43">
        <v>86.132836064432325</v>
      </c>
      <c r="C718" s="43">
        <v>86.515690974084549</v>
      </c>
      <c r="D718" s="43">
        <v>86.695531102164864</v>
      </c>
      <c r="E718" s="43">
        <v>86.70497287069108</v>
      </c>
      <c r="F718" s="43">
        <v>86.573285174946562</v>
      </c>
      <c r="G718" s="43">
        <v>86.325889278926923</v>
      </c>
      <c r="H718" s="43">
        <v>85.984484032043014</v>
      </c>
      <c r="I718" s="43">
        <v>85.567439169545537</v>
      </c>
    </row>
    <row r="719" spans="1:9">
      <c r="A719" s="19">
        <v>431.3</v>
      </c>
      <c r="B719" s="43">
        <v>86.152413377568195</v>
      </c>
      <c r="C719" s="43">
        <v>86.53579602375379</v>
      </c>
      <c r="D719" s="43">
        <v>86.716140899735706</v>
      </c>
      <c r="E719" s="43">
        <v>86.726051822994208</v>
      </c>
      <c r="F719" s="43">
        <v>86.594790961149982</v>
      </c>
      <c r="G719" s="43">
        <v>86.347776672072371</v>
      </c>
      <c r="H719" s="43">
        <v>86.006707216894</v>
      </c>
      <c r="I719" s="43">
        <v>85.589953055352055</v>
      </c>
    </row>
    <row r="720" spans="1:9">
      <c r="A720" s="19">
        <v>431.4</v>
      </c>
      <c r="B720" s="43">
        <v>86.171989837926816</v>
      </c>
      <c r="C720" s="43">
        <v>86.555900148624005</v>
      </c>
      <c r="D720" s="43">
        <v>86.736749756810866</v>
      </c>
      <c r="E720" s="43">
        <v>86.747129865444037</v>
      </c>
      <c r="F720" s="43">
        <v>86.616295904988192</v>
      </c>
      <c r="G720" s="43">
        <v>86.369663319350536</v>
      </c>
      <c r="H720" s="43">
        <v>86.02892977535825</v>
      </c>
      <c r="I720" s="43">
        <v>85.612466452801272</v>
      </c>
    </row>
    <row r="721" spans="1:9">
      <c r="A721" s="19">
        <v>431.5</v>
      </c>
      <c r="B721" s="43">
        <v>86.191565445955007</v>
      </c>
      <c r="C721" s="43">
        <v>86.576003349032277</v>
      </c>
      <c r="D721" s="43">
        <v>86.757357673592395</v>
      </c>
      <c r="E721" s="43">
        <v>86.76820699811131</v>
      </c>
      <c r="F721" s="43">
        <v>86.63780000641728</v>
      </c>
      <c r="G721" s="43">
        <v>86.391549220595834</v>
      </c>
      <c r="H721" s="43">
        <v>86.051151707152115</v>
      </c>
      <c r="I721" s="43">
        <v>85.634979361497784</v>
      </c>
    </row>
    <row r="722" spans="1:9">
      <c r="A722" s="19">
        <v>431.6</v>
      </c>
      <c r="B722" s="43">
        <v>86.211140202077928</v>
      </c>
      <c r="C722" s="43">
        <v>86.596105625289965</v>
      </c>
      <c r="D722" s="43">
        <v>86.777964650270974</v>
      </c>
      <c r="E722" s="43">
        <v>86.789283221073504</v>
      </c>
      <c r="F722" s="43">
        <v>86.659303265387734</v>
      </c>
      <c r="G722" s="43">
        <v>86.413434375644584</v>
      </c>
      <c r="H722" s="43">
        <v>86.073373011999934</v>
      </c>
      <c r="I722" s="43">
        <v>85.65749178105915</v>
      </c>
    </row>
    <row r="723" spans="1:9">
      <c r="A723" s="19">
        <v>431.7</v>
      </c>
      <c r="B723" s="43">
        <v>86.230714106790657</v>
      </c>
      <c r="C723" s="43">
        <v>86.616206977768172</v>
      </c>
      <c r="D723" s="43">
        <v>86.798570687089352</v>
      </c>
      <c r="E723" s="43">
        <v>86.810358534424438</v>
      </c>
      <c r="F723" s="43">
        <v>86.680805681862324</v>
      </c>
      <c r="G723" s="43">
        <v>86.435318784328587</v>
      </c>
      <c r="H723" s="43">
        <v>86.095593689606943</v>
      </c>
      <c r="I723" s="43">
        <v>85.68000371105768</v>
      </c>
    </row>
    <row r="724" spans="1:9">
      <c r="A724" s="19">
        <v>431.8</v>
      </c>
      <c r="B724" s="43">
        <v>86.250287160543678</v>
      </c>
      <c r="C724" s="43">
        <v>86.636307406811198</v>
      </c>
      <c r="D724" s="43">
        <v>86.819175784254952</v>
      </c>
      <c r="E724" s="43">
        <v>86.831432938245911</v>
      </c>
      <c r="F724" s="43">
        <v>86.702307255798132</v>
      </c>
      <c r="G724" s="43">
        <v>86.457202446483734</v>
      </c>
      <c r="H724" s="43">
        <v>86.117813739691627</v>
      </c>
      <c r="I724" s="43">
        <v>85.702515151104819</v>
      </c>
    </row>
    <row r="725" spans="1:9">
      <c r="A725" s="19">
        <v>431.9</v>
      </c>
      <c r="B725" s="43">
        <v>86.269859363775112</v>
      </c>
      <c r="C725" s="43">
        <v>86.656406912735122</v>
      </c>
      <c r="D725" s="43">
        <v>86.839779941969454</v>
      </c>
      <c r="E725" s="43">
        <v>86.852506432617844</v>
      </c>
      <c r="F725" s="43">
        <v>86.723807987149286</v>
      </c>
      <c r="G725" s="43">
        <v>86.479085361947199</v>
      </c>
      <c r="H725" s="43">
        <v>86.140033161977044</v>
      </c>
      <c r="I725" s="43">
        <v>85.725026100811476</v>
      </c>
    </row>
    <row r="726" spans="1:9">
      <c r="A726" s="19">
        <v>432</v>
      </c>
      <c r="B726" s="43">
        <v>86.289430716953348</v>
      </c>
      <c r="C726" s="43">
        <v>86.676505495886488</v>
      </c>
      <c r="D726" s="43">
        <v>86.860383160444201</v>
      </c>
      <c r="E726" s="43">
        <v>86.873579017619903</v>
      </c>
      <c r="F726" s="43">
        <v>86.745307875874545</v>
      </c>
      <c r="G726" s="43">
        <v>86.500967530554306</v>
      </c>
      <c r="H726" s="43">
        <v>86.162251956179517</v>
      </c>
      <c r="I726" s="43">
        <v>85.747536559773181</v>
      </c>
    </row>
    <row r="727" spans="1:9">
      <c r="A727" s="19">
        <v>432.1</v>
      </c>
      <c r="B727" s="43">
        <v>86.309001220539102</v>
      </c>
      <c r="C727" s="43">
        <v>86.696603156615936</v>
      </c>
      <c r="D727" s="43">
        <v>86.880985439908926</v>
      </c>
      <c r="E727" s="43">
        <v>86.894650693350115</v>
      </c>
      <c r="F727" s="43">
        <v>86.766806921934631</v>
      </c>
      <c r="G727" s="43">
        <v>86.522848952141175</v>
      </c>
      <c r="H727" s="43">
        <v>86.184470122014432</v>
      </c>
      <c r="I727" s="43">
        <v>85.770046527587056</v>
      </c>
    </row>
    <row r="728" spans="1:9">
      <c r="A728" s="19">
        <v>432.2</v>
      </c>
      <c r="B728" s="43">
        <v>86.32857087497527</v>
      </c>
      <c r="C728" s="43">
        <v>86.716699895259666</v>
      </c>
      <c r="D728" s="43">
        <v>86.901586780566021</v>
      </c>
      <c r="E728" s="43">
        <v>86.915721459877972</v>
      </c>
      <c r="F728" s="43">
        <v>86.7883051252862</v>
      </c>
      <c r="G728" s="43">
        <v>86.544729626545291</v>
      </c>
      <c r="H728" s="43">
        <v>86.2066876592028</v>
      </c>
      <c r="I728" s="43">
        <v>85.792556003862813</v>
      </c>
    </row>
    <row r="729" spans="1:9">
      <c r="A729" s="19">
        <v>432.3</v>
      </c>
      <c r="B729" s="43">
        <v>86.348139680730043</v>
      </c>
      <c r="C729" s="43">
        <v>86.736795712158198</v>
      </c>
      <c r="D729" s="43">
        <v>86.922187182632541</v>
      </c>
      <c r="E729" s="43">
        <v>86.936791317298031</v>
      </c>
      <c r="F729" s="43">
        <v>86.809802485888412</v>
      </c>
      <c r="G729" s="43">
        <v>86.566609553604735</v>
      </c>
      <c r="H729" s="43">
        <v>86.22890456746785</v>
      </c>
      <c r="I729" s="43">
        <v>85.815064988209684</v>
      </c>
    </row>
    <row r="730" spans="1:9">
      <c r="A730" s="19">
        <v>432.4</v>
      </c>
      <c r="B730" s="43">
        <v>86.367707638267461</v>
      </c>
      <c r="C730" s="43">
        <v>86.756890607666548</v>
      </c>
      <c r="D730" s="43">
        <v>86.94278664632165</v>
      </c>
      <c r="E730" s="43">
        <v>86.95786026569786</v>
      </c>
      <c r="F730" s="43">
        <v>86.831299003703663</v>
      </c>
      <c r="G730" s="43">
        <v>86.588488733156851</v>
      </c>
      <c r="H730" s="43">
        <v>86.251120846522696</v>
      </c>
      <c r="I730" s="43">
        <v>85.837573480216889</v>
      </c>
    </row>
    <row r="731" spans="1:9">
      <c r="A731" s="19">
        <v>432.5</v>
      </c>
      <c r="B731" s="43">
        <v>86.387274748021866</v>
      </c>
      <c r="C731" s="43">
        <v>86.776984582106792</v>
      </c>
      <c r="D731" s="43">
        <v>86.963385171848245</v>
      </c>
      <c r="E731" s="43">
        <v>86.978928305155762</v>
      </c>
      <c r="F731" s="43">
        <v>86.852794678688952</v>
      </c>
      <c r="G731" s="43">
        <v>86.610367165041168</v>
      </c>
      <c r="H731" s="43">
        <v>86.273336496095595</v>
      </c>
      <c r="I731" s="43">
        <v>85.860081479509063</v>
      </c>
    </row>
    <row r="732" spans="1:9">
      <c r="A732" s="19">
        <v>432.6</v>
      </c>
      <c r="B732" s="43">
        <v>86.406841010468099</v>
      </c>
      <c r="C732" s="43">
        <v>86.797077635818198</v>
      </c>
      <c r="D732" s="43">
        <v>86.983982759423782</v>
      </c>
      <c r="E732" s="43">
        <v>86.999995435761178</v>
      </c>
      <c r="F732" s="43">
        <v>86.874289510805113</v>
      </c>
      <c r="G732" s="43">
        <v>86.632244849096793</v>
      </c>
      <c r="H732" s="43">
        <v>86.295551515904009</v>
      </c>
      <c r="I732" s="43">
        <v>85.882588985686937</v>
      </c>
    </row>
    <row r="733" spans="1:9">
      <c r="A733" s="19">
        <v>432.7</v>
      </c>
      <c r="B733" s="43">
        <v>86.426406426066393</v>
      </c>
      <c r="C733" s="43">
        <v>86.817169769178179</v>
      </c>
      <c r="D733" s="43">
        <v>87.004579409284162</v>
      </c>
      <c r="E733" s="43">
        <v>87.021061657605003</v>
      </c>
      <c r="F733" s="43">
        <v>86.895783500017785</v>
      </c>
      <c r="G733" s="43">
        <v>86.654121785161635</v>
      </c>
      <c r="H733" s="43">
        <v>86.317765905665539</v>
      </c>
      <c r="I733" s="43">
        <v>85.905095998337345</v>
      </c>
    </row>
    <row r="734" spans="1:9">
      <c r="A734" s="19">
        <v>432.8</v>
      </c>
      <c r="B734" s="43">
        <v>86.445970995255863</v>
      </c>
      <c r="C734" s="43">
        <v>86.837260982485702</v>
      </c>
      <c r="D734" s="43">
        <v>87.025175121610403</v>
      </c>
      <c r="E734" s="43">
        <v>87.042126970766816</v>
      </c>
      <c r="F734" s="43">
        <v>86.917276646280243</v>
      </c>
      <c r="G734" s="43">
        <v>86.675997973078296</v>
      </c>
      <c r="H734" s="43">
        <v>86.339979665112054</v>
      </c>
      <c r="I734" s="43">
        <v>85.927602517097114</v>
      </c>
    </row>
    <row r="735" spans="1:9">
      <c r="A735" s="19">
        <v>432.9</v>
      </c>
      <c r="B735" s="43">
        <v>86.465534718492222</v>
      </c>
      <c r="C735" s="43">
        <v>86.857351276104396</v>
      </c>
      <c r="D735" s="43">
        <v>87.045769896643094</v>
      </c>
      <c r="E735" s="43">
        <v>87.06319137533248</v>
      </c>
      <c r="F735" s="43">
        <v>86.93876894956</v>
      </c>
      <c r="G735" s="43">
        <v>86.697873412686079</v>
      </c>
      <c r="H735" s="43">
        <v>86.362192793964027</v>
      </c>
      <c r="I735" s="43">
        <v>85.95010854156277</v>
      </c>
    </row>
    <row r="736" spans="1:9">
      <c r="A736" s="19">
        <v>433</v>
      </c>
      <c r="B736" s="43">
        <v>86.48509759627629</v>
      </c>
      <c r="C736" s="43">
        <v>86.87744065039206</v>
      </c>
      <c r="D736" s="43">
        <v>87.0663637346006</v>
      </c>
      <c r="E736" s="43">
        <v>87.08425487140363</v>
      </c>
      <c r="F736" s="43">
        <v>86.960260409821046</v>
      </c>
      <c r="G736" s="43">
        <v>86.719748103825225</v>
      </c>
      <c r="H736" s="43">
        <v>86.384405291934968</v>
      </c>
      <c r="I736" s="43">
        <v>85.972614071331009</v>
      </c>
    </row>
    <row r="737" spans="1:9">
      <c r="A737" s="19">
        <v>433.1</v>
      </c>
      <c r="B737" s="43">
        <v>86.504659629014327</v>
      </c>
      <c r="C737" s="43">
        <v>86.897529105667047</v>
      </c>
      <c r="D737" s="43">
        <v>87.086956635682327</v>
      </c>
      <c r="E737" s="43">
        <v>87.105317459059506</v>
      </c>
      <c r="F737" s="43">
        <v>86.98175102702163</v>
      </c>
      <c r="G737" s="43">
        <v>86.741622046338165</v>
      </c>
      <c r="H737" s="43">
        <v>86.406617158759047</v>
      </c>
      <c r="I737" s="43">
        <v>85.995119106020582</v>
      </c>
    </row>
    <row r="738" spans="1:9">
      <c r="A738" s="19">
        <v>433.2</v>
      </c>
      <c r="B738" s="43">
        <v>86.524220817181714</v>
      </c>
      <c r="C738" s="43">
        <v>86.917616642271838</v>
      </c>
      <c r="D738" s="43">
        <v>87.107548600112153</v>
      </c>
      <c r="E738" s="43">
        <v>87.126379138381481</v>
      </c>
      <c r="F738" s="43">
        <v>87.003240801124264</v>
      </c>
      <c r="G738" s="43">
        <v>86.76349524006821</v>
      </c>
      <c r="H738" s="43">
        <v>86.428828394164896</v>
      </c>
      <c r="I738" s="43">
        <v>86.017623645250524</v>
      </c>
    </row>
    <row r="739" spans="1:9">
      <c r="A739" s="19">
        <v>433.3</v>
      </c>
      <c r="B739" s="43">
        <v>86.543781161251445</v>
      </c>
      <c r="C739" s="43">
        <v>86.937703260576285</v>
      </c>
      <c r="D739" s="43">
        <v>87.12813962811731</v>
      </c>
      <c r="E739" s="43">
        <v>87.147439909471785</v>
      </c>
      <c r="F739" s="43">
        <v>87.024729732097484</v>
      </c>
      <c r="G739" s="43">
        <v>86.785367684855629</v>
      </c>
      <c r="H739" s="43">
        <v>86.451038997865112</v>
      </c>
      <c r="I739" s="43">
        <v>86.040127688614234</v>
      </c>
    </row>
    <row r="740" spans="1:9">
      <c r="A740" s="19">
        <v>433.4</v>
      </c>
      <c r="B740" s="43">
        <v>86.563340661671816</v>
      </c>
      <c r="C740" s="43">
        <v>86.957788960910761</v>
      </c>
      <c r="D740" s="43">
        <v>87.148729719909568</v>
      </c>
      <c r="E740" s="43">
        <v>87.168499772417277</v>
      </c>
      <c r="F740" s="43">
        <v>87.046217819903774</v>
      </c>
      <c r="G740" s="43">
        <v>86.807239380544331</v>
      </c>
      <c r="H740" s="43">
        <v>86.47324896959168</v>
      </c>
      <c r="I740" s="43">
        <v>86.062631235729015</v>
      </c>
    </row>
    <row r="741" spans="1:9">
      <c r="A741" s="19">
        <v>433.5</v>
      </c>
      <c r="B741" s="43">
        <v>86.582899318892089</v>
      </c>
      <c r="C741" s="43">
        <v>86.977873743606864</v>
      </c>
      <c r="D741" s="43">
        <v>87.169318875696774</v>
      </c>
      <c r="E741" s="43">
        <v>87.189558727298902</v>
      </c>
      <c r="F741" s="43">
        <v>87.067705064503741</v>
      </c>
      <c r="G741" s="43">
        <v>86.829110326978025</v>
      </c>
      <c r="H741" s="43">
        <v>86.495458309074849</v>
      </c>
      <c r="I741" s="43">
        <v>86.085134286211542</v>
      </c>
    </row>
    <row r="742" spans="1:9">
      <c r="A742" s="19">
        <v>433.6</v>
      </c>
      <c r="B742" s="43">
        <v>86.602457133373719</v>
      </c>
      <c r="C742" s="43">
        <v>86.997957609031374</v>
      </c>
      <c r="D742" s="43">
        <v>87.189907095710197</v>
      </c>
      <c r="E742" s="43">
        <v>87.210616774210251</v>
      </c>
      <c r="F742" s="43">
        <v>87.089191465865696</v>
      </c>
      <c r="G742" s="43">
        <v>86.850980524000306</v>
      </c>
      <c r="H742" s="43">
        <v>86.517667016032988</v>
      </c>
      <c r="I742" s="43">
        <v>86.10763683966519</v>
      </c>
    </row>
    <row r="743" spans="1:9">
      <c r="A743" s="19">
        <v>433.7</v>
      </c>
      <c r="B743" s="43">
        <v>86.622014105584981</v>
      </c>
      <c r="C743" s="43">
        <v>87.01804055750074</v>
      </c>
      <c r="D743" s="43">
        <v>87.210494380155211</v>
      </c>
      <c r="E743" s="43">
        <v>87.231673913245203</v>
      </c>
      <c r="F743" s="43">
        <v>87.110677023954111</v>
      </c>
      <c r="G743" s="43">
        <v>86.872849971456446</v>
      </c>
      <c r="H743" s="43">
        <v>86.539875090201974</v>
      </c>
      <c r="I743" s="43">
        <v>86.13013889571701</v>
      </c>
    </row>
    <row r="744" spans="1:9">
      <c r="A744" s="19">
        <v>433.8</v>
      </c>
      <c r="B744" s="43">
        <v>86.641570235974257</v>
      </c>
      <c r="C744" s="43">
        <v>87.038122589388507</v>
      </c>
      <c r="D744" s="43">
        <v>87.231080729264164</v>
      </c>
      <c r="E744" s="43">
        <v>87.25273014449408</v>
      </c>
      <c r="F744" s="43">
        <v>87.132161738734482</v>
      </c>
      <c r="G744" s="43">
        <v>86.894718669190269</v>
      </c>
      <c r="H744" s="43">
        <v>86.562082531302423</v>
      </c>
      <c r="I744" s="43">
        <v>86.152640453964239</v>
      </c>
    </row>
    <row r="745" spans="1:9">
      <c r="A745" s="19">
        <v>433.9</v>
      </c>
      <c r="B745" s="43">
        <v>86.661125525013603</v>
      </c>
      <c r="C745" s="43">
        <v>87.058203705026727</v>
      </c>
      <c r="D745" s="43">
        <v>87.25166614325002</v>
      </c>
      <c r="E745" s="43">
        <v>87.273785468042149</v>
      </c>
      <c r="F745" s="43">
        <v>87.153645610174522</v>
      </c>
      <c r="G745" s="43">
        <v>86.916586617047585</v>
      </c>
      <c r="H745" s="43">
        <v>86.584289339066771</v>
      </c>
      <c r="I745" s="43">
        <v>86.175141514024716</v>
      </c>
    </row>
    <row r="746" spans="1:9">
      <c r="A746" s="19">
        <v>434</v>
      </c>
      <c r="B746" s="43">
        <v>86.680679973146084</v>
      </c>
      <c r="C746" s="43">
        <v>87.078283904757399</v>
      </c>
      <c r="D746" s="43">
        <v>87.272250622326624</v>
      </c>
      <c r="E746" s="43">
        <v>87.294839883988516</v>
      </c>
      <c r="F746" s="43">
        <v>87.17512863823768</v>
      </c>
      <c r="G746" s="43">
        <v>86.93845381487472</v>
      </c>
      <c r="H746" s="43">
        <v>86.606495513225468</v>
      </c>
      <c r="I746" s="43">
        <v>86.197642075519099</v>
      </c>
    </row>
    <row r="747" spans="1:9">
      <c r="A747" s="19">
        <v>434.1</v>
      </c>
      <c r="B747" s="43">
        <v>86.700233580828893</v>
      </c>
      <c r="C747" s="43">
        <v>87.098363188926641</v>
      </c>
      <c r="D747" s="43">
        <v>87.292834166725072</v>
      </c>
      <c r="E747" s="43">
        <v>87.31589339241728</v>
      </c>
      <c r="F747" s="43">
        <v>87.196610822890847</v>
      </c>
      <c r="G747" s="43">
        <v>86.96032026251811</v>
      </c>
      <c r="H747" s="43">
        <v>86.628701053503676</v>
      </c>
      <c r="I747" s="43">
        <v>86.220142138066592</v>
      </c>
    </row>
    <row r="748" spans="1:9">
      <c r="A748" s="19">
        <v>434.2</v>
      </c>
      <c r="B748" s="43">
        <v>86.719786348555544</v>
      </c>
      <c r="C748" s="43">
        <v>87.118441557897569</v>
      </c>
      <c r="D748" s="43">
        <v>87.313416776663757</v>
      </c>
      <c r="E748" s="43">
        <v>87.336945993434341</v>
      </c>
      <c r="F748" s="43">
        <v>87.218092164108015</v>
      </c>
      <c r="G748" s="43">
        <v>86.982185959823113</v>
      </c>
      <c r="H748" s="43">
        <v>86.650905959630705</v>
      </c>
      <c r="I748" s="43">
        <v>86.242641701263864</v>
      </c>
    </row>
    <row r="749" spans="1:9">
      <c r="A749" s="19">
        <v>434.3</v>
      </c>
      <c r="B749" s="43">
        <v>86.739338276738863</v>
      </c>
      <c r="C749" s="43">
        <v>87.138519011986546</v>
      </c>
      <c r="D749" s="43">
        <v>87.333998452353853</v>
      </c>
      <c r="E749" s="43">
        <v>87.357997687114533</v>
      </c>
      <c r="F749" s="43">
        <v>87.239572661849081</v>
      </c>
      <c r="G749" s="43">
        <v>87.004050906639151</v>
      </c>
      <c r="H749" s="43">
        <v>86.673110231344964</v>
      </c>
      <c r="I749" s="43">
        <v>86.265140764742682</v>
      </c>
    </row>
    <row r="750" spans="1:9">
      <c r="A750" s="19">
        <v>434.4</v>
      </c>
      <c r="B750" s="43">
        <v>86.758889365855424</v>
      </c>
      <c r="C750" s="43">
        <v>87.158595551557738</v>
      </c>
      <c r="D750" s="43">
        <v>87.354579194010569</v>
      </c>
      <c r="E750" s="43">
        <v>87.379048473556765</v>
      </c>
      <c r="F750" s="43">
        <v>87.261052316085369</v>
      </c>
      <c r="G750" s="43">
        <v>87.02591510281303</v>
      </c>
      <c r="H750" s="43">
        <v>86.695313868370079</v>
      </c>
      <c r="I750" s="43">
        <v>86.28763932812285</v>
      </c>
    </row>
    <row r="751" spans="1:9">
      <c r="A751" s="19">
        <v>434.5</v>
      </c>
      <c r="B751" s="43">
        <v>86.778439616383935</v>
      </c>
      <c r="C751" s="43">
        <v>87.178671176963547</v>
      </c>
      <c r="D751" s="43">
        <v>87.375159001880007</v>
      </c>
      <c r="E751" s="43">
        <v>87.400098352863722</v>
      </c>
      <c r="F751" s="43">
        <v>87.28253112678766</v>
      </c>
      <c r="G751" s="43">
        <v>87.047778548192639</v>
      </c>
      <c r="H751" s="43">
        <v>86.717516870439852</v>
      </c>
      <c r="I751" s="43">
        <v>86.310137391004531</v>
      </c>
    </row>
    <row r="752" spans="1:9">
      <c r="A752" s="19">
        <v>434.6</v>
      </c>
      <c r="B752" s="43">
        <v>86.797989028760441</v>
      </c>
      <c r="C752" s="43">
        <v>87.198745888541538</v>
      </c>
      <c r="D752" s="43">
        <v>87.395737876164333</v>
      </c>
      <c r="E752" s="43">
        <v>87.421147325122348</v>
      </c>
      <c r="F752" s="43">
        <v>87.304009093923213</v>
      </c>
      <c r="G752" s="43">
        <v>87.069641242627398</v>
      </c>
      <c r="H752" s="43">
        <v>86.739719237284163</v>
      </c>
      <c r="I752" s="43">
        <v>86.332634953020886</v>
      </c>
    </row>
    <row r="753" spans="1:9">
      <c r="A753" s="19">
        <v>434.7</v>
      </c>
      <c r="B753" s="43">
        <v>86.817537603436932</v>
      </c>
      <c r="C753" s="43">
        <v>87.218819686621828</v>
      </c>
      <c r="D753" s="43">
        <v>87.416315817079436</v>
      </c>
      <c r="E753" s="43">
        <v>87.442195390418874</v>
      </c>
      <c r="F753" s="43">
        <v>87.325486217457666</v>
      </c>
      <c r="G753" s="43">
        <v>87.091503185966985</v>
      </c>
      <c r="H753" s="43">
        <v>86.761920968646052</v>
      </c>
      <c r="I753" s="43">
        <v>86.355132013792883</v>
      </c>
    </row>
    <row r="754" spans="1:9">
      <c r="A754" s="19">
        <v>434.8</v>
      </c>
      <c r="B754" s="43">
        <v>86.83708534090681</v>
      </c>
      <c r="C754" s="43">
        <v>87.238892571581346</v>
      </c>
      <c r="D754" s="43">
        <v>87.436892824857722</v>
      </c>
      <c r="E754" s="43">
        <v>87.463242548858261</v>
      </c>
      <c r="F754" s="43">
        <v>87.346962497368025</v>
      </c>
      <c r="G754" s="43">
        <v>87.113364378059913</v>
      </c>
      <c r="H754" s="43">
        <v>86.784122064245366</v>
      </c>
      <c r="I754" s="43">
        <v>86.377628572925005</v>
      </c>
    </row>
    <row r="755" spans="1:9">
      <c r="A755" s="19">
        <v>434.9</v>
      </c>
      <c r="B755" s="43">
        <v>86.856632241595747</v>
      </c>
      <c r="C755" s="43">
        <v>87.258964543751375</v>
      </c>
      <c r="D755" s="43">
        <v>87.457468899725171</v>
      </c>
      <c r="E755" s="43">
        <v>87.484288800532653</v>
      </c>
      <c r="F755" s="43">
        <v>87.368437933617628</v>
      </c>
      <c r="G755" s="43">
        <v>87.135224818757393</v>
      </c>
      <c r="H755" s="43">
        <v>86.806322523824093</v>
      </c>
      <c r="I755" s="43">
        <v>86.400124630050726</v>
      </c>
    </row>
    <row r="756" spans="1:9">
      <c r="A756" s="19">
        <v>435</v>
      </c>
      <c r="B756" s="43">
        <v>86.876178305999616</v>
      </c>
      <c r="C756" s="43">
        <v>87.279035603490826</v>
      </c>
      <c r="D756" s="43">
        <v>87.478044041898016</v>
      </c>
      <c r="E756" s="43">
        <v>87.505334145536295</v>
      </c>
      <c r="F756" s="43">
        <v>87.389912526183878</v>
      </c>
      <c r="G756" s="43">
        <v>87.157084507909786</v>
      </c>
      <c r="H756" s="43">
        <v>86.8285223471145</v>
      </c>
      <c r="I756" s="43">
        <v>86.422620184789764</v>
      </c>
    </row>
    <row r="757" spans="1:9">
      <c r="A757" s="19">
        <v>435.1</v>
      </c>
      <c r="B757" s="43">
        <v>86.895723534546164</v>
      </c>
      <c r="C757" s="43">
        <v>87.29910575113297</v>
      </c>
      <c r="D757" s="43">
        <v>87.498618251595644</v>
      </c>
      <c r="E757" s="43">
        <v>87.526378583965482</v>
      </c>
      <c r="F757" s="43">
        <v>87.411386275035284</v>
      </c>
      <c r="G757" s="43">
        <v>87.178943445368219</v>
      </c>
      <c r="H757" s="43">
        <v>86.850721533848628</v>
      </c>
      <c r="I757" s="43">
        <v>86.445115236751946</v>
      </c>
    </row>
    <row r="758" spans="1:9">
      <c r="A758" s="19">
        <v>435.2</v>
      </c>
      <c r="B758" s="43">
        <v>86.915267927690138</v>
      </c>
      <c r="C758" s="43">
        <v>87.319174987020403</v>
      </c>
      <c r="D758" s="43">
        <v>87.519191529045827</v>
      </c>
      <c r="E758" s="43">
        <v>87.547422115911502</v>
      </c>
      <c r="F758" s="43">
        <v>87.432859180139786</v>
      </c>
      <c r="G758" s="43">
        <v>87.200801630984529</v>
      </c>
      <c r="H758" s="43">
        <v>86.872920083768179</v>
      </c>
      <c r="I758" s="43">
        <v>86.467609785571909</v>
      </c>
    </row>
    <row r="759" spans="1:9">
      <c r="A759" s="19">
        <v>435.3</v>
      </c>
      <c r="B759" s="43">
        <v>86.934811485924769</v>
      </c>
      <c r="C759" s="43">
        <v>87.339243311519255</v>
      </c>
      <c r="D759" s="43">
        <v>87.539763874463233</v>
      </c>
      <c r="E759" s="43">
        <v>87.568464741474145</v>
      </c>
      <c r="F759" s="43">
        <v>87.454331241473113</v>
      </c>
      <c r="G759" s="43">
        <v>87.222659064610554</v>
      </c>
      <c r="H759" s="43">
        <v>86.895117996604256</v>
      </c>
      <c r="I759" s="43">
        <v>86.490103830864001</v>
      </c>
    </row>
    <row r="760" spans="1:9">
      <c r="A760" s="19">
        <v>435.4</v>
      </c>
      <c r="B760" s="43">
        <v>86.954354209699545</v>
      </c>
      <c r="C760" s="43">
        <v>87.359310724978855</v>
      </c>
      <c r="D760" s="43">
        <v>87.560335288088879</v>
      </c>
      <c r="E760" s="43">
        <v>87.589506460753455</v>
      </c>
      <c r="F760" s="43">
        <v>87.475802459010907</v>
      </c>
      <c r="G760" s="43">
        <v>87.244515746098983</v>
      </c>
      <c r="H760" s="43">
        <v>86.917315272092338</v>
      </c>
      <c r="I760" s="43">
        <v>86.512597372249729</v>
      </c>
    </row>
    <row r="761" spans="1:9">
      <c r="A761" s="19">
        <v>435.5</v>
      </c>
      <c r="B761" s="43">
        <v>86.973896099466288</v>
      </c>
      <c r="C761" s="43">
        <v>87.379377227729719</v>
      </c>
      <c r="D761" s="43">
        <v>87.580905770127458</v>
      </c>
      <c r="E761" s="43">
        <v>87.610547273842144</v>
      </c>
      <c r="F761" s="43">
        <v>87.497272832719403</v>
      </c>
      <c r="G761" s="43">
        <v>87.266371675302963</v>
      </c>
      <c r="H761" s="43">
        <v>86.939511909974186</v>
      </c>
      <c r="I761" s="43">
        <v>86.535090409367399</v>
      </c>
    </row>
    <row r="762" spans="1:9">
      <c r="A762" s="19">
        <v>435.6</v>
      </c>
      <c r="B762" s="43">
        <v>86.993437155667664</v>
      </c>
      <c r="C762" s="43">
        <v>87.399442820127121</v>
      </c>
      <c r="D762" s="43">
        <v>87.601475320809442</v>
      </c>
      <c r="E762" s="43">
        <v>87.631587180832213</v>
      </c>
      <c r="F762" s="43">
        <v>87.518742362573704</v>
      </c>
      <c r="G762" s="43">
        <v>87.288226852076519</v>
      </c>
      <c r="H762" s="43">
        <v>86.961707909986785</v>
      </c>
      <c r="I762" s="43">
        <v>86.557582941828088</v>
      </c>
    </row>
    <row r="763" spans="1:9">
      <c r="A763" s="19">
        <v>435.7</v>
      </c>
      <c r="B763" s="43">
        <v>87.012977378812963</v>
      </c>
      <c r="C763" s="43">
        <v>87.419507502537613</v>
      </c>
      <c r="D763" s="43">
        <v>87.622043940369196</v>
      </c>
      <c r="E763" s="43">
        <v>87.652626181836865</v>
      </c>
      <c r="F763" s="43">
        <v>87.540211048552919</v>
      </c>
      <c r="G763" s="43">
        <v>87.310081276272427</v>
      </c>
      <c r="H763" s="43">
        <v>86.983903271861607</v>
      </c>
      <c r="I763" s="43">
        <v>86.580074969251228</v>
      </c>
    </row>
    <row r="764" spans="1:9">
      <c r="A764" s="19">
        <v>435.8</v>
      </c>
      <c r="B764" s="43">
        <v>87.032516769330471</v>
      </c>
      <c r="C764" s="43">
        <v>87.439571275284806</v>
      </c>
      <c r="D764" s="43">
        <v>87.642611629025907</v>
      </c>
      <c r="E764" s="43">
        <v>87.673664276940116</v>
      </c>
      <c r="F764" s="43">
        <v>87.561678890624819</v>
      </c>
      <c r="G764" s="43">
        <v>87.331934947746333</v>
      </c>
      <c r="H764" s="43">
        <v>87.006097995343652</v>
      </c>
      <c r="I764" s="43">
        <v>86.602566491271801</v>
      </c>
    </row>
    <row r="765" spans="1:9">
      <c r="A765" s="19">
        <v>435.9</v>
      </c>
      <c r="B765" s="43">
        <v>87.052055327667546</v>
      </c>
      <c r="C765" s="43">
        <v>87.459634138722947</v>
      </c>
      <c r="D765" s="43">
        <v>87.663178386987255</v>
      </c>
      <c r="E765" s="43">
        <v>87.694701466238058</v>
      </c>
      <c r="F765" s="43">
        <v>87.583145888762573</v>
      </c>
      <c r="G765" s="43">
        <v>87.353787866353116</v>
      </c>
      <c r="H765" s="43">
        <v>87.028292080174026</v>
      </c>
      <c r="I765" s="43">
        <v>86.625057507524332</v>
      </c>
    </row>
    <row r="766" spans="1:9">
      <c r="A766" s="19">
        <v>436</v>
      </c>
      <c r="B766" s="43">
        <v>87.071593054314178</v>
      </c>
      <c r="C766" s="43">
        <v>87.479696093206115</v>
      </c>
      <c r="D766" s="43">
        <v>87.683744214500877</v>
      </c>
      <c r="E766" s="43">
        <v>87.715737749843498</v>
      </c>
      <c r="F766" s="43">
        <v>87.604612042949356</v>
      </c>
      <c r="G766" s="43">
        <v>87.37564003194754</v>
      </c>
      <c r="H766" s="43">
        <v>87.050485526086192</v>
      </c>
      <c r="I766" s="43">
        <v>86.647548017617765</v>
      </c>
    </row>
    <row r="767" spans="1:9">
      <c r="A767" s="19">
        <v>436.1</v>
      </c>
      <c r="B767" s="43">
        <v>87.091129949728895</v>
      </c>
      <c r="C767" s="43">
        <v>87.499757139106265</v>
      </c>
      <c r="D767" s="43">
        <v>87.704309111786529</v>
      </c>
      <c r="E767" s="43">
        <v>87.736773127846391</v>
      </c>
      <c r="F767" s="43">
        <v>87.626077353154784</v>
      </c>
      <c r="G767" s="43">
        <v>87.397491444385935</v>
      </c>
      <c r="H767" s="43">
        <v>87.072678332821681</v>
      </c>
      <c r="I767" s="43">
        <v>86.67003802117938</v>
      </c>
    </row>
    <row r="768" spans="1:9">
      <c r="A768" s="19">
        <v>436.2</v>
      </c>
      <c r="B768" s="43">
        <v>87.110666014357719</v>
      </c>
      <c r="C768" s="43">
        <v>87.519817276730066</v>
      </c>
      <c r="D768" s="43">
        <v>87.724873079062434</v>
      </c>
      <c r="E768" s="43">
        <v>87.757807600344165</v>
      </c>
      <c r="F768" s="43">
        <v>87.647541819354046</v>
      </c>
      <c r="G768" s="43">
        <v>87.419342103524912</v>
      </c>
      <c r="H768" s="43">
        <v>87.09487050012757</v>
      </c>
      <c r="I768" s="43">
        <v>86.692527517860128</v>
      </c>
    </row>
    <row r="769" spans="1:9">
      <c r="A769" s="19">
        <v>436.3</v>
      </c>
      <c r="B769" s="43">
        <v>87.130201248666737</v>
      </c>
      <c r="C769" s="43">
        <v>87.539876506456977</v>
      </c>
      <c r="D769" s="43">
        <v>87.74543611655875</v>
      </c>
      <c r="E769" s="43">
        <v>87.778841167443346</v>
      </c>
      <c r="F769" s="43">
        <v>87.669005441527787</v>
      </c>
      <c r="G769" s="43">
        <v>87.441192009221027</v>
      </c>
      <c r="H769" s="43">
        <v>87.117062027735614</v>
      </c>
      <c r="I769" s="43">
        <v>86.715016507260998</v>
      </c>
    </row>
    <row r="770" spans="1:9">
      <c r="A770" s="19">
        <v>436.4</v>
      </c>
      <c r="B770" s="43">
        <v>87.149735653119336</v>
      </c>
      <c r="C770" s="43">
        <v>87.559934828628059</v>
      </c>
      <c r="D770" s="43">
        <v>87.765998224507797</v>
      </c>
      <c r="E770" s="43">
        <v>87.799873829240681</v>
      </c>
      <c r="F770" s="43">
        <v>87.690468219647045</v>
      </c>
      <c r="G770" s="43">
        <v>87.463041161331688</v>
      </c>
      <c r="H770" s="43">
        <v>87.139252915393257</v>
      </c>
      <c r="I770" s="43">
        <v>86.737504989024615</v>
      </c>
    </row>
    <row r="771" spans="1:9">
      <c r="A771" s="19">
        <v>436.5</v>
      </c>
      <c r="B771" s="43">
        <v>87.169269228187204</v>
      </c>
      <c r="C771" s="43">
        <v>87.579992243602334</v>
      </c>
      <c r="D771" s="43">
        <v>87.786559403124016</v>
      </c>
      <c r="E771" s="43">
        <v>87.820905585831582</v>
      </c>
      <c r="F771" s="43">
        <v>87.711930153691867</v>
      </c>
      <c r="G771" s="43">
        <v>87.484889559714787</v>
      </c>
      <c r="H771" s="43">
        <v>87.161443162844932</v>
      </c>
      <c r="I771" s="43">
        <v>86.759992962780586</v>
      </c>
    </row>
    <row r="772" spans="1:9">
      <c r="A772" s="19">
        <v>436.6</v>
      </c>
      <c r="B772" s="43">
        <v>87.18880197430633</v>
      </c>
      <c r="C772" s="43">
        <v>87.60004875171586</v>
      </c>
      <c r="D772" s="43">
        <v>87.807119652647515</v>
      </c>
      <c r="E772" s="43">
        <v>87.841936437325217</v>
      </c>
      <c r="F772" s="43">
        <v>87.733391243640199</v>
      </c>
      <c r="G772" s="43">
        <v>87.506737204228472</v>
      </c>
      <c r="H772" s="43">
        <v>87.183632769827796</v>
      </c>
      <c r="I772" s="43">
        <v>86.782480428158522</v>
      </c>
    </row>
    <row r="773" spans="1:9">
      <c r="A773" s="19">
        <v>436.7</v>
      </c>
      <c r="B773" s="43">
        <v>87.208333891972188</v>
      </c>
      <c r="C773" s="43">
        <v>87.620104353337268</v>
      </c>
      <c r="D773" s="43">
        <v>87.827678973299925</v>
      </c>
      <c r="E773" s="43">
        <v>87.862966383820691</v>
      </c>
      <c r="F773" s="43">
        <v>87.754851489468876</v>
      </c>
      <c r="G773" s="43">
        <v>87.528584094731514</v>
      </c>
      <c r="H773" s="43">
        <v>87.205821736087813</v>
      </c>
      <c r="I773" s="43">
        <v>86.804967384780781</v>
      </c>
    </row>
    <row r="774" spans="1:9">
      <c r="A774" s="19">
        <v>436.8</v>
      </c>
      <c r="B774" s="43">
        <v>87.227864981610168</v>
      </c>
      <c r="C774" s="43">
        <v>87.640159048790849</v>
      </c>
      <c r="D774" s="43">
        <v>87.848237365300946</v>
      </c>
      <c r="E774" s="43">
        <v>87.883995425412508</v>
      </c>
      <c r="F774" s="43">
        <v>87.776310891154083</v>
      </c>
      <c r="G774" s="43">
        <v>87.550430231083311</v>
      </c>
      <c r="H774" s="43">
        <v>87.228010061372629</v>
      </c>
      <c r="I774" s="43">
        <v>86.827453832290473</v>
      </c>
    </row>
    <row r="775" spans="1:9">
      <c r="A775" s="19">
        <v>436.9</v>
      </c>
      <c r="B775" s="43">
        <v>87.247395243716312</v>
      </c>
      <c r="C775" s="43">
        <v>87.660212838468169</v>
      </c>
      <c r="D775" s="43">
        <v>87.868794828900349</v>
      </c>
      <c r="E775" s="43">
        <v>87.905023562216996</v>
      </c>
      <c r="F775" s="43">
        <v>87.797769448680782</v>
      </c>
      <c r="G775" s="43">
        <v>87.572275613143205</v>
      </c>
      <c r="H775" s="43">
        <v>87.250197745416017</v>
      </c>
      <c r="I775" s="43">
        <v>86.849939770310385</v>
      </c>
    </row>
    <row r="776" spans="1:9">
      <c r="A776" s="19">
        <v>437</v>
      </c>
      <c r="B776" s="43">
        <v>87.266924678727634</v>
      </c>
      <c r="C776" s="43">
        <v>87.680265722685448</v>
      </c>
      <c r="D776" s="43">
        <v>87.889351364297227</v>
      </c>
      <c r="E776" s="43">
        <v>87.926050794321696</v>
      </c>
      <c r="F776" s="43">
        <v>87.819227162023395</v>
      </c>
      <c r="G776" s="43">
        <v>87.59412024077173</v>
      </c>
      <c r="H776" s="43">
        <v>87.272384787977046</v>
      </c>
      <c r="I776" s="43">
        <v>86.872425198477515</v>
      </c>
    </row>
    <row r="777" spans="1:9">
      <c r="A777" s="19">
        <v>437.1</v>
      </c>
      <c r="B777" s="43">
        <v>87.28645328710985</v>
      </c>
      <c r="C777" s="43">
        <v>87.700317701800202</v>
      </c>
      <c r="D777" s="43">
        <v>87.909906971728162</v>
      </c>
      <c r="E777" s="43">
        <v>87.947077121828727</v>
      </c>
      <c r="F777" s="43">
        <v>87.840684031158361</v>
      </c>
      <c r="G777" s="43">
        <v>87.615964113829364</v>
      </c>
      <c r="H777" s="43">
        <v>87.294571188794123</v>
      </c>
      <c r="I777" s="43">
        <v>86.894910116431845</v>
      </c>
    </row>
    <row r="778" spans="1:9">
      <c r="A778" s="19">
        <v>437.2</v>
      </c>
      <c r="B778" s="43">
        <v>87.305981069341669</v>
      </c>
      <c r="C778" s="43">
        <v>87.720368776180436</v>
      </c>
      <c r="D778" s="43">
        <v>87.930461651444574</v>
      </c>
      <c r="E778" s="43">
        <v>87.968102544856407</v>
      </c>
      <c r="F778" s="43">
        <v>87.862140056072832</v>
      </c>
      <c r="G778" s="43">
        <v>87.637807232177067</v>
      </c>
      <c r="H778" s="43">
        <v>87.316756947609207</v>
      </c>
      <c r="I778" s="43">
        <v>86.917394523788886</v>
      </c>
    </row>
    <row r="779" spans="1:9">
      <c r="A779" s="19">
        <v>437.3</v>
      </c>
      <c r="B779" s="43">
        <v>87.325508025873006</v>
      </c>
      <c r="C779" s="43">
        <v>87.740418946168234</v>
      </c>
      <c r="D779" s="43">
        <v>87.951015403654196</v>
      </c>
      <c r="E779" s="43">
        <v>87.989127063499524</v>
      </c>
      <c r="F779" s="43">
        <v>87.883595236744497</v>
      </c>
      <c r="G779" s="43">
        <v>87.659649595676598</v>
      </c>
      <c r="H779" s="43">
        <v>87.338942064176706</v>
      </c>
      <c r="I779" s="43">
        <v>86.93987842019564</v>
      </c>
    </row>
    <row r="780" spans="1:9">
      <c r="A780" s="19">
        <v>437.4</v>
      </c>
      <c r="B780" s="43">
        <v>87.345034157154629</v>
      </c>
      <c r="C780" s="43">
        <v>87.760468212106588</v>
      </c>
      <c r="D780" s="43">
        <v>87.971568228585937</v>
      </c>
      <c r="E780" s="43">
        <v>88.010150677852607</v>
      </c>
      <c r="F780" s="43">
        <v>87.905049573148972</v>
      </c>
      <c r="G780" s="43">
        <v>87.681491204189882</v>
      </c>
      <c r="H780" s="43">
        <v>87.361126538241024</v>
      </c>
      <c r="I780" s="43">
        <v>86.962361805293227</v>
      </c>
    </row>
    <row r="781" spans="1:9">
      <c r="A781" s="19">
        <v>437.5</v>
      </c>
      <c r="B781" s="43">
        <v>87.364559463670929</v>
      </c>
      <c r="C781" s="43">
        <v>87.780516574369273</v>
      </c>
      <c r="D781" s="43">
        <v>87.992120126473424</v>
      </c>
      <c r="E781" s="43">
        <v>88.031173388035882</v>
      </c>
      <c r="F781" s="43">
        <v>87.926503065274147</v>
      </c>
      <c r="G781" s="43">
        <v>87.703332057579473</v>
      </c>
      <c r="H781" s="43">
        <v>87.383310369546962</v>
      </c>
      <c r="I781" s="43">
        <v>86.984844678700028</v>
      </c>
    </row>
    <row r="782" spans="1:9">
      <c r="A782" s="19">
        <v>437.6</v>
      </c>
      <c r="B782" s="43">
        <v>87.384083945883901</v>
      </c>
      <c r="C782" s="43">
        <v>87.800564033299196</v>
      </c>
      <c r="D782" s="43">
        <v>88.012671097554659</v>
      </c>
      <c r="E782" s="43">
        <v>88.052195194145526</v>
      </c>
      <c r="F782" s="43">
        <v>87.947955713100924</v>
      </c>
      <c r="G782" s="43">
        <v>87.725172155708265</v>
      </c>
      <c r="H782" s="43">
        <v>87.405493557843613</v>
      </c>
      <c r="I782" s="43">
        <v>87.007327040058726</v>
      </c>
    </row>
    <row r="783" spans="1:9">
      <c r="A783" s="19">
        <v>437.7</v>
      </c>
      <c r="B783" s="43">
        <v>87.403607604243973</v>
      </c>
      <c r="C783" s="43">
        <v>87.82061058924802</v>
      </c>
      <c r="D783" s="43">
        <v>88.033221142045534</v>
      </c>
      <c r="E783" s="43">
        <v>88.073216096281726</v>
      </c>
      <c r="F783" s="43">
        <v>87.969407516607504</v>
      </c>
      <c r="G783" s="43">
        <v>87.747011498439747</v>
      </c>
      <c r="H783" s="43">
        <v>87.427676102881151</v>
      </c>
      <c r="I783" s="43">
        <v>87.029808889013623</v>
      </c>
    </row>
    <row r="784" spans="1:9">
      <c r="A784" s="19">
        <v>437.8</v>
      </c>
      <c r="B784" s="43">
        <v>87.423130439221211</v>
      </c>
      <c r="C784" s="43">
        <v>87.840656242563085</v>
      </c>
      <c r="D784" s="43">
        <v>88.053770260187179</v>
      </c>
      <c r="E784" s="43">
        <v>88.09423609455672</v>
      </c>
      <c r="F784" s="43">
        <v>87.990858475778083</v>
      </c>
      <c r="G784" s="43">
        <v>87.768850085637837</v>
      </c>
      <c r="H784" s="43">
        <v>87.449858004411055</v>
      </c>
      <c r="I784" s="43">
        <v>87.052290225192365</v>
      </c>
    </row>
    <row r="785" spans="1:9">
      <c r="A785" s="19">
        <v>437.9</v>
      </c>
      <c r="B785" s="43">
        <v>87.442652451268685</v>
      </c>
      <c r="C785" s="43">
        <v>87.860700993603587</v>
      </c>
      <c r="D785" s="43">
        <v>88.074318452199691</v>
      </c>
      <c r="E785" s="43">
        <v>88.115255189073508</v>
      </c>
      <c r="F785" s="43">
        <v>88.012308590596746</v>
      </c>
      <c r="G785" s="43">
        <v>87.790687917166792</v>
      </c>
      <c r="H785" s="43">
        <v>87.47203926217901</v>
      </c>
      <c r="I785" s="43">
        <v>87.074771048239995</v>
      </c>
    </row>
    <row r="786" spans="1:9">
      <c r="A786" s="19">
        <v>438</v>
      </c>
      <c r="B786" s="43">
        <v>87.462173640860044</v>
      </c>
      <c r="C786" s="43">
        <v>87.880744842723573</v>
      </c>
      <c r="D786" s="43">
        <v>88.094865718321159</v>
      </c>
      <c r="E786" s="43">
        <v>88.136273379939041</v>
      </c>
      <c r="F786" s="43">
        <v>88.033757861044364</v>
      </c>
      <c r="G786" s="43">
        <v>87.812524992891497</v>
      </c>
      <c r="H786" s="43">
        <v>87.49421987593783</v>
      </c>
      <c r="I786" s="43">
        <v>87.097251357788792</v>
      </c>
    </row>
    <row r="787" spans="1:9">
      <c r="A787" s="19">
        <v>438.1</v>
      </c>
      <c r="B787" s="43">
        <v>87.481694008461488</v>
      </c>
      <c r="C787" s="43">
        <v>87.900787790284681</v>
      </c>
      <c r="D787" s="43">
        <v>88.115412058796608</v>
      </c>
      <c r="E787" s="43">
        <v>88.15729066726297</v>
      </c>
      <c r="F787" s="43">
        <v>88.055206287109968</v>
      </c>
      <c r="G787" s="43">
        <v>87.834361312677458</v>
      </c>
      <c r="H787" s="43">
        <v>87.516399845433199</v>
      </c>
      <c r="I787" s="43">
        <v>87.119731153477517</v>
      </c>
    </row>
    <row r="788" spans="1:9">
      <c r="A788" s="19">
        <v>438.2</v>
      </c>
      <c r="B788" s="43">
        <v>87.50121355452265</v>
      </c>
      <c r="C788" s="43">
        <v>87.920829836624534</v>
      </c>
      <c r="D788" s="43">
        <v>88.135957473830189</v>
      </c>
      <c r="E788" s="43">
        <v>88.178307051140052</v>
      </c>
      <c r="F788" s="43">
        <v>88.076653868768574</v>
      </c>
      <c r="G788" s="43">
        <v>87.856196876389987</v>
      </c>
      <c r="H788" s="43">
        <v>87.538579170422764</v>
      </c>
      <c r="I788" s="43">
        <v>87.14221043495121</v>
      </c>
    </row>
    <row r="789" spans="1:9">
      <c r="A789" s="19">
        <v>438.3</v>
      </c>
      <c r="B789" s="43">
        <v>87.520732279505978</v>
      </c>
      <c r="C789" s="43">
        <v>87.940870982097834</v>
      </c>
      <c r="D789" s="43">
        <v>88.156501963657007</v>
      </c>
      <c r="E789" s="43">
        <v>88.199322531680195</v>
      </c>
      <c r="F789" s="43">
        <v>88.098100606007876</v>
      </c>
      <c r="G789" s="43">
        <v>87.878031683895387</v>
      </c>
      <c r="H789" s="43">
        <v>87.560757850657808</v>
      </c>
      <c r="I789" s="43">
        <v>87.164689201851985</v>
      </c>
    </row>
    <row r="790" spans="1:9">
      <c r="A790" s="19">
        <v>438.4</v>
      </c>
      <c r="B790" s="43">
        <v>87.540250183893818</v>
      </c>
      <c r="C790" s="43">
        <v>87.960911227086854</v>
      </c>
      <c r="D790" s="43">
        <v>88.177045528528851</v>
      </c>
      <c r="E790" s="43">
        <v>88.220337109003566</v>
      </c>
      <c r="F790" s="43">
        <v>88.119546498818067</v>
      </c>
      <c r="G790" s="43">
        <v>87.899865735060814</v>
      </c>
      <c r="H790" s="43">
        <v>87.582935885886343</v>
      </c>
      <c r="I790" s="43">
        <v>87.187167453807803</v>
      </c>
    </row>
    <row r="791" spans="1:9">
      <c r="A791" s="19">
        <v>438.5</v>
      </c>
      <c r="B791" s="43">
        <v>87.559767268135346</v>
      </c>
      <c r="C791" s="43">
        <v>87.980950571911535</v>
      </c>
      <c r="D791" s="43">
        <v>88.197588168677242</v>
      </c>
      <c r="E791" s="43">
        <v>88.241350783208532</v>
      </c>
      <c r="F791" s="43">
        <v>88.140991547183233</v>
      </c>
      <c r="G791" s="43">
        <v>87.921699029753114</v>
      </c>
      <c r="H791" s="43">
        <v>87.605113275863033</v>
      </c>
      <c r="I791" s="43">
        <v>87.209645190464784</v>
      </c>
    </row>
    <row r="792" spans="1:9">
      <c r="A792" s="19">
        <v>438.6</v>
      </c>
      <c r="B792" s="43">
        <v>87.579283532691676</v>
      </c>
      <c r="C792" s="43">
        <v>88.000989016943947</v>
      </c>
      <c r="D792" s="43">
        <v>88.218129884312191</v>
      </c>
      <c r="E792" s="43">
        <v>88.262363554395137</v>
      </c>
      <c r="F792" s="43">
        <v>88.162435751080636</v>
      </c>
      <c r="G792" s="43">
        <v>87.943531567839671</v>
      </c>
      <c r="H792" s="43">
        <v>87.627290020343679</v>
      </c>
      <c r="I792" s="43">
        <v>87.232122411476269</v>
      </c>
    </row>
    <row r="793" spans="1:9">
      <c r="A793" s="19">
        <v>438.7</v>
      </c>
      <c r="B793" s="43">
        <v>87.598798978044073</v>
      </c>
      <c r="C793" s="43">
        <v>88.021026562536576</v>
      </c>
      <c r="D793" s="43">
        <v>88.238670675681334</v>
      </c>
      <c r="E793" s="43">
        <v>88.28337542268369</v>
      </c>
      <c r="F793" s="43">
        <v>88.183879110505956</v>
      </c>
      <c r="G793" s="43">
        <v>87.965363349188806</v>
      </c>
      <c r="H793" s="43">
        <v>87.64946611907942</v>
      </c>
      <c r="I793" s="43">
        <v>87.254599116472832</v>
      </c>
    </row>
    <row r="794" spans="1:9">
      <c r="A794" s="19">
        <v>438.8</v>
      </c>
      <c r="B794" s="43">
        <v>87.618313604651945</v>
      </c>
      <c r="C794" s="43">
        <v>88.041063209059303</v>
      </c>
      <c r="D794" s="43">
        <v>88.259210543029155</v>
      </c>
      <c r="E794" s="43">
        <v>88.304386388185264</v>
      </c>
      <c r="F794" s="43">
        <v>88.205321625442792</v>
      </c>
      <c r="G794" s="43">
        <v>87.987194373669269</v>
      </c>
      <c r="H794" s="43">
        <v>87.671641571822789</v>
      </c>
      <c r="I794" s="43">
        <v>87.277075305095991</v>
      </c>
    </row>
    <row r="795" spans="1:9">
      <c r="A795" s="19">
        <v>438.9</v>
      </c>
      <c r="B795" s="43">
        <v>87.637827412949719</v>
      </c>
      <c r="C795" s="43">
        <v>88.061098956836702</v>
      </c>
      <c r="D795" s="43">
        <v>88.279749486559808</v>
      </c>
      <c r="E795" s="43">
        <v>88.325396450992741</v>
      </c>
      <c r="F795" s="43">
        <v>88.226763295873127</v>
      </c>
      <c r="G795" s="43">
        <v>88.009024641149466</v>
      </c>
      <c r="H795" s="43">
        <v>87.693816378336493</v>
      </c>
      <c r="I795" s="43">
        <v>87.299550976998574</v>
      </c>
    </row>
    <row r="796" spans="1:9">
      <c r="A796" s="19">
        <v>439</v>
      </c>
      <c r="B796" s="43">
        <v>87.657340403445346</v>
      </c>
      <c r="C796" s="43">
        <v>88.081133806249198</v>
      </c>
      <c r="D796" s="43">
        <v>88.300287506536733</v>
      </c>
      <c r="E796" s="43">
        <v>88.346405611229926</v>
      </c>
      <c r="F796" s="43">
        <v>88.248204121793208</v>
      </c>
      <c r="G796" s="43">
        <v>88.030854151499483</v>
      </c>
      <c r="H796" s="43">
        <v>87.715990538366725</v>
      </c>
      <c r="I796" s="43">
        <v>87.322026131817609</v>
      </c>
    </row>
    <row r="797" spans="1:9">
      <c r="A797" s="19">
        <v>439.1</v>
      </c>
      <c r="B797" s="43">
        <v>87.67685257656467</v>
      </c>
      <c r="C797" s="43">
        <v>88.101167757632453</v>
      </c>
      <c r="D797" s="43">
        <v>88.320824603169115</v>
      </c>
      <c r="E797" s="43">
        <v>88.367413868999932</v>
      </c>
      <c r="F797" s="43">
        <v>88.269644103180269</v>
      </c>
      <c r="G797" s="43">
        <v>88.052682904588607</v>
      </c>
      <c r="H797" s="43">
        <v>87.73816405167716</v>
      </c>
      <c r="I797" s="43">
        <v>87.344500769201062</v>
      </c>
    </row>
    <row r="798" spans="1:9">
      <c r="A798" s="19">
        <v>439.2</v>
      </c>
      <c r="B798" s="43">
        <v>87.696363932797368</v>
      </c>
      <c r="C798" s="43">
        <v>88.121200811365753</v>
      </c>
      <c r="D798" s="43">
        <v>88.341360776706495</v>
      </c>
      <c r="E798" s="43">
        <v>88.388421224411672</v>
      </c>
      <c r="F798" s="43">
        <v>88.291083240028996</v>
      </c>
      <c r="G798" s="43">
        <v>88.074510900287578</v>
      </c>
      <c r="H798" s="43">
        <v>87.760336918020215</v>
      </c>
      <c r="I798" s="43">
        <v>87.366974888795852</v>
      </c>
    </row>
    <row r="799" spans="1:9">
      <c r="A799" s="19">
        <v>439.3</v>
      </c>
      <c r="B799" s="43">
        <v>87.715874472601342</v>
      </c>
      <c r="C799" s="43">
        <v>88.141232967786635</v>
      </c>
      <c r="D799" s="43">
        <v>88.361896027388212</v>
      </c>
      <c r="E799" s="43">
        <v>88.409427677584603</v>
      </c>
      <c r="F799" s="43">
        <v>88.312521532333079</v>
      </c>
      <c r="G799" s="43">
        <v>88.096338138467502</v>
      </c>
      <c r="H799" s="43">
        <v>87.782509137149788</v>
      </c>
      <c r="I799" s="43">
        <v>87.389448490238379</v>
      </c>
    </row>
    <row r="800" spans="1:9">
      <c r="A800" s="19">
        <v>439.4</v>
      </c>
      <c r="B800" s="43">
        <v>87.735384196430999</v>
      </c>
      <c r="C800" s="43">
        <v>88.16126422725884</v>
      </c>
      <c r="D800" s="43">
        <v>88.38243035543158</v>
      </c>
      <c r="E800" s="43">
        <v>88.430433228615158</v>
      </c>
      <c r="F800" s="43">
        <v>88.333958980069013</v>
      </c>
      <c r="G800" s="43">
        <v>88.11816461899906</v>
      </c>
      <c r="H800" s="43">
        <v>87.804680708831228</v>
      </c>
      <c r="I800" s="43">
        <v>87.411921573189517</v>
      </c>
    </row>
    <row r="801" spans="1:9">
      <c r="A801" s="19">
        <v>439.5</v>
      </c>
      <c r="B801" s="43">
        <v>87.754893104762658</v>
      </c>
      <c r="C801" s="43">
        <v>88.181294590139572</v>
      </c>
      <c r="D801" s="43">
        <v>88.402963761082702</v>
      </c>
      <c r="E801" s="43">
        <v>88.45143787762521</v>
      </c>
      <c r="F801" s="43">
        <v>88.355395583230489</v>
      </c>
      <c r="G801" s="43">
        <v>88.139990341754327</v>
      </c>
      <c r="H801" s="43">
        <v>87.826851632818773</v>
      </c>
      <c r="I801" s="43">
        <v>87.434394137289615</v>
      </c>
    </row>
    <row r="802" spans="1:9">
      <c r="A802" s="19">
        <v>439.6</v>
      </c>
      <c r="B802" s="43">
        <v>87.774401198068887</v>
      </c>
      <c r="C802" s="43">
        <v>88.20132405679712</v>
      </c>
      <c r="D802" s="43">
        <v>88.423496244580122</v>
      </c>
      <c r="E802" s="43">
        <v>88.47244162472208</v>
      </c>
      <c r="F802" s="43">
        <v>88.376831341813897</v>
      </c>
      <c r="G802" s="43">
        <v>88.161815306605831</v>
      </c>
      <c r="H802" s="43">
        <v>87.849021908866035</v>
      </c>
      <c r="I802" s="43">
        <v>87.456866182177066</v>
      </c>
    </row>
    <row r="803" spans="1:9">
      <c r="A803" s="19">
        <v>439.7</v>
      </c>
      <c r="B803" s="43">
        <v>87.793908476788886</v>
      </c>
      <c r="C803" s="43">
        <v>88.221352627562624</v>
      </c>
      <c r="D803" s="43">
        <v>88.444027806156839</v>
      </c>
      <c r="E803" s="43">
        <v>88.493444470019767</v>
      </c>
      <c r="F803" s="43">
        <v>88.398266255801872</v>
      </c>
      <c r="G803" s="43">
        <v>88.183639513425703</v>
      </c>
      <c r="H803" s="43">
        <v>87.871191536738991</v>
      </c>
      <c r="I803" s="43">
        <v>87.479337707512229</v>
      </c>
    </row>
    <row r="804" spans="1:9">
      <c r="A804" s="19">
        <v>439.8</v>
      </c>
      <c r="B804" s="43">
        <v>87.813414941390079</v>
      </c>
      <c r="C804" s="43">
        <v>88.24138030280173</v>
      </c>
      <c r="D804" s="43">
        <v>88.464558446030935</v>
      </c>
      <c r="E804" s="43">
        <v>88.514446413621073</v>
      </c>
      <c r="F804" s="43">
        <v>88.419700325186113</v>
      </c>
      <c r="G804" s="43">
        <v>88.205462962086926</v>
      </c>
      <c r="H804" s="43">
        <v>87.893360516196992</v>
      </c>
      <c r="I804" s="43">
        <v>87.501808712946115</v>
      </c>
    </row>
    <row r="805" spans="1:9">
      <c r="A805" s="19">
        <v>439.9</v>
      </c>
      <c r="B805" s="43">
        <v>87.832920592371465</v>
      </c>
      <c r="C805" s="43">
        <v>88.261407082893271</v>
      </c>
      <c r="D805" s="43">
        <v>88.485088164468124</v>
      </c>
      <c r="E805" s="43">
        <v>88.535447455653497</v>
      </c>
      <c r="F805" s="43">
        <v>88.441133549961876</v>
      </c>
      <c r="G805" s="43">
        <v>88.22728565246382</v>
      </c>
      <c r="H805" s="43">
        <v>87.915528846996637</v>
      </c>
      <c r="I805" s="43">
        <v>87.524279198116233</v>
      </c>
    </row>
    <row r="806" spans="1:9">
      <c r="A806" s="19">
        <v>440</v>
      </c>
      <c r="B806" s="43">
        <v>87.809500649446477</v>
      </c>
      <c r="C806" s="43">
        <v>88.245818140045856</v>
      </c>
      <c r="D806" s="43">
        <v>88.477996744449769</v>
      </c>
      <c r="E806" s="43">
        <v>88.53730939722584</v>
      </c>
      <c r="F806" s="43">
        <v>88.45223952466398</v>
      </c>
      <c r="G806" s="43">
        <v>88.247798814101372</v>
      </c>
      <c r="H806" s="43">
        <v>87.94551329685109</v>
      </c>
      <c r="I806" s="43">
        <v>87.563720270768584</v>
      </c>
    </row>
    <row r="807" spans="1:9">
      <c r="A807" s="19">
        <v>440.1</v>
      </c>
      <c r="B807" s="43">
        <v>87.78593909804971</v>
      </c>
      <c r="C807" s="43">
        <v>88.230080143935169</v>
      </c>
      <c r="D807" s="43">
        <v>88.470750407180844</v>
      </c>
      <c r="E807" s="43">
        <v>88.539011373344039</v>
      </c>
      <c r="F807" s="43">
        <v>88.46318015023229</v>
      </c>
      <c r="G807" s="43">
        <v>88.268139674194884</v>
      </c>
      <c r="H807" s="43">
        <v>87.975315791252143</v>
      </c>
      <c r="I807" s="43">
        <v>87.602966103456168</v>
      </c>
    </row>
    <row r="808" spans="1:9">
      <c r="A808" s="19">
        <v>440.2</v>
      </c>
      <c r="B808" s="43">
        <v>87.805319800343938</v>
      </c>
      <c r="C808" s="43">
        <v>88.249966410336043</v>
      </c>
      <c r="D808" s="43">
        <v>88.491124748281493</v>
      </c>
      <c r="E808" s="43">
        <v>88.559843290485475</v>
      </c>
      <c r="F808" s="43">
        <v>88.484431835844589</v>
      </c>
      <c r="G808" s="43">
        <v>88.289769849220136</v>
      </c>
      <c r="H808" s="43">
        <v>87.997282116258646</v>
      </c>
      <c r="I808" s="43">
        <v>87.62522660135869</v>
      </c>
    </row>
    <row r="809" spans="1:9">
      <c r="A809" s="19">
        <v>440.3</v>
      </c>
      <c r="B809" s="43">
        <v>87.824699684732622</v>
      </c>
      <c r="C809" s="43">
        <v>88.269851776316273</v>
      </c>
      <c r="D809" s="43">
        <v>88.511498158541343</v>
      </c>
      <c r="E809" s="43">
        <v>88.580674290127206</v>
      </c>
      <c r="F809" s="43">
        <v>88.505682652545545</v>
      </c>
      <c r="G809" s="43">
        <v>88.311399231866744</v>
      </c>
      <c r="H809" s="43">
        <v>88.019247747553294</v>
      </c>
      <c r="I809" s="43">
        <v>87.647486521971558</v>
      </c>
    </row>
    <row r="810" spans="1:9">
      <c r="A810" s="19">
        <v>440.4</v>
      </c>
      <c r="B810" s="43">
        <v>87.844078751570521</v>
      </c>
      <c r="C810" s="43">
        <v>88.289736242153225</v>
      </c>
      <c r="D810" s="43">
        <v>88.53187063815696</v>
      </c>
      <c r="E810" s="43">
        <v>88.601504372354754</v>
      </c>
      <c r="F810" s="43">
        <v>88.526932600329815</v>
      </c>
      <c r="G810" s="43">
        <v>88.333027822030033</v>
      </c>
      <c r="H810" s="43">
        <v>88.041212684936397</v>
      </c>
      <c r="I810" s="43">
        <v>87.669745865001431</v>
      </c>
    </row>
    <row r="811" spans="1:9">
      <c r="A811" s="19">
        <v>440.5</v>
      </c>
      <c r="B811" s="43">
        <v>87.863457001364168</v>
      </c>
      <c r="C811" s="43">
        <v>88.309619808248044</v>
      </c>
      <c r="D811" s="43">
        <v>88.552242187389936</v>
      </c>
      <c r="E811" s="43">
        <v>88.622333537314745</v>
      </c>
      <c r="F811" s="43">
        <v>88.548181679218771</v>
      </c>
      <c r="G811" s="43">
        <v>88.354655619610355</v>
      </c>
      <c r="H811" s="43">
        <v>88.063176928192547</v>
      </c>
      <c r="I811" s="43">
        <v>87.692004630116628</v>
      </c>
    </row>
    <row r="812" spans="1:9">
      <c r="A812" s="19">
        <v>440.6</v>
      </c>
      <c r="B812" s="43">
        <v>87.882834434494214</v>
      </c>
      <c r="C812" s="43">
        <v>88.329502474897708</v>
      </c>
      <c r="D812" s="43">
        <v>88.572612806448774</v>
      </c>
      <c r="E812" s="43">
        <v>88.643161785101569</v>
      </c>
      <c r="F812" s="43">
        <v>88.569429889202524</v>
      </c>
      <c r="G812" s="43">
        <v>88.376282624504029</v>
      </c>
      <c r="H812" s="43">
        <v>88.085140477122337</v>
      </c>
      <c r="I812" s="43">
        <v>87.714262817030715</v>
      </c>
    </row>
    <row r="813" spans="1:9">
      <c r="A813" s="19">
        <v>440.7</v>
      </c>
      <c r="B813" s="43">
        <v>87.902211051433795</v>
      </c>
      <c r="C813" s="43">
        <v>88.349384242470137</v>
      </c>
      <c r="D813" s="43">
        <v>88.592982495588785</v>
      </c>
      <c r="E813" s="43">
        <v>88.663989115855685</v>
      </c>
      <c r="F813" s="43">
        <v>88.590677230305403</v>
      </c>
      <c r="G813" s="43">
        <v>88.397908836611634</v>
      </c>
      <c r="H813" s="43">
        <v>88.107103331513713</v>
      </c>
      <c r="I813" s="43">
        <v>87.736520425415875</v>
      </c>
    </row>
    <row r="814" spans="1:9">
      <c r="A814" s="19">
        <v>440.8</v>
      </c>
      <c r="B814" s="43">
        <v>87.921586852638853</v>
      </c>
      <c r="C814" s="43">
        <v>88.369265111314803</v>
      </c>
      <c r="D814" s="43">
        <v>88.613351255038879</v>
      </c>
      <c r="E814" s="43">
        <v>88.684815529693907</v>
      </c>
      <c r="F814" s="43">
        <v>88.61192370252499</v>
      </c>
      <c r="G814" s="43">
        <v>88.419534255831934</v>
      </c>
      <c r="H814" s="43">
        <v>88.129065491160645</v>
      </c>
      <c r="I814" s="43">
        <v>87.758777454967827</v>
      </c>
    </row>
    <row r="815" spans="1:9">
      <c r="A815" s="19">
        <v>440.9</v>
      </c>
      <c r="B815" s="43">
        <v>87.940961838509963</v>
      </c>
      <c r="C815" s="43">
        <v>88.389145081769527</v>
      </c>
      <c r="D815" s="43">
        <v>88.633719085030691</v>
      </c>
      <c r="E815" s="43">
        <v>88.705641026728188</v>
      </c>
      <c r="F815" s="43">
        <v>88.633169305877288</v>
      </c>
      <c r="G815" s="43">
        <v>88.44115888206457</v>
      </c>
      <c r="H815" s="43">
        <v>88.151026955857731</v>
      </c>
      <c r="I815" s="43">
        <v>87.781033905380241</v>
      </c>
    </row>
    <row r="816" spans="1:9">
      <c r="A816" s="19">
        <v>441</v>
      </c>
      <c r="B816" s="43">
        <v>87.960336009519693</v>
      </c>
      <c r="C816" s="43">
        <v>88.409024154177729</v>
      </c>
      <c r="D816" s="43">
        <v>88.654085985804102</v>
      </c>
      <c r="E816" s="43">
        <v>88.726465607093985</v>
      </c>
      <c r="F816" s="43">
        <v>88.654414040365879</v>
      </c>
      <c r="G816" s="43">
        <v>88.462782715209897</v>
      </c>
      <c r="H816" s="43">
        <v>88.17298772540164</v>
      </c>
      <c r="I816" s="43">
        <v>87.803289776344656</v>
      </c>
    </row>
    <row r="817" spans="1:9">
      <c r="A817" s="19">
        <v>441.1</v>
      </c>
      <c r="B817" s="43">
        <v>87.979709366100138</v>
      </c>
      <c r="C817" s="43">
        <v>88.428902328898801</v>
      </c>
      <c r="D817" s="43">
        <v>88.674451957596204</v>
      </c>
      <c r="E817" s="43">
        <v>88.747289270906293</v>
      </c>
      <c r="F817" s="43">
        <v>88.67565790600375</v>
      </c>
      <c r="G817" s="43">
        <v>88.484405755168723</v>
      </c>
      <c r="H817" s="43">
        <v>88.194947799585464</v>
      </c>
      <c r="I817" s="43">
        <v>87.825545067548006</v>
      </c>
    </row>
    <row r="818" spans="1:9">
      <c r="A818" s="19">
        <v>441.2</v>
      </c>
      <c r="B818" s="43">
        <v>87.999081908670917</v>
      </c>
      <c r="C818" s="43">
        <v>88.448779606251719</v>
      </c>
      <c r="D818" s="43">
        <v>88.694817000632241</v>
      </c>
      <c r="E818" s="43">
        <v>88.768112018282096</v>
      </c>
      <c r="F818" s="43">
        <v>88.696900902799229</v>
      </c>
      <c r="G818" s="43">
        <v>88.506028001840889</v>
      </c>
      <c r="H818" s="43">
        <v>88.216907178204877</v>
      </c>
      <c r="I818" s="43">
        <v>87.84779977869016</v>
      </c>
    </row>
    <row r="819" spans="1:9">
      <c r="A819" s="19">
        <v>441.3</v>
      </c>
      <c r="B819" s="43">
        <v>88.018453637701782</v>
      </c>
      <c r="C819" s="43">
        <v>88.468655986600879</v>
      </c>
      <c r="D819" s="43">
        <v>88.71518111515212</v>
      </c>
      <c r="E819" s="43">
        <v>88.7889338493504</v>
      </c>
      <c r="F819" s="43">
        <v>88.718143030762377</v>
      </c>
      <c r="G819" s="43">
        <v>88.527649455128824</v>
      </c>
      <c r="H819" s="43">
        <v>88.238865861055871</v>
      </c>
      <c r="I819" s="43">
        <v>87.8700539094622</v>
      </c>
    </row>
    <row r="820" spans="1:9">
      <c r="A820" s="19">
        <v>441.4</v>
      </c>
      <c r="B820" s="43">
        <v>88.037824553638416</v>
      </c>
      <c r="C820" s="43">
        <v>88.488531470297005</v>
      </c>
      <c r="D820" s="43">
        <v>88.735544301411721</v>
      </c>
      <c r="E820" s="43">
        <v>88.80975476423734</v>
      </c>
      <c r="F820" s="43">
        <v>88.739384289908401</v>
      </c>
      <c r="G820" s="43">
        <v>88.549270114934387</v>
      </c>
      <c r="H820" s="43">
        <v>88.260823847932812</v>
      </c>
      <c r="I820" s="43">
        <v>87.892307459549187</v>
      </c>
    </row>
    <row r="821" spans="1:9">
      <c r="A821" s="19">
        <v>441.5</v>
      </c>
      <c r="B821" s="43">
        <v>88.057194656871815</v>
      </c>
      <c r="C821" s="43">
        <v>88.508406057665894</v>
      </c>
      <c r="D821" s="43">
        <v>88.755906559603005</v>
      </c>
      <c r="E821" s="43">
        <v>88.830574763048872</v>
      </c>
      <c r="F821" s="43">
        <v>88.760624680236077</v>
      </c>
      <c r="G821" s="43">
        <v>88.57088998115745</v>
      </c>
      <c r="H821" s="43">
        <v>88.282781138639535</v>
      </c>
      <c r="I821" s="43">
        <v>87.914560428665681</v>
      </c>
    </row>
    <row r="822" spans="1:9">
      <c r="A822" s="19">
        <v>441.6</v>
      </c>
      <c r="B822" s="43">
        <v>88.076563947890747</v>
      </c>
      <c r="C822" s="43">
        <v>88.528279749065518</v>
      </c>
      <c r="D822" s="43">
        <v>88.776267890010132</v>
      </c>
      <c r="E822" s="43">
        <v>88.851393845928811</v>
      </c>
      <c r="F822" s="43">
        <v>88.781864201766609</v>
      </c>
      <c r="G822" s="43">
        <v>88.592509053703225</v>
      </c>
      <c r="H822" s="43">
        <v>88.304737732965776</v>
      </c>
      <c r="I822" s="43">
        <v>87.936812816484832</v>
      </c>
    </row>
    <row r="823" spans="1:9">
      <c r="A823" s="19">
        <v>441.7</v>
      </c>
      <c r="B823" s="43">
        <v>88.09593242711972</v>
      </c>
      <c r="C823" s="43">
        <v>88.548152544837933</v>
      </c>
      <c r="D823" s="43">
        <v>88.796628292842257</v>
      </c>
      <c r="E823" s="43">
        <v>88.872212012984733</v>
      </c>
      <c r="F823" s="43">
        <v>88.803102854509092</v>
      </c>
      <c r="G823" s="43">
        <v>88.614127332473345</v>
      </c>
      <c r="H823" s="43">
        <v>88.326693630714317</v>
      </c>
      <c r="I823" s="43">
        <v>87.959064622714664</v>
      </c>
    </row>
    <row r="824" spans="1:9">
      <c r="A824" s="19">
        <v>441.8</v>
      </c>
      <c r="B824" s="43">
        <v>88.115300095006006</v>
      </c>
      <c r="C824" s="43">
        <v>88.56802444534037</v>
      </c>
      <c r="D824" s="43">
        <v>88.816987768346735</v>
      </c>
      <c r="E824" s="43">
        <v>88.89302926435218</v>
      </c>
      <c r="F824" s="43">
        <v>88.824340638479811</v>
      </c>
      <c r="G824" s="43">
        <v>88.635744817372171</v>
      </c>
      <c r="H824" s="43">
        <v>88.348648831678389</v>
      </c>
      <c r="I824" s="43">
        <v>87.981315847046147</v>
      </c>
    </row>
    <row r="825" spans="1:9">
      <c r="A825" s="19">
        <v>441.9</v>
      </c>
      <c r="B825" s="43">
        <v>88.134666951968825</v>
      </c>
      <c r="C825" s="43">
        <v>88.58789545090147</v>
      </c>
      <c r="D825" s="43">
        <v>88.837346316754633</v>
      </c>
      <c r="E825" s="43">
        <v>88.913845600149727</v>
      </c>
      <c r="F825" s="43">
        <v>88.845577553683569</v>
      </c>
      <c r="G825" s="43">
        <v>88.657361508302017</v>
      </c>
      <c r="H825" s="43">
        <v>88.370603335661542</v>
      </c>
      <c r="I825" s="43">
        <v>88.003566489175768</v>
      </c>
    </row>
    <row r="826" spans="1:9">
      <c r="A826" s="19">
        <v>442</v>
      </c>
      <c r="B826" s="43">
        <v>88.15403299849541</v>
      </c>
      <c r="C826" s="43">
        <v>88.607765561895349</v>
      </c>
      <c r="D826" s="43">
        <v>88.857703938320554</v>
      </c>
      <c r="E826" s="43">
        <v>88.934661020509026</v>
      </c>
      <c r="F826" s="43">
        <v>88.866813600138528</v>
      </c>
      <c r="G826" s="43">
        <v>88.678977405168695</v>
      </c>
      <c r="H826" s="43">
        <v>88.392557142457605</v>
      </c>
      <c r="I826" s="43">
        <v>88.02581654879765</v>
      </c>
    </row>
    <row r="827" spans="1:9">
      <c r="A827" s="19">
        <v>442.1</v>
      </c>
      <c r="B827" s="43">
        <v>88.173398234957432</v>
      </c>
      <c r="C827" s="43">
        <v>88.627634778616567</v>
      </c>
      <c r="D827" s="43">
        <v>88.878060633238249</v>
      </c>
      <c r="E827" s="43">
        <v>88.955475525533643</v>
      </c>
      <c r="F827" s="43">
        <v>88.888048777849917</v>
      </c>
      <c r="G827" s="43">
        <v>88.700592507874404</v>
      </c>
      <c r="H827" s="43">
        <v>88.414510251874304</v>
      </c>
      <c r="I827" s="43">
        <v>88.048066025621239</v>
      </c>
    </row>
    <row r="828" spans="1:9">
      <c r="A828" s="19">
        <v>442.2</v>
      </c>
      <c r="B828" s="43">
        <v>88.192762661865032</v>
      </c>
      <c r="C828" s="43">
        <v>88.647503101477128</v>
      </c>
      <c r="D828" s="43">
        <v>88.898416401808106</v>
      </c>
      <c r="E828" s="43">
        <v>88.976289115375806</v>
      </c>
      <c r="F828" s="43">
        <v>88.909283086843118</v>
      </c>
      <c r="G828" s="43">
        <v>88.722206816326633</v>
      </c>
      <c r="H828" s="43">
        <v>88.436462663702628</v>
      </c>
      <c r="I828" s="43">
        <v>88.070314919327672</v>
      </c>
    </row>
    <row r="829" spans="1:9">
      <c r="A829" s="19">
        <v>442.3</v>
      </c>
      <c r="B829" s="43">
        <v>88.212126279603211</v>
      </c>
      <c r="C829" s="43">
        <v>88.667370530764487</v>
      </c>
      <c r="D829" s="43">
        <v>88.918771244212252</v>
      </c>
      <c r="E829" s="43">
        <v>88.997101790138572</v>
      </c>
      <c r="F829" s="43">
        <v>88.930516527117163</v>
      </c>
      <c r="G829" s="43">
        <v>88.743820330428179</v>
      </c>
      <c r="H829" s="43">
        <v>88.458414377752064</v>
      </c>
      <c r="I829" s="43">
        <v>88.092563229636738</v>
      </c>
    </row>
    <row r="830" spans="1:9">
      <c r="A830" s="19">
        <v>442.4</v>
      </c>
      <c r="B830" s="43">
        <v>88.231489088664631</v>
      </c>
      <c r="C830" s="43">
        <v>88.687237066886524</v>
      </c>
      <c r="D830" s="43">
        <v>88.939125160727968</v>
      </c>
      <c r="E830" s="43">
        <v>89.017913549962913</v>
      </c>
      <c r="F830" s="43">
        <v>88.951749098700901</v>
      </c>
      <c r="G830" s="43">
        <v>88.765433050087211</v>
      </c>
      <c r="H830" s="43">
        <v>88.480365393813372</v>
      </c>
      <c r="I830" s="43">
        <v>88.114810956219799</v>
      </c>
    </row>
    <row r="831" spans="1:9">
      <c r="A831" s="19">
        <v>442.5</v>
      </c>
      <c r="B831" s="43">
        <v>88.250851089440062</v>
      </c>
      <c r="C831" s="43">
        <v>88.707102710127771</v>
      </c>
      <c r="D831" s="43">
        <v>88.959478151564241</v>
      </c>
      <c r="E831" s="43">
        <v>89.038724394964447</v>
      </c>
      <c r="F831" s="43">
        <v>88.972980801597203</v>
      </c>
      <c r="G831" s="43">
        <v>88.787044975207834</v>
      </c>
      <c r="H831" s="43">
        <v>88.502315711696241</v>
      </c>
      <c r="I831" s="43">
        <v>88.137058098800765</v>
      </c>
    </row>
    <row r="832" spans="1:9">
      <c r="A832" s="19">
        <v>442.6</v>
      </c>
      <c r="B832" s="43">
        <v>88.270212282430407</v>
      </c>
      <c r="C832" s="43">
        <v>88.726967460898379</v>
      </c>
      <c r="D832" s="43">
        <v>88.97983021699676</v>
      </c>
      <c r="E832" s="43">
        <v>89.059534325283522</v>
      </c>
      <c r="F832" s="43">
        <v>88.994211635827952</v>
      </c>
      <c r="G832" s="43">
        <v>88.808656105698446</v>
      </c>
      <c r="H832" s="43">
        <v>88.524265331195892</v>
      </c>
      <c r="I832" s="43">
        <v>88.159304657055998</v>
      </c>
    </row>
    <row r="833" spans="1:9">
      <c r="A833" s="19">
        <v>442.7</v>
      </c>
      <c r="B833" s="43">
        <v>88.289572668003757</v>
      </c>
      <c r="C833" s="43">
        <v>88.746831319477394</v>
      </c>
      <c r="D833" s="43">
        <v>89.000181357214387</v>
      </c>
      <c r="E833" s="43">
        <v>89.080343341021745</v>
      </c>
      <c r="F833" s="43">
        <v>89.015441601401847</v>
      </c>
      <c r="G833" s="43">
        <v>88.830266441463237</v>
      </c>
      <c r="H833" s="43">
        <v>88.546214252123178</v>
      </c>
      <c r="I833" s="43">
        <v>88.181550630712223</v>
      </c>
    </row>
    <row r="834" spans="1:9">
      <c r="A834" s="19">
        <v>442.8</v>
      </c>
      <c r="B834" s="43">
        <v>88.308932246665421</v>
      </c>
      <c r="C834" s="43">
        <v>88.766694286274372</v>
      </c>
      <c r="D834" s="43">
        <v>89.020531572506343</v>
      </c>
      <c r="E834" s="43">
        <v>89.101151442333077</v>
      </c>
      <c r="F834" s="43">
        <v>89.036670698342505</v>
      </c>
      <c r="G834" s="43">
        <v>88.851875982412622</v>
      </c>
      <c r="H834" s="43">
        <v>88.56816247427173</v>
      </c>
      <c r="I834" s="43">
        <v>88.203796019448419</v>
      </c>
    </row>
    <row r="835" spans="1:9">
      <c r="A835" s="19">
        <v>442.9</v>
      </c>
      <c r="B835" s="43">
        <v>88.328291018799746</v>
      </c>
      <c r="C835" s="43">
        <v>88.78655636158328</v>
      </c>
      <c r="D835" s="43">
        <v>89.0408808630755</v>
      </c>
      <c r="E835" s="43">
        <v>89.12195862931884</v>
      </c>
      <c r="F835" s="43">
        <v>89.057898926651774</v>
      </c>
      <c r="G835" s="43">
        <v>88.873484728451615</v>
      </c>
      <c r="H835" s="43">
        <v>88.590109997452004</v>
      </c>
      <c r="I835" s="43">
        <v>88.22604082298173</v>
      </c>
    </row>
    <row r="836" spans="1:9">
      <c r="A836" s="19">
        <v>443</v>
      </c>
      <c r="B836" s="43">
        <v>88.347648984922841</v>
      </c>
      <c r="C836" s="43">
        <v>88.806417545812707</v>
      </c>
      <c r="D836" s="43">
        <v>89.061229229195334</v>
      </c>
      <c r="E836" s="43">
        <v>89.14276490213669</v>
      </c>
      <c r="F836" s="43">
        <v>89.079126286367256</v>
      </c>
      <c r="G836" s="43">
        <v>88.895092679490972</v>
      </c>
      <c r="H836" s="43">
        <v>88.612056821459589</v>
      </c>
      <c r="I836" s="43">
        <v>88.248285040997871</v>
      </c>
    </row>
    <row r="837" spans="1:9">
      <c r="A837" s="19">
        <v>443.1</v>
      </c>
      <c r="B837" s="43">
        <v>88.367006145394754</v>
      </c>
      <c r="C837" s="43">
        <v>88.826277839249713</v>
      </c>
      <c r="D837" s="43">
        <v>89.081576671066813</v>
      </c>
      <c r="E837" s="43">
        <v>89.163570260879681</v>
      </c>
      <c r="F837" s="43">
        <v>89.100352777481618</v>
      </c>
      <c r="G837" s="43">
        <v>88.916699835435708</v>
      </c>
      <c r="H837" s="43">
        <v>88.634002946108637</v>
      </c>
      <c r="I837" s="43">
        <v>88.270528673215807</v>
      </c>
    </row>
    <row r="838" spans="1:9">
      <c r="A838" s="19">
        <v>443.2</v>
      </c>
      <c r="B838" s="43">
        <v>88.386362500701921</v>
      </c>
      <c r="C838" s="43">
        <v>88.846137242289501</v>
      </c>
      <c r="D838" s="43">
        <v>89.101923188956022</v>
      </c>
      <c r="E838" s="43">
        <v>89.184374705702595</v>
      </c>
      <c r="F838" s="43">
        <v>89.121578400025697</v>
      </c>
      <c r="G838" s="43">
        <v>88.938306196197971</v>
      </c>
      <c r="H838" s="43">
        <v>88.655948371194739</v>
      </c>
      <c r="I838" s="43">
        <v>88.29277171932975</v>
      </c>
    </row>
    <row r="839" spans="1:9">
      <c r="A839" s="19">
        <v>443.3</v>
      </c>
      <c r="B839" s="43">
        <v>88.405718051305769</v>
      </c>
      <c r="C839" s="43">
        <v>88.865995755270006</v>
      </c>
      <c r="D839" s="43">
        <v>89.122268783107046</v>
      </c>
      <c r="E839" s="43">
        <v>89.205178236728216</v>
      </c>
      <c r="F839" s="43">
        <v>89.142803154019077</v>
      </c>
      <c r="G839" s="43">
        <v>88.959911761686328</v>
      </c>
      <c r="H839" s="43">
        <v>88.677893096525452</v>
      </c>
      <c r="I839" s="43">
        <v>88.315014179038229</v>
      </c>
    </row>
    <row r="840" spans="1:9">
      <c r="A840" s="19">
        <v>443.4</v>
      </c>
      <c r="B840" s="43">
        <v>88.425072797588996</v>
      </c>
      <c r="C840" s="43">
        <v>88.885853378509069</v>
      </c>
      <c r="D840" s="43">
        <v>89.142613453741035</v>
      </c>
      <c r="E840" s="43">
        <v>89.225980854072986</v>
      </c>
      <c r="F840" s="43">
        <v>89.164027039468181</v>
      </c>
      <c r="G840" s="43">
        <v>88.98151653180895</v>
      </c>
      <c r="H840" s="43">
        <v>88.699837121909184</v>
      </c>
      <c r="I840" s="43">
        <v>88.337256052055181</v>
      </c>
    </row>
    <row r="841" spans="1:9">
      <c r="A841" s="19">
        <v>443.5</v>
      </c>
      <c r="B841" s="43">
        <v>88.44442674004361</v>
      </c>
      <c r="C841" s="43">
        <v>88.905710112390864</v>
      </c>
      <c r="D841" s="43">
        <v>89.162957201112221</v>
      </c>
      <c r="E841" s="43">
        <v>89.246782557877225</v>
      </c>
      <c r="F841" s="43">
        <v>89.185250056396541</v>
      </c>
      <c r="G841" s="43">
        <v>89.003120506476563</v>
      </c>
      <c r="H841" s="43">
        <v>88.721780447149115</v>
      </c>
      <c r="I841" s="43">
        <v>88.359497338080701</v>
      </c>
    </row>
    <row r="842" spans="1:9">
      <c r="A842" s="19">
        <v>443.6</v>
      </c>
      <c r="B842" s="43">
        <v>88.463779879085195</v>
      </c>
      <c r="C842" s="43">
        <v>88.925565957244231</v>
      </c>
      <c r="D842" s="43">
        <v>89.183300025458635</v>
      </c>
      <c r="E842" s="43">
        <v>89.267583348260104</v>
      </c>
      <c r="F842" s="43">
        <v>89.206472204822688</v>
      </c>
      <c r="G842" s="43">
        <v>89.024723685600179</v>
      </c>
      <c r="H842" s="43">
        <v>88.743723072052262</v>
      </c>
      <c r="I842" s="43">
        <v>88.381738036816273</v>
      </c>
    </row>
    <row r="843" spans="1:9">
      <c r="A843" s="19">
        <v>443.7</v>
      </c>
      <c r="B843" s="43">
        <v>88.483132215165625</v>
      </c>
      <c r="C843" s="43">
        <v>88.945420913434901</v>
      </c>
      <c r="D843" s="43">
        <v>89.203641927026922</v>
      </c>
      <c r="E843" s="43">
        <v>89.28838322536788</v>
      </c>
      <c r="F843" s="43">
        <v>89.22769348476433</v>
      </c>
      <c r="G843" s="43">
        <v>89.046326069091066</v>
      </c>
      <c r="H843" s="43">
        <v>88.765664996422885</v>
      </c>
      <c r="I843" s="43">
        <v>88.403978147969525</v>
      </c>
    </row>
    <row r="844" spans="1:9">
      <c r="A844" s="19">
        <v>443.8</v>
      </c>
      <c r="B844" s="43">
        <v>88.502483748729674</v>
      </c>
      <c r="C844" s="43">
        <v>88.965274981300354</v>
      </c>
      <c r="D844" s="43">
        <v>89.223982906047951</v>
      </c>
      <c r="E844" s="43">
        <v>89.309182189313645</v>
      </c>
      <c r="F844" s="43">
        <v>89.248913896243067</v>
      </c>
      <c r="G844" s="43">
        <v>89.067927656858672</v>
      </c>
      <c r="H844" s="43">
        <v>88.787606220071467</v>
      </c>
      <c r="I844" s="43">
        <v>88.426217671247542</v>
      </c>
    </row>
    <row r="845" spans="1:9">
      <c r="A845" s="19">
        <v>443.9</v>
      </c>
      <c r="B845" s="43">
        <v>88.52183448022231</v>
      </c>
      <c r="C845" s="43">
        <v>88.985128161195348</v>
      </c>
      <c r="D845" s="43">
        <v>89.244322962768678</v>
      </c>
      <c r="E845" s="43">
        <v>89.329980240234391</v>
      </c>
      <c r="F845" s="43">
        <v>89.270133439270637</v>
      </c>
      <c r="G845" s="43">
        <v>89.089528448816139</v>
      </c>
      <c r="H845" s="43">
        <v>88.809546742804827</v>
      </c>
      <c r="I845" s="43">
        <v>88.448456606357183</v>
      </c>
    </row>
    <row r="846" spans="1:9">
      <c r="A846" s="19">
        <v>444</v>
      </c>
      <c r="B846" s="43">
        <v>88.541184410054569</v>
      </c>
      <c r="C846" s="43">
        <v>89.004980453457136</v>
      </c>
      <c r="D846" s="43">
        <v>89.264662097436712</v>
      </c>
      <c r="E846" s="43">
        <v>89.350777378255799</v>
      </c>
      <c r="F846" s="43">
        <v>89.291352113873643</v>
      </c>
      <c r="G846" s="43">
        <v>89.111128444874737</v>
      </c>
      <c r="H846" s="43">
        <v>88.831486564430406</v>
      </c>
      <c r="I846" s="43">
        <v>88.470694953005051</v>
      </c>
    </row>
    <row r="847" spans="1:9">
      <c r="A847" s="19">
        <v>444.1</v>
      </c>
      <c r="B847" s="43">
        <v>88.560533538707091</v>
      </c>
      <c r="C847" s="43">
        <v>89.024831858447357</v>
      </c>
      <c r="D847" s="43">
        <v>89.28500031028679</v>
      </c>
      <c r="E847" s="43">
        <v>89.371573603516197</v>
      </c>
      <c r="F847" s="43">
        <v>89.312569920068938</v>
      </c>
      <c r="G847" s="43">
        <v>89.132727644947266</v>
      </c>
      <c r="H847" s="43">
        <v>88.85342568475582</v>
      </c>
      <c r="I847" s="43">
        <v>88.492932710893399</v>
      </c>
    </row>
    <row r="848" spans="1:9">
      <c r="A848" s="19">
        <v>444.2</v>
      </c>
      <c r="B848" s="43">
        <v>88.579881866600886</v>
      </c>
      <c r="C848" s="43">
        <v>89.044682376514999</v>
      </c>
      <c r="D848" s="43">
        <v>89.305337601559813</v>
      </c>
      <c r="E848" s="43">
        <v>89.392368916139702</v>
      </c>
      <c r="F848" s="43">
        <v>89.333786857875936</v>
      </c>
      <c r="G848" s="43">
        <v>89.154326048945819</v>
      </c>
      <c r="H848" s="43">
        <v>88.875364103590925</v>
      </c>
      <c r="I848" s="43">
        <v>88.515169879736732</v>
      </c>
    </row>
    <row r="849" spans="1:9">
      <c r="A849" s="19">
        <v>444.3</v>
      </c>
      <c r="B849" s="43">
        <v>88.59922939419377</v>
      </c>
      <c r="C849" s="43">
        <v>89.064532008015249</v>
      </c>
      <c r="D849" s="43">
        <v>89.32567397150666</v>
      </c>
      <c r="E849" s="43">
        <v>89.413163316261091</v>
      </c>
      <c r="F849" s="43">
        <v>89.355002927317571</v>
      </c>
      <c r="G849" s="43">
        <v>89.175923656784931</v>
      </c>
      <c r="H849" s="43">
        <v>88.897301820744048</v>
      </c>
      <c r="I849" s="43">
        <v>88.537406459238241</v>
      </c>
    </row>
    <row r="850" spans="1:9">
      <c r="A850" s="19">
        <v>444.4</v>
      </c>
      <c r="B850" s="43">
        <v>88.618576121902578</v>
      </c>
      <c r="C850" s="43">
        <v>89.084380753284648</v>
      </c>
      <c r="D850" s="43">
        <v>89.346009420361469</v>
      </c>
      <c r="E850" s="43">
        <v>89.433956804001411</v>
      </c>
      <c r="F850" s="43">
        <v>89.376218128410017</v>
      </c>
      <c r="G850" s="43">
        <v>89.197520468376894</v>
      </c>
      <c r="H850" s="43">
        <v>88.919238836029365</v>
      </c>
      <c r="I850" s="43">
        <v>88.559642449113596</v>
      </c>
    </row>
    <row r="851" spans="1:9">
      <c r="A851" s="19">
        <v>444.5</v>
      </c>
      <c r="B851" s="43">
        <v>88.637922050207919</v>
      </c>
      <c r="C851" s="43">
        <v>89.104228612691486</v>
      </c>
      <c r="D851" s="43">
        <v>89.36634394838606</v>
      </c>
      <c r="E851" s="43">
        <v>89.454749379512776</v>
      </c>
      <c r="F851" s="43">
        <v>89.397432461184707</v>
      </c>
      <c r="G851" s="43">
        <v>89.219116483637208</v>
      </c>
      <c r="H851" s="43">
        <v>88.941175149248465</v>
      </c>
      <c r="I851" s="43">
        <v>88.581877849059907</v>
      </c>
    </row>
    <row r="852" spans="1:9">
      <c r="A852" s="19">
        <v>444.6</v>
      </c>
      <c r="B852" s="43">
        <v>88.657267179488912</v>
      </c>
      <c r="C852" s="43">
        <v>89.124075586550333</v>
      </c>
      <c r="D852" s="43">
        <v>89.386677555787657</v>
      </c>
      <c r="E852" s="43">
        <v>89.475541042903075</v>
      </c>
      <c r="F852" s="43">
        <v>89.418645925645279</v>
      </c>
      <c r="G852" s="43">
        <v>89.240711702476972</v>
      </c>
      <c r="H852" s="43">
        <v>88.963110760223003</v>
      </c>
      <c r="I852" s="43">
        <v>88.604112658804212</v>
      </c>
    </row>
    <row r="853" spans="1:9">
      <c r="A853" s="19">
        <v>444.7</v>
      </c>
      <c r="B853" s="43">
        <v>88.676611510264593</v>
      </c>
      <c r="C853" s="43">
        <v>89.143921675259094</v>
      </c>
      <c r="D853" s="43">
        <v>89.407010242849339</v>
      </c>
      <c r="E853" s="43">
        <v>89.496331794326721</v>
      </c>
      <c r="F853" s="43">
        <v>89.439858521834282</v>
      </c>
      <c r="G853" s="43">
        <v>89.262306124815467</v>
      </c>
      <c r="H853" s="43">
        <v>88.985045668754339</v>
      </c>
      <c r="I853" s="43">
        <v>88.626346878037054</v>
      </c>
    </row>
    <row r="854" spans="1:9">
      <c r="A854" s="19">
        <v>444.8</v>
      </c>
      <c r="B854" s="43">
        <v>88.695955042906462</v>
      </c>
      <c r="C854" s="43">
        <v>89.163766879119976</v>
      </c>
      <c r="D854" s="43">
        <v>89.427342009777902</v>
      </c>
      <c r="E854" s="43">
        <v>89.517121633894646</v>
      </c>
      <c r="F854" s="43">
        <v>89.461070249756091</v>
      </c>
      <c r="G854" s="43">
        <v>89.283899750562853</v>
      </c>
      <c r="H854" s="43">
        <v>89.00697987466188</v>
      </c>
      <c r="I854" s="43">
        <v>88.648580506487576</v>
      </c>
    </row>
    <row r="855" spans="1:9">
      <c r="A855" s="19">
        <v>444.9</v>
      </c>
      <c r="B855" s="43">
        <v>88.715297777927702</v>
      </c>
      <c r="C855" s="43">
        <v>89.183611198538273</v>
      </c>
      <c r="D855" s="43">
        <v>89.447672856856286</v>
      </c>
      <c r="E855" s="43">
        <v>89.537910561765983</v>
      </c>
      <c r="F855" s="43">
        <v>89.482281109449303</v>
      </c>
      <c r="G855" s="43">
        <v>89.30549257963969</v>
      </c>
      <c r="H855" s="43">
        <v>89.028913377749888</v>
      </c>
      <c r="I855" s="43">
        <v>88.670813543851835</v>
      </c>
    </row>
    <row r="856" spans="1:9">
      <c r="A856" s="19">
        <v>445</v>
      </c>
      <c r="B856" s="43">
        <v>88.73463971569285</v>
      </c>
      <c r="C856" s="43">
        <v>89.203454633799055</v>
      </c>
      <c r="D856" s="43">
        <v>89.468002784293645</v>
      </c>
      <c r="E856" s="43">
        <v>89.558698578039952</v>
      </c>
      <c r="F856" s="43">
        <v>89.503491100918922</v>
      </c>
      <c r="G856" s="43">
        <v>89.32708461195736</v>
      </c>
      <c r="H856" s="43">
        <v>89.050846177836718</v>
      </c>
      <c r="I856" s="43">
        <v>88.693045989852664</v>
      </c>
    </row>
    <row r="857" spans="1:9">
      <c r="A857" s="19">
        <v>445.1</v>
      </c>
      <c r="B857" s="43">
        <v>88.753980856721796</v>
      </c>
      <c r="C857" s="43">
        <v>89.223297185329443</v>
      </c>
      <c r="D857" s="43">
        <v>89.488331792365784</v>
      </c>
      <c r="E857" s="43">
        <v>89.579485682881852</v>
      </c>
      <c r="F857" s="43">
        <v>89.524700224207066</v>
      </c>
      <c r="G857" s="43">
        <v>89.348675847436141</v>
      </c>
      <c r="H857" s="43">
        <v>89.072778274731576</v>
      </c>
      <c r="I857" s="43">
        <v>88.715277844194958</v>
      </c>
    </row>
    <row r="858" spans="1:9">
      <c r="A858" s="19">
        <v>445.2</v>
      </c>
      <c r="B858" s="43">
        <v>88.773321201385329</v>
      </c>
      <c r="C858" s="43">
        <v>89.243138853406322</v>
      </c>
      <c r="D858" s="43">
        <v>89.508659881286206</v>
      </c>
      <c r="E858" s="43">
        <v>89.600271876401962</v>
      </c>
      <c r="F858" s="43">
        <v>89.545908479318655</v>
      </c>
      <c r="G858" s="43">
        <v>89.370266285989317</v>
      </c>
      <c r="H858" s="43">
        <v>89.094709668251539</v>
      </c>
      <c r="I858" s="43">
        <v>88.737509106595269</v>
      </c>
    </row>
    <row r="859" spans="1:9">
      <c r="A859" s="19">
        <v>445.3</v>
      </c>
      <c r="B859" s="43">
        <v>88.792660750200014</v>
      </c>
      <c r="C859" s="43">
        <v>89.262979638440328</v>
      </c>
      <c r="D859" s="43">
        <v>89.528987051330432</v>
      </c>
      <c r="E859" s="43">
        <v>89.621057158753047</v>
      </c>
      <c r="F859" s="43">
        <v>89.567115866294444</v>
      </c>
      <c r="G859" s="43">
        <v>89.391855927536568</v>
      </c>
      <c r="H859" s="43">
        <v>89.116640358206155</v>
      </c>
      <c r="I859" s="43">
        <v>88.759739776764008</v>
      </c>
    </row>
    <row r="860" spans="1:9">
      <c r="A860" s="19">
        <v>445.4</v>
      </c>
      <c r="B860" s="43">
        <v>88.811999503523538</v>
      </c>
      <c r="C860" s="43">
        <v>89.28281954073833</v>
      </c>
      <c r="D860" s="43">
        <v>89.549313302704746</v>
      </c>
      <c r="E860" s="43">
        <v>89.641841530047628</v>
      </c>
      <c r="F860" s="43">
        <v>89.5883223851433</v>
      </c>
      <c r="G860" s="43">
        <v>89.413444771992232</v>
      </c>
      <c r="H860" s="43">
        <v>89.138570344413836</v>
      </c>
      <c r="I860" s="43">
        <v>88.781969854420879</v>
      </c>
    </row>
    <row r="861" spans="1:9">
      <c r="A861" s="19">
        <v>445.5</v>
      </c>
      <c r="B861" s="43">
        <v>88.831337461884857</v>
      </c>
      <c r="C861" s="43">
        <v>89.302658560692208</v>
      </c>
      <c r="D861" s="43">
        <v>89.569638635706497</v>
      </c>
      <c r="E861" s="43">
        <v>89.662624990447569</v>
      </c>
      <c r="F861" s="43">
        <v>89.609528035906834</v>
      </c>
      <c r="G861" s="43">
        <v>89.435032819278348</v>
      </c>
      <c r="H861" s="43">
        <v>89.160499626683531</v>
      </c>
      <c r="I861" s="43">
        <v>88.804199339268735</v>
      </c>
    </row>
    <row r="862" spans="1:9">
      <c r="A862" s="19">
        <v>445.6</v>
      </c>
      <c r="B862" s="43">
        <v>88.850674625652715</v>
      </c>
      <c r="C862" s="43">
        <v>89.322496698604311</v>
      </c>
      <c r="D862" s="43">
        <v>89.589963050519657</v>
      </c>
      <c r="E862" s="43">
        <v>89.683407540058226</v>
      </c>
      <c r="F862" s="43">
        <v>89.630732818589507</v>
      </c>
      <c r="G862" s="43">
        <v>89.456620069308798</v>
      </c>
      <c r="H862" s="43">
        <v>89.182428204836896</v>
      </c>
      <c r="I862" s="43">
        <v>88.82642823103933</v>
      </c>
    </row>
    <row r="863" spans="1:9">
      <c r="A863" s="19">
        <v>445.7</v>
      </c>
      <c r="B863" s="43">
        <v>88.870010995324719</v>
      </c>
      <c r="C863" s="43">
        <v>89.342333954875528</v>
      </c>
      <c r="D863" s="43">
        <v>89.610286547447942</v>
      </c>
      <c r="E863" s="43">
        <v>89.704189179037598</v>
      </c>
      <c r="F863" s="43">
        <v>89.651936733236312</v>
      </c>
      <c r="G863" s="43">
        <v>89.478206522005735</v>
      </c>
      <c r="H863" s="43">
        <v>89.20435607868481</v>
      </c>
      <c r="I863" s="43">
        <v>88.84865652942662</v>
      </c>
    </row>
    <row r="864" spans="1:9">
      <c r="A864" s="19">
        <v>445.8</v>
      </c>
      <c r="B864" s="43">
        <v>88.88934657130423</v>
      </c>
      <c r="C864" s="43">
        <v>89.362170329826569</v>
      </c>
      <c r="D864" s="43">
        <v>89.630609126699937</v>
      </c>
      <c r="E864" s="43">
        <v>89.724969907507074</v>
      </c>
      <c r="F864" s="43">
        <v>89.673139779856399</v>
      </c>
      <c r="G864" s="43">
        <v>89.499792177284945</v>
      </c>
      <c r="H864" s="43">
        <v>89.226283248046144</v>
      </c>
      <c r="I864" s="43">
        <v>88.87088423416742</v>
      </c>
    </row>
    <row r="865" spans="1:9">
      <c r="A865" s="19">
        <v>445.9</v>
      </c>
      <c r="B865" s="43">
        <v>88.908681354067198</v>
      </c>
      <c r="C865" s="43">
        <v>89.382005823835584</v>
      </c>
      <c r="D865" s="43">
        <v>89.650930788538716</v>
      </c>
      <c r="E865" s="43">
        <v>89.74574972561075</v>
      </c>
      <c r="F865" s="43">
        <v>89.694341958486007</v>
      </c>
      <c r="G865" s="43">
        <v>89.52137703506952</v>
      </c>
      <c r="H865" s="43">
        <v>89.248209712732887</v>
      </c>
      <c r="I865" s="43">
        <v>88.893111344960801</v>
      </c>
    </row>
    <row r="866" spans="1:9">
      <c r="A866" s="19">
        <v>446</v>
      </c>
      <c r="B866" s="43">
        <v>88.928015344046088</v>
      </c>
      <c r="C866" s="43">
        <v>89.401840437235535</v>
      </c>
      <c r="D866" s="43">
        <v>89.671251533210693</v>
      </c>
      <c r="E866" s="43">
        <v>89.766528633480249</v>
      </c>
      <c r="F866" s="43">
        <v>89.715543269150146</v>
      </c>
      <c r="G866" s="43">
        <v>89.542961095276496</v>
      </c>
      <c r="H866" s="43">
        <v>89.270135472565613</v>
      </c>
      <c r="I866" s="43">
        <v>88.915337861531953</v>
      </c>
    </row>
    <row r="867" spans="1:9">
      <c r="A867" s="19">
        <v>446.1</v>
      </c>
      <c r="B867" s="43">
        <v>88.947348541666884</v>
      </c>
      <c r="C867" s="43">
        <v>89.421674170376605</v>
      </c>
      <c r="D867" s="43">
        <v>89.691571360951286</v>
      </c>
      <c r="E867" s="43">
        <v>89.787306631251369</v>
      </c>
      <c r="F867" s="43">
        <v>89.736743711870218</v>
      </c>
      <c r="G867" s="43">
        <v>89.564544357826094</v>
      </c>
      <c r="H867" s="43">
        <v>89.292060527361258</v>
      </c>
      <c r="I867" s="43">
        <v>88.937563783596289</v>
      </c>
    </row>
    <row r="868" spans="1:9">
      <c r="A868" s="19">
        <v>446.2</v>
      </c>
      <c r="B868" s="43">
        <v>88.966680947387914</v>
      </c>
      <c r="C868" s="43">
        <v>89.441507023626542</v>
      </c>
      <c r="D868" s="43">
        <v>89.711890272021236</v>
      </c>
      <c r="E868" s="43">
        <v>89.808083719061642</v>
      </c>
      <c r="F868" s="43">
        <v>89.757943286681041</v>
      </c>
      <c r="G868" s="43">
        <v>89.586126822640097</v>
      </c>
      <c r="H868" s="43">
        <v>89.313984876935478</v>
      </c>
      <c r="I868" s="43">
        <v>88.959789110868741</v>
      </c>
    </row>
    <row r="869" spans="1:9">
      <c r="A869" s="19">
        <v>446.3</v>
      </c>
      <c r="B869" s="43">
        <v>88.986012561644458</v>
      </c>
      <c r="C869" s="43">
        <v>89.46133899732115</v>
      </c>
      <c r="D869" s="43">
        <v>89.732208266655249</v>
      </c>
      <c r="E869" s="43">
        <v>89.828859897051018</v>
      </c>
      <c r="F869" s="43">
        <v>89.779141993600717</v>
      </c>
      <c r="G869" s="43">
        <v>89.607708489638924</v>
      </c>
      <c r="H869" s="43">
        <v>89.335908521108934</v>
      </c>
      <c r="I869" s="43">
        <v>88.982013843070064</v>
      </c>
    </row>
    <row r="870" spans="1:9">
      <c r="A870" s="19">
        <v>446.4</v>
      </c>
      <c r="B870" s="43">
        <v>89.005343384899732</v>
      </c>
      <c r="C870" s="43">
        <v>89.481170091832098</v>
      </c>
      <c r="D870" s="43">
        <v>89.752525345105454</v>
      </c>
      <c r="E870" s="43">
        <v>89.849635165350662</v>
      </c>
      <c r="F870" s="43">
        <v>89.800339832663155</v>
      </c>
      <c r="G870" s="43">
        <v>89.629289358743421</v>
      </c>
      <c r="H870" s="43">
        <v>89.35783145969782</v>
      </c>
      <c r="I870" s="43">
        <v>89.00423797992238</v>
      </c>
    </row>
    <row r="871" spans="1:9">
      <c r="A871" s="19">
        <v>446.5</v>
      </c>
      <c r="B871" s="43">
        <v>89.024673417566362</v>
      </c>
      <c r="C871" s="43">
        <v>89.501000307498288</v>
      </c>
      <c r="D871" s="43">
        <v>89.772841507622331</v>
      </c>
      <c r="E871" s="43">
        <v>89.870409524102683</v>
      </c>
      <c r="F871" s="43">
        <v>89.821536803894872</v>
      </c>
      <c r="G871" s="43">
        <v>89.650869429876252</v>
      </c>
      <c r="H871" s="43">
        <v>89.379753692521973</v>
      </c>
      <c r="I871" s="43">
        <v>89.026461521137321</v>
      </c>
    </row>
    <row r="872" spans="1:9">
      <c r="A872" s="19">
        <v>446.6</v>
      </c>
      <c r="B872" s="43">
        <v>89.044002660105235</v>
      </c>
      <c r="C872" s="43">
        <v>89.520829644674052</v>
      </c>
      <c r="D872" s="43">
        <v>89.793156754448574</v>
      </c>
      <c r="E872" s="43">
        <v>89.891182973437054</v>
      </c>
      <c r="F872" s="43">
        <v>89.842732907323381</v>
      </c>
      <c r="G872" s="43">
        <v>89.672448702958349</v>
      </c>
      <c r="H872" s="43">
        <v>89.401675219400715</v>
      </c>
      <c r="I872" s="43">
        <v>89.048684466436526</v>
      </c>
    </row>
    <row r="873" spans="1:9">
      <c r="A873" s="19">
        <v>446.7</v>
      </c>
      <c r="B873" s="43">
        <v>89.063331112957883</v>
      </c>
      <c r="C873" s="43">
        <v>89.540658103716822</v>
      </c>
      <c r="D873" s="43">
        <v>89.813471085833953</v>
      </c>
      <c r="E873" s="43">
        <v>89.911955513499322</v>
      </c>
      <c r="F873" s="43">
        <v>89.863928142976022</v>
      </c>
      <c r="G873" s="43">
        <v>89.694027177911693</v>
      </c>
      <c r="H873" s="43">
        <v>89.423596040154706</v>
      </c>
      <c r="I873" s="43">
        <v>89.070906815546977</v>
      </c>
    </row>
    <row r="874" spans="1:9">
      <c r="A874" s="19">
        <v>446.8</v>
      </c>
      <c r="B874" s="43">
        <v>89.082658776574249</v>
      </c>
      <c r="C874" s="43">
        <v>89.560485684971979</v>
      </c>
      <c r="D874" s="43">
        <v>89.833784502030767</v>
      </c>
      <c r="E874" s="43">
        <v>89.932727144424121</v>
      </c>
      <c r="F874" s="43">
        <v>89.885122510883036</v>
      </c>
      <c r="G874" s="43">
        <v>89.715604854661393</v>
      </c>
      <c r="H874" s="43">
        <v>89.445516154601791</v>
      </c>
      <c r="I874" s="43">
        <v>89.093128568178315</v>
      </c>
    </row>
    <row r="875" spans="1:9">
      <c r="A875" s="19">
        <v>446.9</v>
      </c>
      <c r="B875" s="43">
        <v>89.101985651373496</v>
      </c>
      <c r="C875" s="43">
        <v>89.580312388808437</v>
      </c>
      <c r="D875" s="43">
        <v>89.854097003282874</v>
      </c>
      <c r="E875" s="43">
        <v>89.953497866351114</v>
      </c>
      <c r="F875" s="43">
        <v>89.90631601107458</v>
      </c>
      <c r="G875" s="43">
        <v>89.73718173312767</v>
      </c>
      <c r="H875" s="43">
        <v>89.467435562565441</v>
      </c>
      <c r="I875" s="43">
        <v>89.115349724057722</v>
      </c>
    </row>
    <row r="876" spans="1:9">
      <c r="A876" s="19">
        <v>447</v>
      </c>
      <c r="B876" s="43">
        <v>89.121311737832571</v>
      </c>
      <c r="C876" s="43">
        <v>89.600138215572485</v>
      </c>
      <c r="D876" s="43">
        <v>89.874408589844336</v>
      </c>
      <c r="E876" s="43">
        <v>89.974267679421075</v>
      </c>
      <c r="F876" s="43">
        <v>89.927508643581973</v>
      </c>
      <c r="G876" s="43">
        <v>89.758757813237622</v>
      </c>
      <c r="H876" s="43">
        <v>89.489354263864499</v>
      </c>
      <c r="I876" s="43">
        <v>89.137570282904647</v>
      </c>
    </row>
    <row r="877" spans="1:9">
      <c r="A877" s="19">
        <v>447.1</v>
      </c>
      <c r="B877" s="43">
        <v>89.140637036363103</v>
      </c>
      <c r="C877" s="43">
        <v>89.619963165610812</v>
      </c>
      <c r="D877" s="43">
        <v>89.894719261949831</v>
      </c>
      <c r="E877" s="43">
        <v>89.995036583766733</v>
      </c>
      <c r="F877" s="43">
        <v>89.948700408426078</v>
      </c>
      <c r="G877" s="43">
        <v>89.780333094911924</v>
      </c>
      <c r="H877" s="43">
        <v>89.511272258322521</v>
      </c>
      <c r="I877" s="43">
        <v>89.159790244441808</v>
      </c>
    </row>
    <row r="878" spans="1:9">
      <c r="A878" s="19">
        <v>447.2</v>
      </c>
      <c r="B878" s="43">
        <v>89.159961547438201</v>
      </c>
      <c r="C878" s="43">
        <v>89.639787239300404</v>
      </c>
      <c r="D878" s="43">
        <v>89.915029019871696</v>
      </c>
      <c r="E878" s="43">
        <v>90.015804579533608</v>
      </c>
      <c r="F878" s="43">
        <v>89.969891305647366</v>
      </c>
      <c r="G878" s="43">
        <v>89.801907578077561</v>
      </c>
      <c r="H878" s="43">
        <v>89.533189545759114</v>
      </c>
      <c r="I878" s="43">
        <v>89.182009608390928</v>
      </c>
    </row>
    <row r="879" spans="1:9">
      <c r="A879" s="19">
        <v>447.3</v>
      </c>
      <c r="B879" s="43">
        <v>89.179285271456251</v>
      </c>
      <c r="C879" s="43">
        <v>89.659610436937243</v>
      </c>
      <c r="D879" s="43">
        <v>89.935337863818432</v>
      </c>
      <c r="E879" s="43">
        <v>90.03657166684664</v>
      </c>
      <c r="F879" s="43">
        <v>89.991081335267978</v>
      </c>
      <c r="G879" s="43">
        <v>89.823481262654582</v>
      </c>
      <c r="H879" s="43">
        <v>89.555106126000084</v>
      </c>
      <c r="I879" s="43">
        <v>89.204228374478618</v>
      </c>
    </row>
    <row r="880" spans="1:9">
      <c r="A880" s="19">
        <v>447.4</v>
      </c>
      <c r="B880" s="43">
        <v>89.198608208923247</v>
      </c>
      <c r="C880" s="43">
        <v>89.679432758958143</v>
      </c>
      <c r="D880" s="43">
        <v>89.955645794091936</v>
      </c>
      <c r="E880" s="43">
        <v>90.057337845872894</v>
      </c>
      <c r="F880" s="43">
        <v>90.012270497327535</v>
      </c>
      <c r="G880" s="43">
        <v>89.845054148574746</v>
      </c>
      <c r="H880" s="43">
        <v>89.577021998864439</v>
      </c>
      <c r="I880" s="43">
        <v>89.226446542422906</v>
      </c>
    </row>
    <row r="881" spans="1:9">
      <c r="A881" s="19">
        <v>447.5</v>
      </c>
      <c r="B881" s="43">
        <v>89.217930360215036</v>
      </c>
      <c r="C881" s="43">
        <v>89.699254205642632</v>
      </c>
      <c r="D881" s="43">
        <v>89.975952810899059</v>
      </c>
      <c r="E881" s="43">
        <v>90.078103116721536</v>
      </c>
      <c r="F881" s="43">
        <v>90.033458791845817</v>
      </c>
      <c r="G881" s="43">
        <v>89.86662623575819</v>
      </c>
      <c r="H881" s="43">
        <v>89.598937164177954</v>
      </c>
      <c r="I881" s="43">
        <v>89.24866411195211</v>
      </c>
    </row>
    <row r="882" spans="1:9">
      <c r="A882" s="19">
        <v>447.6</v>
      </c>
      <c r="B882" s="43">
        <v>89.23725172584426</v>
      </c>
      <c r="C882" s="43">
        <v>89.719074777408792</v>
      </c>
      <c r="D882" s="43">
        <v>89.996258914519984</v>
      </c>
      <c r="E882" s="43">
        <v>90.098867479556446</v>
      </c>
      <c r="F882" s="43">
        <v>90.054646218867248</v>
      </c>
      <c r="G882" s="43">
        <v>89.888197524134114</v>
      </c>
      <c r="H882" s="43">
        <v>89.62085162176254</v>
      </c>
      <c r="I882" s="43">
        <v>89.270881082783688</v>
      </c>
    </row>
    <row r="883" spans="1:9">
      <c r="A883" s="19">
        <v>447.7</v>
      </c>
      <c r="B883" s="43">
        <v>89.256572306190975</v>
      </c>
      <c r="C883" s="43">
        <v>89.73889447455187</v>
      </c>
      <c r="D883" s="43">
        <v>90.016564105177395</v>
      </c>
      <c r="E883" s="43">
        <v>90.119630934502254</v>
      </c>
      <c r="F883" s="43">
        <v>90.075832778414224</v>
      </c>
      <c r="G883" s="43">
        <v>89.909768013625694</v>
      </c>
      <c r="H883" s="43">
        <v>89.642765371444739</v>
      </c>
      <c r="I883" s="43">
        <v>89.293097454651956</v>
      </c>
    </row>
    <row r="884" spans="1:9">
      <c r="A884" s="19">
        <v>447.8</v>
      </c>
      <c r="B884" s="43">
        <v>89.275892101751708</v>
      </c>
      <c r="C884" s="43">
        <v>89.758713297480483</v>
      </c>
      <c r="D884" s="43">
        <v>90.036868383150818</v>
      </c>
      <c r="E884" s="43">
        <v>90.140393481718576</v>
      </c>
      <c r="F884" s="43">
        <v>90.09701847052483</v>
      </c>
      <c r="G884" s="43">
        <v>89.931337704162985</v>
      </c>
      <c r="H884" s="43">
        <v>89.66467841304484</v>
      </c>
      <c r="I884" s="43">
        <v>89.315313227270281</v>
      </c>
    </row>
    <row r="885" spans="1:9">
      <c r="A885" s="19">
        <v>447.9</v>
      </c>
      <c r="B885" s="43">
        <v>89.295211112925642</v>
      </c>
      <c r="C885" s="43">
        <v>89.778531246503121</v>
      </c>
      <c r="D885" s="43">
        <v>90.057171748667201</v>
      </c>
      <c r="E885" s="43">
        <v>90.161155121321315</v>
      </c>
      <c r="F885" s="43">
        <v>90.118203295223822</v>
      </c>
      <c r="G885" s="43">
        <v>89.95290659566956</v>
      </c>
      <c r="H885" s="43">
        <v>89.686590746393108</v>
      </c>
      <c r="I885" s="43">
        <v>89.337528400378687</v>
      </c>
    </row>
    <row r="886" spans="1:9">
      <c r="A886" s="19">
        <v>448</v>
      </c>
      <c r="B886" s="43">
        <v>89.314529340207827</v>
      </c>
      <c r="C886" s="43">
        <v>89.798348322030506</v>
      </c>
      <c r="D886" s="43">
        <v>90.077474201994022</v>
      </c>
      <c r="E886" s="43">
        <v>90.181915853480007</v>
      </c>
      <c r="F886" s="43">
        <v>90.139387252557469</v>
      </c>
      <c r="G886" s="43">
        <v>89.974474688077038</v>
      </c>
      <c r="H886" s="43">
        <v>89.708502371309947</v>
      </c>
      <c r="I886" s="43">
        <v>89.359742973687162</v>
      </c>
    </row>
    <row r="887" spans="1:9">
      <c r="A887" s="19">
        <v>448.1</v>
      </c>
      <c r="B887" s="43">
        <v>89.33384678396493</v>
      </c>
      <c r="C887" s="43">
        <v>89.818164524333781</v>
      </c>
      <c r="D887" s="43">
        <v>90.097775743355641</v>
      </c>
      <c r="E887" s="43">
        <v>90.202675678305866</v>
      </c>
      <c r="F887" s="43">
        <v>90.160570342537994</v>
      </c>
      <c r="G887" s="43">
        <v>89.996041981307059</v>
      </c>
      <c r="H887" s="43">
        <v>89.730413287626163</v>
      </c>
      <c r="I887" s="43">
        <v>89.381956946940647</v>
      </c>
    </row>
    <row r="888" spans="1:9">
      <c r="A888" s="19">
        <v>448.2</v>
      </c>
      <c r="B888" s="43">
        <v>89.353163444716074</v>
      </c>
      <c r="C888" s="43">
        <v>89.837979853844104</v>
      </c>
      <c r="D888" s="43">
        <v>90.118076373030902</v>
      </c>
      <c r="E888" s="43">
        <v>90.223434595965216</v>
      </c>
      <c r="F888" s="43">
        <v>90.181752565219625</v>
      </c>
      <c r="G888" s="43">
        <v>90.017608475293258</v>
      </c>
      <c r="H888" s="43">
        <v>89.752323495163779</v>
      </c>
      <c r="I888" s="43">
        <v>89.404170319851374</v>
      </c>
    </row>
    <row r="889" spans="1:9">
      <c r="A889" s="19">
        <v>448.3</v>
      </c>
      <c r="B889" s="43">
        <v>89.372479322880196</v>
      </c>
      <c r="C889" s="43">
        <v>89.857794310897873</v>
      </c>
      <c r="D889" s="43">
        <v>90.138376091273841</v>
      </c>
      <c r="E889" s="43">
        <v>90.244192606594567</v>
      </c>
      <c r="F889" s="43">
        <v>90.202933920628737</v>
      </c>
      <c r="G889" s="43">
        <v>90.039174169961854</v>
      </c>
      <c r="H889" s="43">
        <v>89.774232993749791</v>
      </c>
      <c r="I889" s="43">
        <v>89.426383092151042</v>
      </c>
    </row>
    <row r="890" spans="1:9">
      <c r="A890" s="19">
        <v>448.4</v>
      </c>
      <c r="B890" s="43">
        <v>89.391794418882341</v>
      </c>
      <c r="C890" s="43">
        <v>89.877607895831602</v>
      </c>
      <c r="D890" s="43">
        <v>90.158674898306771</v>
      </c>
      <c r="E890" s="43">
        <v>90.264949710326334</v>
      </c>
      <c r="F890" s="43">
        <v>90.224114408792303</v>
      </c>
      <c r="G890" s="43">
        <v>90.060739065241762</v>
      </c>
      <c r="H890" s="43">
        <v>89.796141783213585</v>
      </c>
      <c r="I890" s="43">
        <v>89.448595263571804</v>
      </c>
    </row>
    <row r="891" spans="1:9">
      <c r="A891" s="19">
        <v>448.5</v>
      </c>
      <c r="B891" s="43">
        <v>89.411108733190531</v>
      </c>
      <c r="C891" s="43">
        <v>89.897420609019406</v>
      </c>
      <c r="D891" s="43">
        <v>90.178972794409646</v>
      </c>
      <c r="E891" s="43">
        <v>90.285705907313712</v>
      </c>
      <c r="F891" s="43">
        <v>90.245294029758924</v>
      </c>
      <c r="G891" s="43">
        <v>90.082303161063265</v>
      </c>
      <c r="H891" s="43">
        <v>89.81804986338031</v>
      </c>
      <c r="I891" s="43">
        <v>89.470806833835809</v>
      </c>
    </row>
    <row r="892" spans="1:9">
      <c r="A892" s="19">
        <v>448.6</v>
      </c>
      <c r="B892" s="43">
        <v>89.430422266240953</v>
      </c>
      <c r="C892" s="43">
        <v>89.917232450816869</v>
      </c>
      <c r="D892" s="43">
        <v>90.199269779813903</v>
      </c>
      <c r="E892" s="43">
        <v>90.306461197700287</v>
      </c>
      <c r="F892" s="43">
        <v>90.266472783552331</v>
      </c>
      <c r="G892" s="43">
        <v>90.103866457354712</v>
      </c>
      <c r="H892" s="43">
        <v>89.839957234079378</v>
      </c>
      <c r="I892" s="43">
        <v>89.493017802675041</v>
      </c>
    </row>
    <row r="893" spans="1:9">
      <c r="A893" s="19">
        <v>448.7</v>
      </c>
      <c r="B893" s="43">
        <v>89.449735018480823</v>
      </c>
      <c r="C893" s="43">
        <v>89.937043421569854</v>
      </c>
      <c r="D893" s="43">
        <v>90.219565854795803</v>
      </c>
      <c r="E893" s="43">
        <v>90.327215581624586</v>
      </c>
      <c r="F893" s="43">
        <v>90.287650670210525</v>
      </c>
      <c r="G893" s="43">
        <v>90.125428954046242</v>
      </c>
      <c r="H893" s="43">
        <v>89.861863895138811</v>
      </c>
      <c r="I893" s="43">
        <v>89.515228169822251</v>
      </c>
    </row>
    <row r="894" spans="1:9">
      <c r="A894" s="19">
        <v>448.8</v>
      </c>
      <c r="B894" s="43">
        <v>89.469046990331663</v>
      </c>
      <c r="C894" s="43">
        <v>89.956853521632468</v>
      </c>
      <c r="D894" s="43">
        <v>90.239861019577347</v>
      </c>
      <c r="E894" s="43">
        <v>90.347969059222436</v>
      </c>
      <c r="F894" s="43">
        <v>90.308827689764229</v>
      </c>
      <c r="G894" s="43">
        <v>90.14699065106791</v>
      </c>
      <c r="H894" s="43">
        <v>89.883769846388276</v>
      </c>
      <c r="I894" s="43">
        <v>89.537437935005215</v>
      </c>
    </row>
    <row r="895" spans="1:9">
      <c r="A895" s="19">
        <v>448.9</v>
      </c>
      <c r="B895" s="43">
        <v>89.488358182279086</v>
      </c>
      <c r="C895" s="43">
        <v>89.976662751376836</v>
      </c>
      <c r="D895" s="43">
        <v>90.260155274437011</v>
      </c>
      <c r="E895" s="43">
        <v>90.368721630652232</v>
      </c>
      <c r="F895" s="43">
        <v>90.330003842258947</v>
      </c>
      <c r="G895" s="43">
        <v>90.168551548351331</v>
      </c>
      <c r="H895" s="43">
        <v>89.90567508765497</v>
      </c>
      <c r="I895" s="43">
        <v>89.559647097954809</v>
      </c>
    </row>
    <row r="896" spans="1:9">
      <c r="A896" s="19">
        <v>449</v>
      </c>
      <c r="B896" s="43">
        <v>89.507668594729182</v>
      </c>
      <c r="C896" s="43">
        <v>89.996471111141886</v>
      </c>
      <c r="D896" s="43">
        <v>90.280448619616351</v>
      </c>
      <c r="E896" s="43">
        <v>90.38947329605827</v>
      </c>
      <c r="F896" s="43">
        <v>90.351179127727278</v>
      </c>
      <c r="G896" s="43">
        <v>90.190111645827812</v>
      </c>
      <c r="H896" s="43">
        <v>89.927579618769329</v>
      </c>
      <c r="I896" s="43">
        <v>89.581855658399405</v>
      </c>
    </row>
    <row r="897" spans="1:9">
      <c r="A897" s="19">
        <v>449.1</v>
      </c>
      <c r="B897" s="43">
        <v>89.526978228148266</v>
      </c>
      <c r="C897" s="43">
        <v>90.01627860129642</v>
      </c>
      <c r="D897" s="43">
        <v>90.300741055363659</v>
      </c>
      <c r="E897" s="43">
        <v>90.410224055569699</v>
      </c>
      <c r="F897" s="43">
        <v>90.372353546199889</v>
      </c>
      <c r="G897" s="43">
        <v>90.211670943427919</v>
      </c>
      <c r="H897" s="43">
        <v>89.94948343956213</v>
      </c>
      <c r="I897" s="43">
        <v>89.604063616070164</v>
      </c>
    </row>
    <row r="898" spans="1:9">
      <c r="A898" s="19">
        <v>449.2</v>
      </c>
      <c r="B898" s="43">
        <v>89.546287082961982</v>
      </c>
      <c r="C898" s="43">
        <v>90.036085222193407</v>
      </c>
      <c r="D898" s="43">
        <v>90.32103258194789</v>
      </c>
      <c r="E898" s="43">
        <v>90.430973909341674</v>
      </c>
      <c r="F898" s="43">
        <v>90.393527097722</v>
      </c>
      <c r="G898" s="43">
        <v>90.233229441085086</v>
      </c>
      <c r="H898" s="43">
        <v>89.971386549861904</v>
      </c>
      <c r="I898" s="43">
        <v>89.626270970700006</v>
      </c>
    </row>
    <row r="899" spans="1:9">
      <c r="A899" s="19">
        <v>449.3</v>
      </c>
      <c r="B899" s="43">
        <v>89.565595159634512</v>
      </c>
      <c r="C899" s="43">
        <v>90.055890974178567</v>
      </c>
      <c r="D899" s="43">
        <v>90.341323199600453</v>
      </c>
      <c r="E899" s="43">
        <v>90.451722857518376</v>
      </c>
      <c r="F899" s="43">
        <v>90.414699782323481</v>
      </c>
      <c r="G899" s="43">
        <v>90.254787138729171</v>
      </c>
      <c r="H899" s="43">
        <v>89.99328894950213</v>
      </c>
      <c r="I899" s="43">
        <v>89.648477722026286</v>
      </c>
    </row>
    <row r="900" spans="1:9">
      <c r="A900" s="19">
        <v>449.4</v>
      </c>
      <c r="B900" s="43">
        <v>89.584902458599117</v>
      </c>
      <c r="C900" s="43">
        <v>90.075695857639943</v>
      </c>
      <c r="D900" s="43">
        <v>90.361612908592718</v>
      </c>
      <c r="E900" s="43">
        <v>90.47247090024527</v>
      </c>
      <c r="F900" s="43">
        <v>90.435871600045374</v>
      </c>
      <c r="G900" s="43">
        <v>90.276344036293892</v>
      </c>
      <c r="H900" s="43">
        <v>90.015190638312106</v>
      </c>
      <c r="I900" s="43">
        <v>89.670683869773995</v>
      </c>
    </row>
    <row r="901" spans="1:9">
      <c r="A901" s="19">
        <v>449.5</v>
      </c>
      <c r="B901" s="43">
        <v>89.604208980315661</v>
      </c>
      <c r="C901" s="43">
        <v>90.095499872909329</v>
      </c>
      <c r="D901" s="43">
        <v>90.381901709190885</v>
      </c>
      <c r="E901" s="43">
        <v>90.493218037671937</v>
      </c>
      <c r="F901" s="43">
        <v>90.457042550928861</v>
      </c>
      <c r="G901" s="43">
        <v>90.297900133715331</v>
      </c>
      <c r="H901" s="43">
        <v>90.037091616122808</v>
      </c>
      <c r="I901" s="43">
        <v>89.692889413678813</v>
      </c>
    </row>
    <row r="902" spans="1:9">
      <c r="A902" s="19">
        <v>449.6</v>
      </c>
      <c r="B902" s="43">
        <v>89.623514725186226</v>
      </c>
      <c r="C902" s="43">
        <v>90.11530302032773</v>
      </c>
      <c r="D902" s="43">
        <v>90.402189601597996</v>
      </c>
      <c r="E902" s="43">
        <v>90.513964269925964</v>
      </c>
      <c r="F902" s="43">
        <v>90.478212635000574</v>
      </c>
      <c r="G902" s="43">
        <v>90.319455430919646</v>
      </c>
      <c r="H902" s="43">
        <v>90.058991882770414</v>
      </c>
      <c r="I902" s="43">
        <v>89.715094353482385</v>
      </c>
    </row>
    <row r="903" spans="1:9">
      <c r="A903" s="19">
        <v>449.7</v>
      </c>
      <c r="B903" s="43">
        <v>89.642819693719019</v>
      </c>
      <c r="C903" s="43">
        <v>90.135105300300921</v>
      </c>
      <c r="D903" s="43">
        <v>90.422476586128028</v>
      </c>
      <c r="E903" s="43">
        <v>90.534709597184673</v>
      </c>
      <c r="F903" s="43">
        <v>90.499381852314968</v>
      </c>
      <c r="G903" s="43">
        <v>90.341009927847352</v>
      </c>
      <c r="H903" s="43">
        <v>90.080891438082972</v>
      </c>
      <c r="I903" s="43">
        <v>89.737298688904076</v>
      </c>
    </row>
    <row r="904" spans="1:9">
      <c r="A904" s="19">
        <v>449.8</v>
      </c>
      <c r="B904" s="43">
        <v>89.662123886293472</v>
      </c>
      <c r="C904" s="43">
        <v>90.154906713131766</v>
      </c>
      <c r="D904" s="43">
        <v>90.442762662992635</v>
      </c>
      <c r="E904" s="43">
        <v>90.555454019559761</v>
      </c>
      <c r="F904" s="43">
        <v>90.520550202894754</v>
      </c>
      <c r="G904" s="43">
        <v>90.362563624428134</v>
      </c>
      <c r="H904" s="43">
        <v>90.102790281896318</v>
      </c>
      <c r="I904" s="43">
        <v>89.759502419692041</v>
      </c>
    </row>
    <row r="905" spans="1:9">
      <c r="A905" s="19">
        <v>449.9</v>
      </c>
      <c r="B905" s="43">
        <v>89.68142730341637</v>
      </c>
      <c r="C905" s="43">
        <v>90.174707259235475</v>
      </c>
      <c r="D905" s="43">
        <v>90.463047832478992</v>
      </c>
      <c r="E905" s="43">
        <v>90.576197537223436</v>
      </c>
      <c r="F905" s="43">
        <v>90.541717686789269</v>
      </c>
      <c r="G905" s="43">
        <v>90.384116520600031</v>
      </c>
      <c r="H905" s="43">
        <v>90.124688414041344</v>
      </c>
      <c r="I905" s="43">
        <v>89.781705545572123</v>
      </c>
    </row>
    <row r="906" spans="1:9">
      <c r="A906" s="19">
        <v>450</v>
      </c>
      <c r="B906" s="43">
        <v>89.663041747253146</v>
      </c>
      <c r="C906" s="43">
        <v>90.162312961024128</v>
      </c>
      <c r="D906" s="43">
        <v>90.457319216619055</v>
      </c>
      <c r="E906" s="43">
        <v>90.577617482860546</v>
      </c>
      <c r="F906" s="43">
        <v>90.550613862315345</v>
      </c>
      <c r="G906" s="43">
        <v>90.400694105315551</v>
      </c>
      <c r="H906" s="43">
        <v>90.149056410639588</v>
      </c>
      <c r="I906" s="43">
        <v>89.813896588985017</v>
      </c>
    </row>
    <row r="907" spans="1:9">
      <c r="A907" s="19">
        <v>450.1</v>
      </c>
      <c r="B907" s="43">
        <v>89.644548482344732</v>
      </c>
      <c r="C907" s="43">
        <v>90.149802284559286</v>
      </c>
      <c r="D907" s="43">
        <v>90.451467154656058</v>
      </c>
      <c r="E907" s="43">
        <v>90.578908319829651</v>
      </c>
      <c r="F907" s="43">
        <v>90.559376051430661</v>
      </c>
      <c r="G907" s="43">
        <v>90.41713282088466</v>
      </c>
      <c r="H907" s="43">
        <v>90.173279855936556</v>
      </c>
      <c r="I907" s="43">
        <v>89.845935898487625</v>
      </c>
    </row>
    <row r="908" spans="1:9">
      <c r="A908" s="19">
        <v>450.2</v>
      </c>
      <c r="B908" s="43">
        <v>89.66375814885015</v>
      </c>
      <c r="C908" s="43">
        <v>90.169495530549284</v>
      </c>
      <c r="D908" s="43">
        <v>90.471631882133323</v>
      </c>
      <c r="E908" s="43">
        <v>90.599519092793798</v>
      </c>
      <c r="F908" s="43">
        <v>90.580399563248562</v>
      </c>
      <c r="G908" s="43">
        <v>90.438531710464957</v>
      </c>
      <c r="H908" s="43">
        <v>90.195015191662606</v>
      </c>
      <c r="I908" s="43">
        <v>89.867968702071209</v>
      </c>
    </row>
    <row r="909" spans="1:9">
      <c r="A909" s="19">
        <v>450.3</v>
      </c>
      <c r="B909" s="43">
        <v>89.682967045923561</v>
      </c>
      <c r="C909" s="43">
        <v>90.189187916192026</v>
      </c>
      <c r="D909" s="43">
        <v>90.491795706171501</v>
      </c>
      <c r="E909" s="43">
        <v>90.620128960328202</v>
      </c>
      <c r="F909" s="43">
        <v>90.601422201352506</v>
      </c>
      <c r="G909" s="43">
        <v>90.459929785018829</v>
      </c>
      <c r="H909" s="43">
        <v>90.216749792523785</v>
      </c>
      <c r="I909" s="43">
        <v>89.890000868149514</v>
      </c>
    </row>
    <row r="910" spans="1:9">
      <c r="A910" s="19">
        <v>450.4</v>
      </c>
      <c r="B910" s="43">
        <v>89.702175173959688</v>
      </c>
      <c r="C910" s="43">
        <v>90.208879441820358</v>
      </c>
      <c r="D910" s="43">
        <v>90.511958627008312</v>
      </c>
      <c r="E910" s="43">
        <v>90.640737922578637</v>
      </c>
      <c r="F910" s="43">
        <v>90.62244396578842</v>
      </c>
      <c r="G910" s="43">
        <v>90.481327044500915</v>
      </c>
      <c r="H910" s="43">
        <v>90.238483658383927</v>
      </c>
      <c r="I910" s="43">
        <v>89.912032396496926</v>
      </c>
    </row>
    <row r="911" spans="1:9">
      <c r="A911" s="19">
        <v>450.5</v>
      </c>
      <c r="B911" s="43">
        <v>89.721382533381728</v>
      </c>
      <c r="C911" s="43">
        <v>90.228570107763232</v>
      </c>
      <c r="D911" s="43">
        <v>90.532120644884486</v>
      </c>
      <c r="E911" s="43">
        <v>90.661345979699263</v>
      </c>
      <c r="F911" s="43">
        <v>90.643464856610365</v>
      </c>
      <c r="G911" s="43">
        <v>90.502723488868213</v>
      </c>
      <c r="H911" s="43">
        <v>90.260216789105641</v>
      </c>
      <c r="I911" s="43">
        <v>89.93406328688576</v>
      </c>
    </row>
    <row r="912" spans="1:9">
      <c r="A912" s="19">
        <v>450.6</v>
      </c>
      <c r="B912" s="43">
        <v>89.740589124635335</v>
      </c>
      <c r="C912" s="43">
        <v>90.248259914410681</v>
      </c>
      <c r="D912" s="43">
        <v>90.552281760080945</v>
      </c>
      <c r="E912" s="43">
        <v>90.681953131855295</v>
      </c>
      <c r="F912" s="43">
        <v>90.664484873878052</v>
      </c>
      <c r="G912" s="43">
        <v>90.524119118081472</v>
      </c>
      <c r="H912" s="43">
        <v>90.281949184550768</v>
      </c>
      <c r="I912" s="43">
        <v>89.956093539081706</v>
      </c>
    </row>
    <row r="913" spans="1:9">
      <c r="A913" s="19">
        <v>450.7</v>
      </c>
      <c r="B913" s="43">
        <v>89.759794948185004</v>
      </c>
      <c r="C913" s="43">
        <v>90.267948862116413</v>
      </c>
      <c r="D913" s="43">
        <v>90.572441972868859</v>
      </c>
      <c r="E913" s="43">
        <v>90.702559379214989</v>
      </c>
      <c r="F913" s="43">
        <v>90.685504017658246</v>
      </c>
      <c r="G913" s="43">
        <v>90.545513932101017</v>
      </c>
      <c r="H913" s="43">
        <v>90.303680844581692</v>
      </c>
      <c r="I913" s="43">
        <v>89.978123152851794</v>
      </c>
    </row>
    <row r="914" spans="1:9">
      <c r="A914" s="19">
        <v>450.8</v>
      </c>
      <c r="B914" s="43">
        <v>89.779000004393168</v>
      </c>
      <c r="C914" s="43">
        <v>90.287636951185533</v>
      </c>
      <c r="D914" s="43">
        <v>90.5926012834652</v>
      </c>
      <c r="E914" s="43">
        <v>90.723164721908262</v>
      </c>
      <c r="F914" s="43">
        <v>90.706522287989543</v>
      </c>
      <c r="G914" s="43">
        <v>90.566907930878926</v>
      </c>
      <c r="H914" s="43">
        <v>90.325411769065994</v>
      </c>
      <c r="I914" s="43">
        <v>90.000152127977827</v>
      </c>
    </row>
    <row r="915" spans="1:9">
      <c r="A915" s="19">
        <v>450.9</v>
      </c>
      <c r="B915" s="43">
        <v>89.798204293676122</v>
      </c>
      <c r="C915" s="43">
        <v>90.307324181975019</v>
      </c>
      <c r="D915" s="43">
        <v>90.612759692124797</v>
      </c>
      <c r="E915" s="43">
        <v>90.743769160093876</v>
      </c>
      <c r="F915" s="43">
        <v>90.727539684931571</v>
      </c>
      <c r="G915" s="43">
        <v>90.588301114375923</v>
      </c>
      <c r="H915" s="43">
        <v>90.347141957865716</v>
      </c>
      <c r="I915" s="43">
        <v>90.022180464234054</v>
      </c>
    </row>
    <row r="916" spans="1:9">
      <c r="A916" s="19">
        <v>451</v>
      </c>
      <c r="B916" s="43">
        <v>89.817407816529681</v>
      </c>
      <c r="C916" s="43">
        <v>90.327010554864444</v>
      </c>
      <c r="D916" s="43">
        <v>90.632917199135761</v>
      </c>
      <c r="E916" s="43">
        <v>90.764372693946797</v>
      </c>
      <c r="F916" s="43">
        <v>90.748556208550099</v>
      </c>
      <c r="G916" s="43">
        <v>90.609693482554945</v>
      </c>
      <c r="H916" s="43">
        <v>90.368871410845088</v>
      </c>
      <c r="I916" s="43">
        <v>90.044208161381192</v>
      </c>
    </row>
    <row r="917" spans="1:9">
      <c r="A917" s="19">
        <v>451.1</v>
      </c>
      <c r="B917" s="43">
        <v>89.836610573351038</v>
      </c>
      <c r="C917" s="43">
        <v>90.346696070205894</v>
      </c>
      <c r="D917" s="43">
        <v>90.65307380474988</v>
      </c>
      <c r="E917" s="43">
        <v>90.784975323621552</v>
      </c>
      <c r="F917" s="43">
        <v>90.769571858902992</v>
      </c>
      <c r="G917" s="43">
        <v>90.631085035375179</v>
      </c>
      <c r="H917" s="43">
        <v>90.390600127869419</v>
      </c>
      <c r="I917" s="43">
        <v>90.066235219195221</v>
      </c>
    </row>
    <row r="918" spans="1:9">
      <c r="A918" s="19">
        <v>451.2</v>
      </c>
      <c r="B918" s="43">
        <v>89.855812564556231</v>
      </c>
      <c r="C918" s="43">
        <v>90.366380728320991</v>
      </c>
      <c r="D918" s="43">
        <v>90.673229509198791</v>
      </c>
      <c r="E918" s="43">
        <v>90.805577049262752</v>
      </c>
      <c r="F918" s="43">
        <v>90.790586636034277</v>
      </c>
      <c r="G918" s="43">
        <v>90.652475772793821</v>
      </c>
      <c r="H918" s="43">
        <v>90.412328108804445</v>
      </c>
      <c r="I918" s="43">
        <v>90.088261637454963</v>
      </c>
    </row>
    <row r="919" spans="1:9">
      <c r="A919" s="19">
        <v>451.3</v>
      </c>
      <c r="B919" s="43">
        <v>89.875013790528641</v>
      </c>
      <c r="C919" s="43">
        <v>90.386064529536554</v>
      </c>
      <c r="D919" s="43">
        <v>90.693384312740164</v>
      </c>
      <c r="E919" s="43">
        <v>90.826177871023162</v>
      </c>
      <c r="F919" s="43">
        <v>90.811600540004264</v>
      </c>
      <c r="G919" s="43">
        <v>90.673865694767841</v>
      </c>
      <c r="H919" s="43">
        <v>90.43405535351684</v>
      </c>
      <c r="I919" s="43">
        <v>90.110287415936284</v>
      </c>
    </row>
    <row r="920" spans="1:9">
      <c r="A920" s="19">
        <v>451.4</v>
      </c>
      <c r="B920" s="43">
        <v>89.894214251785371</v>
      </c>
      <c r="C920" s="43">
        <v>90.405747474273511</v>
      </c>
      <c r="D920" s="43">
        <v>90.713538215671832</v>
      </c>
      <c r="E920" s="43">
        <v>90.846777789086076</v>
      </c>
      <c r="F920" s="43">
        <v>90.832613570887162</v>
      </c>
      <c r="G920" s="43">
        <v>90.695254801267623</v>
      </c>
      <c r="H920" s="43">
        <v>90.455781861869895</v>
      </c>
      <c r="I920" s="43">
        <v>90.13231255440283</v>
      </c>
    </row>
    <row r="921" spans="1:9">
      <c r="A921" s="19">
        <v>451.5</v>
      </c>
      <c r="B921" s="43">
        <v>89.913413948681551</v>
      </c>
      <c r="C921" s="43">
        <v>90.425429562821904</v>
      </c>
      <c r="D921" s="43">
        <v>90.733691218204626</v>
      </c>
      <c r="E921" s="43">
        <v>90.867376803580356</v>
      </c>
      <c r="F921" s="43">
        <v>90.85362572872009</v>
      </c>
      <c r="G921" s="43">
        <v>90.716643092244681</v>
      </c>
      <c r="H921" s="43">
        <v>90.47750763373304</v>
      </c>
      <c r="I921" s="43">
        <v>90.154337052637402</v>
      </c>
    </row>
    <row r="922" spans="1:9">
      <c r="A922" s="19">
        <v>451.6</v>
      </c>
      <c r="B922" s="43">
        <v>89.932612881648168</v>
      </c>
      <c r="C922" s="43">
        <v>90.445110795534049</v>
      </c>
      <c r="D922" s="43">
        <v>90.753843320589795</v>
      </c>
      <c r="E922" s="43">
        <v>90.887974914670508</v>
      </c>
      <c r="F922" s="43">
        <v>90.874637013567536</v>
      </c>
      <c r="G922" s="43">
        <v>90.738030567661582</v>
      </c>
      <c r="H922" s="43">
        <v>90.499232668972411</v>
      </c>
      <c r="I922" s="43">
        <v>90.17636091041706</v>
      </c>
    </row>
    <row r="923" spans="1:9">
      <c r="A923" s="19">
        <v>451.7</v>
      </c>
      <c r="B923" s="43">
        <v>89.951811051139202</v>
      </c>
      <c r="C923" s="43">
        <v>90.464791172792872</v>
      </c>
      <c r="D923" s="43">
        <v>90.77399452313901</v>
      </c>
      <c r="E923" s="43">
        <v>90.908572122529108</v>
      </c>
      <c r="F923" s="43">
        <v>90.895647425500783</v>
      </c>
      <c r="G923" s="43">
        <v>90.759417227485557</v>
      </c>
      <c r="H923" s="43">
        <v>90.5209569674536</v>
      </c>
      <c r="I923" s="43">
        <v>90.198384127507921</v>
      </c>
    </row>
    <row r="924" spans="1:9">
      <c r="A924" s="19">
        <v>451.8</v>
      </c>
      <c r="B924" s="43">
        <v>89.971008457593399</v>
      </c>
      <c r="C924" s="43">
        <v>90.484470694947532</v>
      </c>
      <c r="D924" s="43">
        <v>90.794144826072909</v>
      </c>
      <c r="E924" s="43">
        <v>90.929168427315119</v>
      </c>
      <c r="F924" s="43">
        <v>90.916656964570365</v>
      </c>
      <c r="G924" s="43">
        <v>90.780803071676985</v>
      </c>
      <c r="H924" s="43">
        <v>90.542680529045015</v>
      </c>
      <c r="I924" s="43">
        <v>90.22040670369006</v>
      </c>
    </row>
    <row r="925" spans="1:9">
      <c r="A925" s="19">
        <v>451.9</v>
      </c>
      <c r="B925" s="43">
        <v>89.990205101407355</v>
      </c>
      <c r="C925" s="43">
        <v>90.504149362319424</v>
      </c>
      <c r="D925" s="43">
        <v>90.814294229646208</v>
      </c>
      <c r="E925" s="43">
        <v>90.949763829167068</v>
      </c>
      <c r="F925" s="43">
        <v>90.937665630831873</v>
      </c>
      <c r="G925" s="43">
        <v>90.802188100192296</v>
      </c>
      <c r="H925" s="43">
        <v>90.564403353615575</v>
      </c>
      <c r="I925" s="43">
        <v>90.24242863874457</v>
      </c>
    </row>
    <row r="926" spans="1:9">
      <c r="A926" s="19">
        <v>452</v>
      </c>
      <c r="B926" s="43">
        <v>90.009400982983067</v>
      </c>
      <c r="C926" s="43">
        <v>90.523827175257139</v>
      </c>
      <c r="D926" s="43">
        <v>90.834442734114788</v>
      </c>
      <c r="E926" s="43">
        <v>90.970358328251052</v>
      </c>
      <c r="F926" s="43">
        <v>90.958673424340503</v>
      </c>
      <c r="G926" s="43">
        <v>90.823572312996873</v>
      </c>
      <c r="H926" s="43">
        <v>90.586125441033602</v>
      </c>
      <c r="I926" s="43">
        <v>90.264449932448287</v>
      </c>
    </row>
    <row r="927" spans="1:9">
      <c r="A927" s="19">
        <v>452.1</v>
      </c>
      <c r="B927" s="43">
        <v>90.028596102798929</v>
      </c>
      <c r="C927" s="43">
        <v>90.543504134142324</v>
      </c>
      <c r="D927" s="43">
        <v>90.854590339757266</v>
      </c>
      <c r="E927" s="43">
        <v>90.990951924733793</v>
      </c>
      <c r="F927" s="43">
        <v>90.979680345170777</v>
      </c>
      <c r="G927" s="43">
        <v>90.844955710057121</v>
      </c>
      <c r="H927" s="43">
        <v>90.607846791166509</v>
      </c>
      <c r="I927" s="43">
        <v>90.286470584569571</v>
      </c>
    </row>
    <row r="928" spans="1:9">
      <c r="A928" s="19">
        <v>452.2</v>
      </c>
      <c r="B928" s="43">
        <v>90.047790461271177</v>
      </c>
      <c r="C928" s="43">
        <v>90.563180239310327</v>
      </c>
      <c r="D928" s="43">
        <v>90.874737046826709</v>
      </c>
      <c r="E928" s="43">
        <v>91.011544618776384</v>
      </c>
      <c r="F928" s="43">
        <v>91.000686393377606</v>
      </c>
      <c r="G928" s="43">
        <v>90.866338291333363</v>
      </c>
      <c r="H928" s="43">
        <v>90.629567403883783</v>
      </c>
      <c r="I928" s="43">
        <v>90.30849059489077</v>
      </c>
    </row>
    <row r="929" spans="1:9">
      <c r="A929" s="19">
        <v>452.3</v>
      </c>
      <c r="B929" s="43">
        <v>90.066984058780434</v>
      </c>
      <c r="C929" s="43">
        <v>90.582855491096979</v>
      </c>
      <c r="D929" s="43">
        <v>90.894882855554528</v>
      </c>
      <c r="E929" s="43">
        <v>91.032136410524373</v>
      </c>
      <c r="F929" s="43">
        <v>91.021691569014763</v>
      </c>
      <c r="G929" s="43">
        <v>90.887720056786577</v>
      </c>
      <c r="H929" s="43">
        <v>90.651287279056049</v>
      </c>
      <c r="I929" s="43">
        <v>90.330509963192839</v>
      </c>
    </row>
    <row r="930" spans="1:9">
      <c r="A930" s="19">
        <v>452.4</v>
      </c>
      <c r="B930" s="43">
        <v>90.086176895783353</v>
      </c>
      <c r="C930" s="43">
        <v>90.602529889850842</v>
      </c>
      <c r="D930" s="43">
        <v>90.915027766221357</v>
      </c>
      <c r="E930" s="43">
        <v>91.052727300142124</v>
      </c>
      <c r="F930" s="43">
        <v>91.042695872143781</v>
      </c>
      <c r="G930" s="43">
        <v>90.90910100638294</v>
      </c>
      <c r="H930" s="43">
        <v>90.67300641655234</v>
      </c>
      <c r="I930" s="43">
        <v>90.352528689255792</v>
      </c>
    </row>
    <row r="931" spans="1:9">
      <c r="A931" s="19">
        <v>452.5</v>
      </c>
      <c r="B931" s="43">
        <v>90.105368972722374</v>
      </c>
      <c r="C931" s="43">
        <v>90.622203435946545</v>
      </c>
      <c r="D931" s="43">
        <v>90.935171779079695</v>
      </c>
      <c r="E931" s="43">
        <v>91.073317287793913</v>
      </c>
      <c r="F931" s="43">
        <v>91.06369930282824</v>
      </c>
      <c r="G931" s="43">
        <v>90.930481140088489</v>
      </c>
      <c r="H931" s="43">
        <v>90.694724816242655</v>
      </c>
      <c r="I931" s="43">
        <v>90.37454677285271</v>
      </c>
    </row>
    <row r="932" spans="1:9">
      <c r="A932" s="19">
        <v>452.6</v>
      </c>
      <c r="B932" s="43">
        <v>90.124560290027858</v>
      </c>
      <c r="C932" s="43">
        <v>90.641876129752205</v>
      </c>
      <c r="D932" s="43">
        <v>90.955314894410918</v>
      </c>
      <c r="E932" s="43">
        <v>91.09390637365405</v>
      </c>
      <c r="F932" s="43">
        <v>91.084701861142634</v>
      </c>
      <c r="G932" s="43">
        <v>90.951860457868378</v>
      </c>
      <c r="H932" s="43">
        <v>90.716442477996793</v>
      </c>
      <c r="I932" s="43">
        <v>90.396564213758467</v>
      </c>
    </row>
    <row r="933" spans="1:9">
      <c r="A933" s="19">
        <v>452.7</v>
      </c>
      <c r="B933" s="43">
        <v>90.143750848064059</v>
      </c>
      <c r="C933" s="43">
        <v>90.661547971561419</v>
      </c>
      <c r="D933" s="43">
        <v>90.975457112437795</v>
      </c>
      <c r="E933" s="43">
        <v>91.114494557848701</v>
      </c>
      <c r="F933" s="43">
        <v>91.105703547125671</v>
      </c>
      <c r="G933" s="43">
        <v>90.973238959679833</v>
      </c>
      <c r="H933" s="43">
        <v>90.738159401687483</v>
      </c>
      <c r="I933" s="43">
        <v>90.418581011765724</v>
      </c>
    </row>
    <row r="934" spans="1:9">
      <c r="A934" s="19">
        <v>452.8</v>
      </c>
      <c r="B934" s="43">
        <v>90.162940647306556</v>
      </c>
      <c r="C934" s="43">
        <v>90.681218961750204</v>
      </c>
      <c r="D934" s="43">
        <v>90.99559843343485</v>
      </c>
      <c r="E934" s="43">
        <v>91.13508184055874</v>
      </c>
      <c r="F934" s="43">
        <v>91.126704360848606</v>
      </c>
      <c r="G934" s="43">
        <v>90.994616645493721</v>
      </c>
      <c r="H934" s="43">
        <v>90.759875587185775</v>
      </c>
      <c r="I934" s="43">
        <v>90.440597166648303</v>
      </c>
    </row>
    <row r="935" spans="1:9">
      <c r="A935" s="19">
        <v>452.9</v>
      </c>
      <c r="B935" s="43">
        <v>90.182129688212257</v>
      </c>
      <c r="C935" s="43">
        <v>90.700889100693843</v>
      </c>
      <c r="D935" s="43">
        <v>91.015738857671266</v>
      </c>
      <c r="E935" s="43">
        <v>91.155668221958422</v>
      </c>
      <c r="F935" s="43">
        <v>91.147704302381442</v>
      </c>
      <c r="G935" s="43">
        <v>91.015993515278581</v>
      </c>
      <c r="H935" s="43">
        <v>90.781591034361384</v>
      </c>
      <c r="I935" s="43">
        <v>90.46261267818133</v>
      </c>
    </row>
    <row r="936" spans="1:9">
      <c r="A936" s="19">
        <v>453</v>
      </c>
      <c r="B936" s="43">
        <v>90.201317971132937</v>
      </c>
      <c r="C936" s="43">
        <v>90.720558388717194</v>
      </c>
      <c r="D936" s="43">
        <v>91.03587838538968</v>
      </c>
      <c r="E936" s="43">
        <v>91.176253702180844</v>
      </c>
      <c r="F936" s="43">
        <v>91.168703371774058</v>
      </c>
      <c r="G936" s="43">
        <v>91.037369568994308</v>
      </c>
      <c r="H936" s="43">
        <v>90.803305743088799</v>
      </c>
      <c r="I936" s="43">
        <v>90.484627546156474</v>
      </c>
    </row>
    <row r="937" spans="1:9">
      <c r="A937" s="19">
        <v>453.1</v>
      </c>
      <c r="B937" s="43">
        <v>90.220505496517774</v>
      </c>
      <c r="C937" s="43">
        <v>90.740226826158789</v>
      </c>
      <c r="D937" s="43">
        <v>91.056017016846056</v>
      </c>
      <c r="E937" s="43">
        <v>91.196838281401767</v>
      </c>
      <c r="F937" s="43">
        <v>91.189701569094325</v>
      </c>
      <c r="G937" s="43">
        <v>91.058744806606995</v>
      </c>
      <c r="H937" s="43">
        <v>90.825019713238817</v>
      </c>
      <c r="I937" s="43">
        <v>90.506641770347585</v>
      </c>
    </row>
    <row r="938" spans="1:9">
      <c r="A938" s="19">
        <v>453.2</v>
      </c>
      <c r="B938" s="43">
        <v>90.2396922648241</v>
      </c>
      <c r="C938" s="43">
        <v>90.759894413396722</v>
      </c>
      <c r="D938" s="43">
        <v>91.076154752320633</v>
      </c>
      <c r="E938" s="43">
        <v>91.217421959779159</v>
      </c>
      <c r="F938" s="43">
        <v>91.210698894404288</v>
      </c>
      <c r="G938" s="43">
        <v>91.080119228086971</v>
      </c>
      <c r="H938" s="43">
        <v>90.846732944685186</v>
      </c>
      <c r="I938" s="43">
        <v>90.528655350538912</v>
      </c>
    </row>
    <row r="939" spans="1:9">
      <c r="A939" s="19">
        <v>453.3</v>
      </c>
      <c r="B939" s="43">
        <v>90.258878276479862</v>
      </c>
      <c r="C939" s="43">
        <v>90.779561150794933</v>
      </c>
      <c r="D939" s="43">
        <v>91.096291592076767</v>
      </c>
      <c r="E939" s="43">
        <v>91.238004737493242</v>
      </c>
      <c r="F939" s="43">
        <v>91.231695347775712</v>
      </c>
      <c r="G939" s="43">
        <v>91.101492833400556</v>
      </c>
      <c r="H939" s="43">
        <v>90.868445437299897</v>
      </c>
      <c r="I939" s="43">
        <v>90.55066828650763</v>
      </c>
    </row>
    <row r="940" spans="1:9">
      <c r="A940" s="19">
        <v>453.4</v>
      </c>
      <c r="B940" s="43">
        <v>90.278063531857782</v>
      </c>
      <c r="C940" s="43">
        <v>90.799227038657449</v>
      </c>
      <c r="D940" s="43">
        <v>91.116427536340723</v>
      </c>
      <c r="E940" s="43">
        <v>91.258586614674726</v>
      </c>
      <c r="F940" s="43">
        <v>91.252690929257369</v>
      </c>
      <c r="G940" s="43">
        <v>91.122865622511171</v>
      </c>
      <c r="H940" s="43">
        <v>90.890157190957893</v>
      </c>
      <c r="I940" s="43">
        <v>90.572680578046743</v>
      </c>
    </row>
    <row r="941" spans="1:9">
      <c r="A941" s="19">
        <v>453.5</v>
      </c>
      <c r="B941" s="43">
        <v>90.2972480314086</v>
      </c>
      <c r="C941" s="43">
        <v>90.818892077356111</v>
      </c>
      <c r="D941" s="43">
        <v>91.136562585390436</v>
      </c>
      <c r="E941" s="43">
        <v>91.279167591497725</v>
      </c>
      <c r="F941" s="43">
        <v>91.273685638918181</v>
      </c>
      <c r="G941" s="43">
        <v>91.144237595387409</v>
      </c>
      <c r="H941" s="43">
        <v>90.9118682055325</v>
      </c>
      <c r="I941" s="43">
        <v>90.594692224933965</v>
      </c>
    </row>
    <row r="942" spans="1:9">
      <c r="A942" s="19">
        <v>453.6</v>
      </c>
      <c r="B942" s="43">
        <v>90.316431775592264</v>
      </c>
      <c r="C942" s="43">
        <v>90.838556267269922</v>
      </c>
      <c r="D942" s="43">
        <v>91.156696739496994</v>
      </c>
      <c r="E942" s="43">
        <v>91.299747668138053</v>
      </c>
      <c r="F942" s="43">
        <v>91.294679476827696</v>
      </c>
      <c r="G942" s="43">
        <v>91.165608751999514</v>
      </c>
      <c r="H942" s="43">
        <v>90.933578480897609</v>
      </c>
      <c r="I942" s="43">
        <v>90.616703226947948</v>
      </c>
    </row>
    <row r="943" spans="1:9">
      <c r="A943" s="19">
        <v>453.7</v>
      </c>
      <c r="B943" s="43">
        <v>90.335614764804546</v>
      </c>
      <c r="C943" s="43">
        <v>90.858219608728092</v>
      </c>
      <c r="D943" s="43">
        <v>91.176829998917469</v>
      </c>
      <c r="E943" s="43">
        <v>91.320326844743619</v>
      </c>
      <c r="F943" s="43">
        <v>91.315672443048612</v>
      </c>
      <c r="G943" s="43">
        <v>91.18697909231463</v>
      </c>
      <c r="H943" s="43">
        <v>90.955288016928165</v>
      </c>
      <c r="I943" s="43">
        <v>90.63871358387695</v>
      </c>
    </row>
    <row r="944" spans="1:9">
      <c r="A944" s="19">
        <v>453.8</v>
      </c>
      <c r="B944" s="43">
        <v>90.354796999450627</v>
      </c>
      <c r="C944" s="43">
        <v>90.877882102053263</v>
      </c>
      <c r="D944" s="43">
        <v>91.196962363892254</v>
      </c>
      <c r="E944" s="43">
        <v>91.340905121480461</v>
      </c>
      <c r="F944" s="43">
        <v>91.336664537633624</v>
      </c>
      <c r="G944" s="43">
        <v>91.208348616296433</v>
      </c>
      <c r="H944" s="43">
        <v>90.976996813499341</v>
      </c>
      <c r="I944" s="43">
        <v>90.660723295510849</v>
      </c>
    </row>
    <row r="945" spans="1:9">
      <c r="A945" s="19">
        <v>453.9</v>
      </c>
      <c r="B945" s="43">
        <v>90.373978479993013</v>
      </c>
      <c r="C945" s="43">
        <v>90.897543747652406</v>
      </c>
      <c r="D945" s="43">
        <v>91.217093834707214</v>
      </c>
      <c r="E945" s="43">
        <v>91.36148249851442</v>
      </c>
      <c r="F945" s="43">
        <v>91.357655760664443</v>
      </c>
      <c r="G945" s="43">
        <v>91.229717323920539</v>
      </c>
      <c r="H945" s="43">
        <v>90.998704870486023</v>
      </c>
      <c r="I945" s="43">
        <v>90.682732361624574</v>
      </c>
    </row>
    <row r="946" spans="1:9">
      <c r="A946" s="19">
        <v>454</v>
      </c>
      <c r="B946" s="43">
        <v>90.39315920687352</v>
      </c>
      <c r="C946" s="43">
        <v>90.917204545858226</v>
      </c>
      <c r="D946" s="43">
        <v>91.237224411618257</v>
      </c>
      <c r="E946" s="43">
        <v>91.382058976011081</v>
      </c>
      <c r="F946" s="43">
        <v>91.378646112204422</v>
      </c>
      <c r="G946" s="43">
        <v>91.251085215154518</v>
      </c>
      <c r="H946" s="43">
        <v>91.020412187763441</v>
      </c>
      <c r="I946" s="43">
        <v>90.704740782004279</v>
      </c>
    </row>
    <row r="947" spans="1:9">
      <c r="A947" s="19">
        <v>454.1</v>
      </c>
      <c r="B947" s="43">
        <v>90.412339180457309</v>
      </c>
      <c r="C947" s="43">
        <v>90.936864497003995</v>
      </c>
      <c r="D947" s="43">
        <v>91.257354094868219</v>
      </c>
      <c r="E947" s="43">
        <v>91.402634554128241</v>
      </c>
      <c r="F947" s="43">
        <v>91.399635592305771</v>
      </c>
      <c r="G947" s="43">
        <v>91.272452289963354</v>
      </c>
      <c r="H947" s="43">
        <v>91.042118765209125</v>
      </c>
      <c r="I947" s="43">
        <v>90.726748556440782</v>
      </c>
    </row>
    <row r="948" spans="1:9">
      <c r="A948" s="19">
        <v>454.2</v>
      </c>
      <c r="B948" s="43">
        <v>90.431518401182956</v>
      </c>
      <c r="C948" s="43">
        <v>90.95652360143248</v>
      </c>
      <c r="D948" s="43">
        <v>91.277482884723014</v>
      </c>
      <c r="E948" s="43">
        <v>91.423209233025716</v>
      </c>
      <c r="F948" s="43">
        <v>91.420624201035992</v>
      </c>
      <c r="G948" s="43">
        <v>91.293818548316182</v>
      </c>
      <c r="H948" s="43">
        <v>91.063824602699015</v>
      </c>
      <c r="I948" s="43">
        <v>90.748755684720862</v>
      </c>
    </row>
    <row r="949" spans="1:9">
      <c r="A949" s="19">
        <v>454.3</v>
      </c>
      <c r="B949" s="43">
        <v>90.450696869518936</v>
      </c>
      <c r="C949" s="43">
        <v>90.976181859542777</v>
      </c>
      <c r="D949" s="43">
        <v>91.297610781463675</v>
      </c>
      <c r="E949" s="43">
        <v>91.443783012873666</v>
      </c>
      <c r="F949" s="43">
        <v>91.441611938475234</v>
      </c>
      <c r="G949" s="43">
        <v>91.315183990189695</v>
      </c>
      <c r="H949" s="43">
        <v>91.085529700109333</v>
      </c>
      <c r="I949" s="43">
        <v>90.770762166624451</v>
      </c>
    </row>
    <row r="950" spans="1:9">
      <c r="A950" s="19">
        <v>454.4</v>
      </c>
      <c r="B950" s="43">
        <v>90.469874585883986</v>
      </c>
      <c r="C950" s="43">
        <v>90.995839271661822</v>
      </c>
      <c r="D950" s="43">
        <v>91.317737785342331</v>
      </c>
      <c r="E950" s="43">
        <v>91.464355893840406</v>
      </c>
      <c r="F950" s="43">
        <v>91.462598804680766</v>
      </c>
      <c r="G950" s="43">
        <v>91.336548615551294</v>
      </c>
      <c r="H950" s="43">
        <v>91.107234057317527</v>
      </c>
      <c r="I950" s="43">
        <v>90.792768001941596</v>
      </c>
    </row>
    <row r="951" spans="1:9">
      <c r="A951" s="19">
        <v>454.5</v>
      </c>
      <c r="B951" s="43">
        <v>90.489051550686014</v>
      </c>
      <c r="C951" s="43">
        <v>91.015495838137042</v>
      </c>
      <c r="D951" s="43">
        <v>91.337863896620007</v>
      </c>
      <c r="E951" s="43">
        <v>91.484927876095128</v>
      </c>
      <c r="F951" s="43">
        <v>91.483584799719665</v>
      </c>
      <c r="G951" s="43">
        <v>91.357912424369715</v>
      </c>
      <c r="H951" s="43">
        <v>91.128937674201012</v>
      </c>
      <c r="I951" s="43">
        <v>90.814773190457345</v>
      </c>
    </row>
    <row r="952" spans="1:9">
      <c r="A952" s="19">
        <v>454.6</v>
      </c>
      <c r="B952" s="43">
        <v>90.508227764308572</v>
      </c>
      <c r="C952" s="43">
        <v>91.035151559310691</v>
      </c>
      <c r="D952" s="43">
        <v>91.357989115542523</v>
      </c>
      <c r="E952" s="43">
        <v>91.505498959771472</v>
      </c>
      <c r="F952" s="43">
        <v>91.504569923652895</v>
      </c>
      <c r="G952" s="43">
        <v>91.37927541661503</v>
      </c>
      <c r="H952" s="43">
        <v>91.150640550638514</v>
      </c>
      <c r="I952" s="43">
        <v>90.836777731965554</v>
      </c>
    </row>
    <row r="953" spans="1:9">
      <c r="A953" s="19">
        <v>454.7</v>
      </c>
      <c r="B953" s="43">
        <v>90.52740322723696</v>
      </c>
      <c r="C953" s="43">
        <v>91.054806435542787</v>
      </c>
      <c r="D953" s="43">
        <v>91.378113442379913</v>
      </c>
      <c r="E953" s="43">
        <v>91.526069145060944</v>
      </c>
      <c r="F953" s="43">
        <v>91.525554176553925</v>
      </c>
      <c r="G953" s="43">
        <v>91.400637592259017</v>
      </c>
      <c r="H953" s="43">
        <v>91.172342686507534</v>
      </c>
      <c r="I953" s="43">
        <v>90.85878162624897</v>
      </c>
    </row>
    <row r="954" spans="1:9">
      <c r="A954" s="19">
        <v>454.8</v>
      </c>
      <c r="B954" s="43">
        <v>90.546577939933485</v>
      </c>
      <c r="C954" s="43">
        <v>91.07446046723831</v>
      </c>
      <c r="D954" s="43">
        <v>91.398236877442031</v>
      </c>
      <c r="E954" s="43">
        <v>91.546638432147375</v>
      </c>
      <c r="F954" s="43">
        <v>91.546537558501058</v>
      </c>
      <c r="G954" s="43">
        <v>91.421998951281438</v>
      </c>
      <c r="H954" s="43">
        <v>91.194044081686144</v>
      </c>
      <c r="I954" s="43">
        <v>90.880784873089453</v>
      </c>
    </row>
    <row r="955" spans="1:9">
      <c r="A955" s="19">
        <v>454.9</v>
      </c>
      <c r="B955" s="43">
        <v>90.565751902730739</v>
      </c>
      <c r="C955" s="43">
        <v>91.094113654664397</v>
      </c>
      <c r="D955" s="43">
        <v>91.418359420916858</v>
      </c>
      <c r="E955" s="43">
        <v>91.567206821150705</v>
      </c>
      <c r="F955" s="43">
        <v>91.567520069537636</v>
      </c>
      <c r="G955" s="43">
        <v>91.443359493640173</v>
      </c>
      <c r="H955" s="43">
        <v>91.215744736054688</v>
      </c>
      <c r="I955" s="43">
        <v>90.902787472291948</v>
      </c>
    </row>
    <row r="956" spans="1:9">
      <c r="A956" s="19">
        <v>455</v>
      </c>
      <c r="B956" s="43">
        <v>90.584925116074686</v>
      </c>
      <c r="C956" s="43">
        <v>91.113765998208379</v>
      </c>
      <c r="D956" s="43">
        <v>91.438481073085853</v>
      </c>
      <c r="E956" s="43">
        <v>91.587774312253487</v>
      </c>
      <c r="F956" s="43">
        <v>91.588501709738921</v>
      </c>
      <c r="G956" s="43">
        <v>91.464719219312968</v>
      </c>
      <c r="H956" s="43">
        <v>91.237444649491863</v>
      </c>
      <c r="I956" s="43">
        <v>90.924789423634479</v>
      </c>
    </row>
    <row r="957" spans="1:9">
      <c r="A957" s="19">
        <v>455.1</v>
      </c>
      <c r="B957" s="43">
        <v>90.604097580472626</v>
      </c>
      <c r="C957" s="43">
        <v>91.133417498269125</v>
      </c>
      <c r="D957" s="43">
        <v>91.458601834266886</v>
      </c>
      <c r="E957" s="43">
        <v>91.608340905651346</v>
      </c>
      <c r="F957" s="43">
        <v>91.609482479193986</v>
      </c>
      <c r="G957" s="43">
        <v>91.486078128281207</v>
      </c>
      <c r="H957" s="43">
        <v>91.259143821876819</v>
      </c>
      <c r="I957" s="43">
        <v>90.946790726902663</v>
      </c>
    </row>
    <row r="958" spans="1:9">
      <c r="A958" s="19">
        <v>455.2</v>
      </c>
      <c r="B958" s="43">
        <v>90.62326929626542</v>
      </c>
      <c r="C958" s="43">
        <v>91.153068155136765</v>
      </c>
      <c r="D958" s="43">
        <v>91.478721704660757</v>
      </c>
      <c r="E958" s="43">
        <v>91.628906601475705</v>
      </c>
      <c r="F958" s="43">
        <v>91.630462377951631</v>
      </c>
      <c r="G958" s="43">
        <v>91.507436220506349</v>
      </c>
      <c r="H958" s="43">
        <v>91.280842253090356</v>
      </c>
      <c r="I958" s="43">
        <v>90.968791381896267</v>
      </c>
    </row>
    <row r="959" spans="1:9">
      <c r="A959" s="19">
        <v>455.3</v>
      </c>
      <c r="B959" s="43">
        <v>90.642440263870725</v>
      </c>
      <c r="C959" s="43">
        <v>91.172717969156395</v>
      </c>
      <c r="D959" s="43">
        <v>91.498840684537782</v>
      </c>
      <c r="E959" s="43">
        <v>91.649471399878053</v>
      </c>
      <c r="F959" s="43">
        <v>91.651441406069239</v>
      </c>
      <c r="G959" s="43">
        <v>91.528793495959803</v>
      </c>
      <c r="H959" s="43">
        <v>91.302539943013215</v>
      </c>
      <c r="I959" s="43">
        <v>90.990791388406421</v>
      </c>
    </row>
    <row r="960" spans="1:9">
      <c r="A960" s="19">
        <v>455.4</v>
      </c>
      <c r="B960" s="43">
        <v>90.661610483780436</v>
      </c>
      <c r="C960" s="43">
        <v>91.192366940746268</v>
      </c>
      <c r="D960" s="43">
        <v>91.518958774192868</v>
      </c>
      <c r="E960" s="43">
        <v>91.670035301075046</v>
      </c>
      <c r="F960" s="43">
        <v>91.672419563642478</v>
      </c>
      <c r="G960" s="43">
        <v>91.550149954627557</v>
      </c>
      <c r="H960" s="43">
        <v>91.32423689152526</v>
      </c>
      <c r="I960" s="43">
        <v>91.012790746212971</v>
      </c>
    </row>
    <row r="961" spans="1:9">
      <c r="A961" s="19">
        <v>455.5</v>
      </c>
      <c r="B961" s="43">
        <v>90.680779956416558</v>
      </c>
      <c r="C961" s="43">
        <v>91.212015070244007</v>
      </c>
      <c r="D961" s="43">
        <v>91.539075973876891</v>
      </c>
      <c r="E961" s="43">
        <v>91.690598305209477</v>
      </c>
      <c r="F961" s="43">
        <v>91.693396850737543</v>
      </c>
      <c r="G961" s="43">
        <v>91.571505596477152</v>
      </c>
      <c r="H961" s="43">
        <v>91.345933098508056</v>
      </c>
      <c r="I961" s="43">
        <v>91.03478945511344</v>
      </c>
    </row>
    <row r="962" spans="1:9">
      <c r="A962" s="19">
        <v>455.6</v>
      </c>
      <c r="B962" s="43">
        <v>90.699948682124102</v>
      </c>
      <c r="C962" s="43">
        <v>91.231662357942753</v>
      </c>
      <c r="D962" s="43">
        <v>91.55919228382993</v>
      </c>
      <c r="E962" s="43">
        <v>91.711160412432093</v>
      </c>
      <c r="F962" s="43">
        <v>91.714373267396752</v>
      </c>
      <c r="G962" s="43">
        <v>91.592860421475677</v>
      </c>
      <c r="H962" s="43">
        <v>91.367628563843425</v>
      </c>
      <c r="I962" s="43">
        <v>91.056787514905153</v>
      </c>
    </row>
    <row r="963" spans="1:9">
      <c r="A963" s="19">
        <v>455.7</v>
      </c>
      <c r="B963" s="43">
        <v>90.719116661388824</v>
      </c>
      <c r="C963" s="43">
        <v>91.251308804239784</v>
      </c>
      <c r="D963" s="43">
        <v>91.579307704332962</v>
      </c>
      <c r="E963" s="43">
        <v>91.731721622922748</v>
      </c>
      <c r="F963" s="43">
        <v>91.735348813713046</v>
      </c>
      <c r="G963" s="43">
        <v>91.614214429605624</v>
      </c>
      <c r="H963" s="43">
        <v>91.389323287412765</v>
      </c>
      <c r="I963" s="43">
        <v>91.078784925370826</v>
      </c>
    </row>
    <row r="964" spans="1:9">
      <c r="A964" s="19">
        <v>455.8</v>
      </c>
      <c r="B964" s="43">
        <v>90.738283894648987</v>
      </c>
      <c r="C964" s="43">
        <v>91.270954409489775</v>
      </c>
      <c r="D964" s="43">
        <v>91.599422235659688</v>
      </c>
      <c r="E964" s="43">
        <v>91.752281936857656</v>
      </c>
      <c r="F964" s="43">
        <v>91.756323489751907</v>
      </c>
      <c r="G964" s="43">
        <v>91.635567620841414</v>
      </c>
      <c r="H964" s="43">
        <v>91.411017269098608</v>
      </c>
      <c r="I964" s="43">
        <v>91.100781686308522</v>
      </c>
    </row>
    <row r="965" spans="1:9">
      <c r="A965" s="19">
        <v>455.9</v>
      </c>
      <c r="B965" s="43">
        <v>90.757450382329267</v>
      </c>
      <c r="C965" s="43">
        <v>91.290599174063914</v>
      </c>
      <c r="D965" s="43">
        <v>91.619535878069996</v>
      </c>
      <c r="E965" s="43">
        <v>91.772841354406978</v>
      </c>
      <c r="F965" s="43">
        <v>91.777297295591438</v>
      </c>
      <c r="G965" s="43">
        <v>91.656919995158148</v>
      </c>
      <c r="H965" s="43">
        <v>91.432710508783288</v>
      </c>
      <c r="I965" s="43">
        <v>91.122777797503034</v>
      </c>
    </row>
    <row r="966" spans="1:9">
      <c r="A966" s="19">
        <v>456</v>
      </c>
      <c r="B966" s="43">
        <v>90.7766161248164</v>
      </c>
      <c r="C966" s="43">
        <v>91.310243098275919</v>
      </c>
      <c r="D966" s="43">
        <v>91.639648631814396</v>
      </c>
      <c r="E966" s="43">
        <v>91.793399875712879</v>
      </c>
      <c r="F966" s="43">
        <v>91.79827023128496</v>
      </c>
      <c r="G966" s="43">
        <v>91.67827155252516</v>
      </c>
      <c r="H966" s="43">
        <v>91.454403006350049</v>
      </c>
      <c r="I966" s="43">
        <v>91.144773258759415</v>
      </c>
    </row>
    <row r="967" spans="1:9">
      <c r="A967" s="19">
        <v>456.1</v>
      </c>
      <c r="B967" s="43">
        <v>90.795781122541428</v>
      </c>
      <c r="C967" s="43">
        <v>91.329886182490753</v>
      </c>
      <c r="D967" s="43">
        <v>91.659760497148653</v>
      </c>
      <c r="E967" s="43">
        <v>91.81395750095254</v>
      </c>
      <c r="F967" s="43">
        <v>91.81924229690793</v>
      </c>
      <c r="G967" s="43">
        <v>91.699622292921958</v>
      </c>
      <c r="H967" s="43">
        <v>91.476094761682077</v>
      </c>
      <c r="I967" s="43">
        <v>91.166768069866265</v>
      </c>
    </row>
    <row r="968" spans="1:9">
      <c r="A968" s="19">
        <v>456.2</v>
      </c>
      <c r="B968" s="43">
        <v>90.814945375965067</v>
      </c>
      <c r="C968" s="43">
        <v>91.34952842706852</v>
      </c>
      <c r="D968" s="43">
        <v>91.67987147437151</v>
      </c>
      <c r="E968" s="43">
        <v>91.834514230312692</v>
      </c>
      <c r="F968" s="43">
        <v>91.840213492540528</v>
      </c>
      <c r="G968" s="43">
        <v>91.720972216326089</v>
      </c>
      <c r="H968" s="43">
        <v>91.497785774663015</v>
      </c>
      <c r="I968" s="43">
        <v>91.188762230614628</v>
      </c>
    </row>
    <row r="969" spans="1:9">
      <c r="A969" s="19">
        <v>456.3</v>
      </c>
      <c r="B969" s="43">
        <v>90.834108885509096</v>
      </c>
      <c r="C969" s="43">
        <v>91.369169832384927</v>
      </c>
      <c r="D969" s="43">
        <v>91.699981563745695</v>
      </c>
      <c r="E969" s="43">
        <v>91.855070063950876</v>
      </c>
      <c r="F969" s="43">
        <v>91.861183818254688</v>
      </c>
      <c r="G969" s="43">
        <v>91.742321322715213</v>
      </c>
      <c r="H969" s="43">
        <v>91.519476045176873</v>
      </c>
      <c r="I969" s="43">
        <v>91.21075574079984</v>
      </c>
    </row>
    <row r="970" spans="1:9">
      <c r="A970" s="19">
        <v>456.4</v>
      </c>
      <c r="B970" s="43">
        <v>90.853271651544389</v>
      </c>
      <c r="C970" s="43">
        <v>91.388810398734449</v>
      </c>
      <c r="D970" s="43">
        <v>91.720090765482041</v>
      </c>
      <c r="E970" s="43">
        <v>91.875625002014772</v>
      </c>
      <c r="F970" s="43">
        <v>91.882153274104752</v>
      </c>
      <c r="G970" s="43">
        <v>91.763669612056333</v>
      </c>
      <c r="H970" s="43">
        <v>91.541165573108117</v>
      </c>
      <c r="I970" s="43">
        <v>91.232748600221896</v>
      </c>
    </row>
    <row r="971" spans="1:9">
      <c r="A971" s="19">
        <v>456.5</v>
      </c>
      <c r="B971" s="43">
        <v>90.872433674565798</v>
      </c>
      <c r="C971" s="43">
        <v>91.40845012653125</v>
      </c>
      <c r="D971" s="43">
        <v>91.740199079904329</v>
      </c>
      <c r="E971" s="43">
        <v>91.896179044709328</v>
      </c>
      <c r="F971" s="43">
        <v>91.903121860178061</v>
      </c>
      <c r="G971" s="43">
        <v>91.78501708433663</v>
      </c>
      <c r="H971" s="43">
        <v>91.562854358341383</v>
      </c>
      <c r="I971" s="43">
        <v>91.254740808668856</v>
      </c>
    </row>
    <row r="972" spans="1:9">
      <c r="A972" s="19">
        <v>456.6</v>
      </c>
      <c r="B972" s="43">
        <v>90.891594954995099</v>
      </c>
      <c r="C972" s="43">
        <v>91.428089016126222</v>
      </c>
      <c r="D972" s="43">
        <v>91.76030650727364</v>
      </c>
      <c r="E972" s="43">
        <v>91.916732192197685</v>
      </c>
      <c r="F972" s="43">
        <v>91.924089576549932</v>
      </c>
      <c r="G972" s="43">
        <v>91.806363739534703</v>
      </c>
      <c r="H972" s="43">
        <v>91.584542400761819</v>
      </c>
      <c r="I972" s="43">
        <v>91.276732365937335</v>
      </c>
    </row>
    <row r="973" spans="1:9">
      <c r="A973" s="19">
        <v>456.7</v>
      </c>
      <c r="B973" s="43">
        <v>90.910755493211354</v>
      </c>
      <c r="C973" s="43">
        <v>91.447727067843402</v>
      </c>
      <c r="D973" s="43">
        <v>91.780413047823345</v>
      </c>
      <c r="E973" s="43">
        <v>91.937284444626471</v>
      </c>
      <c r="F973" s="43">
        <v>91.945056423284598</v>
      </c>
      <c r="G973" s="43">
        <v>91.827709577618066</v>
      </c>
      <c r="H973" s="43">
        <v>91.606229700254886</v>
      </c>
      <c r="I973" s="43">
        <v>91.298723271827498</v>
      </c>
    </row>
    <row r="974" spans="1:9">
      <c r="A974" s="19">
        <v>456.8</v>
      </c>
      <c r="B974" s="43">
        <v>90.929915289643702</v>
      </c>
      <c r="C974" s="43">
        <v>91.467364282022629</v>
      </c>
      <c r="D974" s="43">
        <v>91.80051870181785</v>
      </c>
      <c r="E974" s="43">
        <v>91.957835802164396</v>
      </c>
      <c r="F974" s="43">
        <v>91.966022400443222</v>
      </c>
      <c r="G974" s="43">
        <v>91.849054598567761</v>
      </c>
      <c r="H974" s="43">
        <v>91.627916256706357</v>
      </c>
      <c r="I974" s="43">
        <v>91.320713526136984</v>
      </c>
    </row>
    <row r="975" spans="1:9">
      <c r="A975" s="19">
        <v>456.9</v>
      </c>
      <c r="B975" s="43">
        <v>90.949074344758429</v>
      </c>
      <c r="C975" s="43">
        <v>91.487000659059305</v>
      </c>
      <c r="D975" s="43">
        <v>91.82062346954973</v>
      </c>
      <c r="E975" s="43">
        <v>91.978386265004076</v>
      </c>
      <c r="F975" s="43">
        <v>91.986987508119796</v>
      </c>
      <c r="G975" s="43">
        <v>91.870398802365372</v>
      </c>
      <c r="H975" s="43">
        <v>91.649602070002373</v>
      </c>
      <c r="I975" s="43">
        <v>91.342703128658201</v>
      </c>
    </row>
    <row r="976" spans="1:9">
      <c r="A976" s="19">
        <v>457</v>
      </c>
      <c r="B976" s="43">
        <v>90.968232658968162</v>
      </c>
      <c r="C976" s="43">
        <v>91.506636199314357</v>
      </c>
      <c r="D976" s="43">
        <v>91.840727351289587</v>
      </c>
      <c r="E976" s="43">
        <v>91.998935833314022</v>
      </c>
      <c r="F976" s="43">
        <v>92.007951746388727</v>
      </c>
      <c r="G976" s="43">
        <v>91.891742188991969</v>
      </c>
      <c r="H976" s="43">
        <v>91.671287140029619</v>
      </c>
      <c r="I976" s="43">
        <v>91.364692079185858</v>
      </c>
    </row>
    <row r="977" spans="1:9">
      <c r="A977" s="19">
        <v>457.1</v>
      </c>
      <c r="B977" s="43">
        <v>90.987390232683737</v>
      </c>
      <c r="C977" s="43">
        <v>91.526270903090534</v>
      </c>
      <c r="D977" s="43">
        <v>91.860830347268632</v>
      </c>
      <c r="E977" s="43">
        <v>92.019484507240094</v>
      </c>
      <c r="F977" s="43">
        <v>92.028915115304329</v>
      </c>
      <c r="G977" s="43">
        <v>91.913084758418648</v>
      </c>
      <c r="H977" s="43">
        <v>91.692971466674749</v>
      </c>
      <c r="I977" s="43">
        <v>91.386680377524499</v>
      </c>
    </row>
    <row r="978" spans="1:9">
      <c r="A978" s="19">
        <v>457.2</v>
      </c>
      <c r="B978" s="43">
        <v>91.006547066318404</v>
      </c>
      <c r="C978" s="43">
        <v>91.545904770771159</v>
      </c>
      <c r="D978" s="43">
        <v>91.88093245776048</v>
      </c>
      <c r="E978" s="43">
        <v>92.040032286967261</v>
      </c>
      <c r="F978" s="43">
        <v>92.049877614940186</v>
      </c>
      <c r="G978" s="43">
        <v>91.934426510625485</v>
      </c>
      <c r="H978" s="43">
        <v>91.714655049825012</v>
      </c>
      <c r="I978" s="43">
        <v>91.408668023470284</v>
      </c>
    </row>
    <row r="979" spans="1:9">
      <c r="A979" s="19">
        <v>457.3</v>
      </c>
      <c r="B979" s="43">
        <v>91.025703160347092</v>
      </c>
      <c r="C979" s="43">
        <v>91.565537802721167</v>
      </c>
      <c r="D979" s="43">
        <v>91.901033683060064</v>
      </c>
      <c r="E979" s="43">
        <v>92.060579172677308</v>
      </c>
      <c r="F979" s="43">
        <v>92.070839245392676</v>
      </c>
      <c r="G979" s="43">
        <v>91.955767445597729</v>
      </c>
      <c r="H979" s="43">
        <v>91.736337889368173</v>
      </c>
      <c r="I979" s="43">
        <v>91.430655016818349</v>
      </c>
    </row>
    <row r="980" spans="1:9">
      <c r="A980" s="19">
        <v>457.4</v>
      </c>
      <c r="B980" s="43">
        <v>91.044858515180636</v>
      </c>
      <c r="C980" s="43">
        <v>91.585169999304213</v>
      </c>
      <c r="D980" s="43">
        <v>91.921134023428067</v>
      </c>
      <c r="E980" s="43">
        <v>92.08112516453221</v>
      </c>
      <c r="F980" s="43">
        <v>92.091800006725208</v>
      </c>
      <c r="G980" s="43">
        <v>91.977107563314235</v>
      </c>
      <c r="H980" s="43">
        <v>91.758019985192107</v>
      </c>
      <c r="I980" s="43">
        <v>91.452641357366815</v>
      </c>
    </row>
    <row r="981" spans="1:9">
      <c r="A981" s="19">
        <v>457.5</v>
      </c>
      <c r="B981" s="43">
        <v>91.064013131186414</v>
      </c>
      <c r="C981" s="43">
        <v>91.604801360821511</v>
      </c>
      <c r="D981" s="43">
        <v>91.941233479093256</v>
      </c>
      <c r="E981" s="43">
        <v>92.101670262688884</v>
      </c>
      <c r="F981" s="43">
        <v>92.112759899000395</v>
      </c>
      <c r="G981" s="43">
        <v>91.998446863745585</v>
      </c>
      <c r="H981" s="43">
        <v>91.779701337184804</v>
      </c>
      <c r="I981" s="43">
        <v>91.474627044923182</v>
      </c>
    </row>
    <row r="982" spans="1:9">
      <c r="A982" s="19">
        <v>457.6</v>
      </c>
      <c r="B982" s="43">
        <v>91.083167008856435</v>
      </c>
      <c r="C982" s="43">
        <v>91.624431887680515</v>
      </c>
      <c r="D982" s="43">
        <v>91.961332050348148</v>
      </c>
      <c r="E982" s="43">
        <v>92.122214467330821</v>
      </c>
      <c r="F982" s="43">
        <v>92.13371892230893</v>
      </c>
      <c r="G982" s="43">
        <v>92.01978534688115</v>
      </c>
      <c r="H982" s="43">
        <v>91.801381945235363</v>
      </c>
      <c r="I982" s="43">
        <v>91.496612079279231</v>
      </c>
    </row>
    <row r="983" spans="1:9">
      <c r="A983" s="19">
        <v>457.7</v>
      </c>
      <c r="B983" s="43">
        <v>91.102320148626148</v>
      </c>
      <c r="C983" s="43">
        <v>91.644061580244681</v>
      </c>
      <c r="D983" s="43">
        <v>91.981429737493471</v>
      </c>
      <c r="E983" s="43">
        <v>92.14275777864961</v>
      </c>
      <c r="F983" s="43">
        <v>92.154677076728234</v>
      </c>
      <c r="G983" s="43">
        <v>92.0411230127051</v>
      </c>
      <c r="H983" s="43">
        <v>91.82306180923274</v>
      </c>
      <c r="I983" s="43">
        <v>91.51859646023297</v>
      </c>
    </row>
    <row r="984" spans="1:9">
      <c r="A984" s="19">
        <v>457.8</v>
      </c>
      <c r="B984" s="43">
        <v>91.121472550863899</v>
      </c>
      <c r="C984" s="43">
        <v>91.663690438817923</v>
      </c>
      <c r="D984" s="43">
        <v>92.001526540737558</v>
      </c>
      <c r="E984" s="43">
        <v>92.163300196785116</v>
      </c>
      <c r="F984" s="43">
        <v>92.175634362315918</v>
      </c>
      <c r="G984" s="43">
        <v>92.062459861188756</v>
      </c>
      <c r="H984" s="43">
        <v>91.844740929065949</v>
      </c>
      <c r="I984" s="43">
        <v>91.54058018759082</v>
      </c>
    </row>
    <row r="985" spans="1:9">
      <c r="A985" s="19">
        <v>457.9</v>
      </c>
      <c r="B985" s="43">
        <v>91.140624216004625</v>
      </c>
      <c r="C985" s="43">
        <v>91.683318463762816</v>
      </c>
      <c r="D985" s="43">
        <v>92.021622460352859</v>
      </c>
      <c r="E985" s="43">
        <v>92.183841721906845</v>
      </c>
      <c r="F985" s="43">
        <v>92.19659077915378</v>
      </c>
      <c r="G985" s="43">
        <v>92.083795892312679</v>
      </c>
      <c r="H985" s="43">
        <v>91.866419304624657</v>
      </c>
      <c r="I985" s="43">
        <v>91.562563261155276</v>
      </c>
    </row>
    <row r="986" spans="1:9">
      <c r="A986" s="19">
        <v>458</v>
      </c>
      <c r="B986" s="43">
        <v>91.159775144526435</v>
      </c>
      <c r="C986" s="43">
        <v>91.702945655483035</v>
      </c>
      <c r="D986" s="43">
        <v>92.041717496651671</v>
      </c>
      <c r="E986" s="43">
        <v>92.204382354215767</v>
      </c>
      <c r="F986" s="43">
        <v>92.217546327324499</v>
      </c>
      <c r="G986" s="43">
        <v>92.105131106070075</v>
      </c>
      <c r="H986" s="43">
        <v>91.888096935799268</v>
      </c>
      <c r="I986" s="43">
        <v>91.584545680722556</v>
      </c>
    </row>
    <row r="987" spans="1:9">
      <c r="A987" s="19">
        <v>458.1</v>
      </c>
      <c r="B987" s="43">
        <v>91.178925336818963</v>
      </c>
      <c r="C987" s="43">
        <v>91.722572014315887</v>
      </c>
      <c r="D987" s="43">
        <v>92.061811649878365</v>
      </c>
      <c r="E987" s="43">
        <v>92.224922093865388</v>
      </c>
      <c r="F987" s="43">
        <v>92.238501006906688</v>
      </c>
      <c r="G987" s="43">
        <v>92.126465502433405</v>
      </c>
      <c r="H987" s="43">
        <v>91.909773822480247</v>
      </c>
      <c r="I987" s="43">
        <v>91.606527446094162</v>
      </c>
    </row>
    <row r="988" spans="1:9">
      <c r="A988" s="19">
        <v>458.2</v>
      </c>
      <c r="B988" s="43">
        <v>91.198074793300805</v>
      </c>
      <c r="C988" s="43">
        <v>91.742197540577251</v>
      </c>
      <c r="D988" s="43">
        <v>92.081904920288707</v>
      </c>
      <c r="E988" s="43">
        <v>92.245460941036924</v>
      </c>
      <c r="F988" s="43">
        <v>92.259454817968276</v>
      </c>
      <c r="G988" s="43">
        <v>92.147799081386921</v>
      </c>
      <c r="H988" s="43">
        <v>91.931449964557999</v>
      </c>
      <c r="I988" s="43">
        <v>91.628508557073218</v>
      </c>
    </row>
    <row r="989" spans="1:9">
      <c r="A989" s="19">
        <v>458.3</v>
      </c>
      <c r="B989" s="43">
        <v>91.217223514399649</v>
      </c>
      <c r="C989" s="43">
        <v>91.761822234652243</v>
      </c>
      <c r="D989" s="43">
        <v>92.101997308146707</v>
      </c>
      <c r="E989" s="43">
        <v>92.265998895884934</v>
      </c>
      <c r="F989" s="43">
        <v>92.280407760579862</v>
      </c>
      <c r="G989" s="43">
        <v>92.169131842912407</v>
      </c>
      <c r="H989" s="43">
        <v>91.953125361923583</v>
      </c>
      <c r="I989" s="43">
        <v>91.650489013464778</v>
      </c>
    </row>
    <row r="990" spans="1:9">
      <c r="A990" s="19">
        <v>458.4</v>
      </c>
      <c r="B990" s="43">
        <v>91.236371500543129</v>
      </c>
      <c r="C990" s="43">
        <v>91.781446096902158</v>
      </c>
      <c r="D990" s="43">
        <v>92.122088813740049</v>
      </c>
      <c r="E990" s="43">
        <v>92.286535958598506</v>
      </c>
      <c r="F990" s="43">
        <v>92.301359834831317</v>
      </c>
      <c r="G990" s="43">
        <v>92.190463786992979</v>
      </c>
      <c r="H990" s="43">
        <v>91.974800014468713</v>
      </c>
      <c r="I990" s="43">
        <v>91.672468815068498</v>
      </c>
    </row>
    <row r="991" spans="1:9">
      <c r="A991" s="19">
        <v>458.5</v>
      </c>
      <c r="B991" s="43">
        <v>91.255518752210833</v>
      </c>
      <c r="C991" s="43">
        <v>91.801069127687242</v>
      </c>
      <c r="D991" s="43">
        <v>92.142179437340161</v>
      </c>
      <c r="E991" s="43">
        <v>92.307072129367981</v>
      </c>
      <c r="F991" s="43">
        <v>92.322311040804806</v>
      </c>
      <c r="G991" s="43">
        <v>92.211794913616785</v>
      </c>
      <c r="H991" s="43">
        <v>91.996473922085414</v>
      </c>
      <c r="I991" s="43">
        <v>91.694447961686421</v>
      </c>
    </row>
    <row r="992" spans="1:9">
      <c r="A992" s="19">
        <v>458.6</v>
      </c>
      <c r="B992" s="43">
        <v>91.274665269752433</v>
      </c>
      <c r="C992" s="43">
        <v>91.820691327341621</v>
      </c>
      <c r="D992" s="43">
        <v>92.162269179204429</v>
      </c>
      <c r="E992" s="43">
        <v>92.327607408333904</v>
      </c>
      <c r="F992" s="43">
        <v>92.343261378560697</v>
      </c>
      <c r="G992" s="43">
        <v>92.233125222759952</v>
      </c>
      <c r="H992" s="43">
        <v>92.0181470846656</v>
      </c>
      <c r="I992" s="43">
        <v>91.716426453123859</v>
      </c>
    </row>
    <row r="993" spans="1:9">
      <c r="A993" s="19">
        <v>458.7</v>
      </c>
      <c r="B993" s="43">
        <v>91.293811053613069</v>
      </c>
      <c r="C993" s="43">
        <v>91.840312696211129</v>
      </c>
      <c r="D993" s="43">
        <v>92.182358039582653</v>
      </c>
      <c r="E993" s="43">
        <v>92.34814179566996</v>
      </c>
      <c r="F993" s="43">
        <v>92.364210848178715</v>
      </c>
      <c r="G993" s="43">
        <v>92.254454714405824</v>
      </c>
      <c r="H993" s="43">
        <v>92.03981950210121</v>
      </c>
      <c r="I993" s="43">
        <v>91.738404289186889</v>
      </c>
    </row>
    <row r="994" spans="1:9">
      <c r="A994" s="19">
        <v>458.8</v>
      </c>
      <c r="B994" s="43">
        <v>91.312956104243057</v>
      </c>
      <c r="C994" s="43">
        <v>91.859933234705096</v>
      </c>
      <c r="D994" s="43">
        <v>92.202446018784286</v>
      </c>
      <c r="E994" s="43">
        <v>92.368675291580416</v>
      </c>
      <c r="F994" s="43">
        <v>92.385159449754013</v>
      </c>
      <c r="G994" s="43">
        <v>92.275783388547325</v>
      </c>
      <c r="H994" s="43">
        <v>92.061491174286175</v>
      </c>
      <c r="I994" s="43">
        <v>91.760381469677156</v>
      </c>
    </row>
    <row r="995" spans="1:9">
      <c r="A995" s="19">
        <v>458.9</v>
      </c>
      <c r="B995" s="43">
        <v>91.33210042205971</v>
      </c>
      <c r="C995" s="43">
        <v>91.879552943130818</v>
      </c>
      <c r="D995" s="43">
        <v>92.222533117043923</v>
      </c>
      <c r="E995" s="43">
        <v>92.389207896213236</v>
      </c>
      <c r="F995" s="43">
        <v>92.406107183349775</v>
      </c>
      <c r="G995" s="43">
        <v>92.297111245160181</v>
      </c>
      <c r="H995" s="43">
        <v>92.083162101113089</v>
      </c>
      <c r="I995" s="43">
        <v>91.782357994400144</v>
      </c>
    </row>
    <row r="996" spans="1:9">
      <c r="A996" s="19">
        <v>459</v>
      </c>
      <c r="B996" s="43">
        <v>91.351244007451839</v>
      </c>
      <c r="C996" s="43">
        <v>91.899171821848881</v>
      </c>
      <c r="D996" s="43">
        <v>92.24261933463174</v>
      </c>
      <c r="E996" s="43">
        <v>92.409739609744435</v>
      </c>
      <c r="F996" s="43">
        <v>92.427054049042425</v>
      </c>
      <c r="G996" s="43">
        <v>92.318438284230155</v>
      </c>
      <c r="H996" s="43">
        <v>92.104832282475144</v>
      </c>
      <c r="I996" s="43">
        <v>91.804333863162697</v>
      </c>
    </row>
    <row r="997" spans="1:9">
      <c r="A997" s="19">
        <v>459.1</v>
      </c>
      <c r="B997" s="43">
        <v>91.370386860894115</v>
      </c>
      <c r="C997" s="43">
        <v>91.918789871235106</v>
      </c>
      <c r="D997" s="43">
        <v>92.262704671835337</v>
      </c>
      <c r="E997" s="43">
        <v>92.430270432361738</v>
      </c>
      <c r="F997" s="43">
        <v>92.448000046917315</v>
      </c>
      <c r="G997" s="43">
        <v>92.339764505746444</v>
      </c>
      <c r="H997" s="43">
        <v>92.126501718267093</v>
      </c>
      <c r="I997" s="43">
        <v>91.826309075766545</v>
      </c>
    </row>
    <row r="998" spans="1:9">
      <c r="A998" s="19">
        <v>459.2</v>
      </c>
      <c r="B998" s="43">
        <v>91.389528982823435</v>
      </c>
      <c r="C998" s="43">
        <v>91.938407091657211</v>
      </c>
      <c r="D998" s="43">
        <v>92.282789128933757</v>
      </c>
      <c r="E998" s="43">
        <v>92.4508003642446</v>
      </c>
      <c r="F998" s="43">
        <v>92.46894517706437</v>
      </c>
      <c r="G998" s="43">
        <v>92.361089909692055</v>
      </c>
      <c r="H998" s="43">
        <v>92.148170408382867</v>
      </c>
      <c r="I998" s="43">
        <v>91.848283632017825</v>
      </c>
    </row>
    <row r="999" spans="1:9">
      <c r="A999" s="19">
        <v>459.3</v>
      </c>
      <c r="B999" s="43">
        <v>91.408670373617326</v>
      </c>
      <c r="C999" s="43">
        <v>91.958023483438382</v>
      </c>
      <c r="D999" s="43">
        <v>92.302872706161907</v>
      </c>
      <c r="E999" s="43">
        <v>92.471329405539365</v>
      </c>
      <c r="F999" s="43">
        <v>92.489889439540349</v>
      </c>
      <c r="G999" s="43">
        <v>92.382414496054309</v>
      </c>
      <c r="H999" s="43">
        <v>92.169838352716852</v>
      </c>
      <c r="I999" s="43">
        <v>91.870257531725997</v>
      </c>
    </row>
    <row r="1000" spans="1:9">
      <c r="A1000" s="19">
        <v>459.4</v>
      </c>
      <c r="B1000" s="43">
        <v>91.427811033702227</v>
      </c>
      <c r="C1000" s="43">
        <v>91.977639046921382</v>
      </c>
      <c r="D1000" s="43">
        <v>92.322955403792264</v>
      </c>
      <c r="E1000" s="43">
        <v>92.49185755643353</v>
      </c>
      <c r="F1000" s="43">
        <v>92.510832834430374</v>
      </c>
      <c r="G1000" s="43">
        <v>92.403738264810272</v>
      </c>
      <c r="H1000" s="43">
        <v>92.191505551163658</v>
      </c>
      <c r="I1000" s="43">
        <v>91.892230774699044</v>
      </c>
    </row>
    <row r="1001" spans="1:9">
      <c r="A1001" s="19">
        <v>459.5</v>
      </c>
      <c r="B1001" s="43">
        <v>91.446950963542918</v>
      </c>
      <c r="C1001" s="43">
        <v>91.997253782503179</v>
      </c>
      <c r="D1001" s="43">
        <v>92.343037222120387</v>
      </c>
      <c r="E1001" s="43">
        <v>92.512384817116924</v>
      </c>
      <c r="F1001" s="43">
        <v>92.531775361829659</v>
      </c>
      <c r="G1001" s="43">
        <v>92.425061215957072</v>
      </c>
      <c r="H1001" s="43">
        <v>92.213172003619547</v>
      </c>
      <c r="I1001" s="43">
        <v>91.914203360740771</v>
      </c>
    </row>
    <row r="1002" spans="1:9">
      <c r="A1002" s="19">
        <v>459.6</v>
      </c>
      <c r="B1002" s="43">
        <v>91.466090163559983</v>
      </c>
      <c r="C1002" s="43">
        <v>92.016867690570393</v>
      </c>
      <c r="D1002" s="43">
        <v>92.363118161417077</v>
      </c>
      <c r="E1002" s="43">
        <v>92.532911187764256</v>
      </c>
      <c r="F1002" s="43">
        <v>92.552717021812811</v>
      </c>
      <c r="G1002" s="43">
        <v>92.446383349480556</v>
      </c>
      <c r="H1002" s="43">
        <v>92.234837709980184</v>
      </c>
      <c r="I1002" s="43">
        <v>91.936175289653789</v>
      </c>
    </row>
    <row r="1003" spans="1:9">
      <c r="A1003" s="19">
        <v>459.7</v>
      </c>
      <c r="B1003" s="43">
        <v>91.485228634146722</v>
      </c>
      <c r="C1003" s="43">
        <v>92.036480771391354</v>
      </c>
      <c r="D1003" s="43">
        <v>92.383198221918121</v>
      </c>
      <c r="E1003" s="43">
        <v>92.553436668528377</v>
      </c>
      <c r="F1003" s="43">
        <v>92.573657814444289</v>
      </c>
      <c r="G1003" s="43">
        <v>92.46770466536168</v>
      </c>
      <c r="H1003" s="43">
        <v>92.256502670140122</v>
      </c>
      <c r="I1003" s="43">
        <v>91.958146561255973</v>
      </c>
    </row>
    <row r="1004" spans="1:9">
      <c r="A1004" s="19">
        <v>459.8</v>
      </c>
      <c r="B1004" s="43">
        <v>91.504366375736311</v>
      </c>
      <c r="C1004" s="43">
        <v>92.056093025357399</v>
      </c>
      <c r="D1004" s="43">
        <v>92.403277403911545</v>
      </c>
      <c r="E1004" s="43">
        <v>92.573961259586696</v>
      </c>
      <c r="F1004" s="43">
        <v>92.594597739814503</v>
      </c>
      <c r="G1004" s="43">
        <v>92.489025163585012</v>
      </c>
      <c r="H1004" s="43">
        <v>92.278166883996732</v>
      </c>
      <c r="I1004" s="43">
        <v>91.980117175351836</v>
      </c>
    </row>
    <row r="1005" spans="1:9">
      <c r="A1005" s="19">
        <v>459.9</v>
      </c>
      <c r="B1005" s="43">
        <v>91.523503388768745</v>
      </c>
      <c r="C1005" s="43">
        <v>92.075704452854183</v>
      </c>
      <c r="D1005" s="43">
        <v>92.42335570767375</v>
      </c>
      <c r="E1005" s="43">
        <v>92.594484961147344</v>
      </c>
      <c r="F1005" s="43">
        <v>92.615536798008549</v>
      </c>
      <c r="G1005" s="43">
        <v>92.510344844145465</v>
      </c>
      <c r="H1005" s="43">
        <v>92.2998303514469</v>
      </c>
      <c r="I1005" s="43">
        <v>92.002087131748226</v>
      </c>
    </row>
    <row r="1006" spans="1:9">
      <c r="A1006" s="19">
        <v>460</v>
      </c>
      <c r="B1006" s="43">
        <v>91.505472828919977</v>
      </c>
      <c r="C1006" s="43">
        <v>92.063105324579681</v>
      </c>
      <c r="D1006" s="43">
        <v>92.416768778874399</v>
      </c>
      <c r="E1006" s="43">
        <v>92.594326927994814</v>
      </c>
      <c r="F1006" s="43">
        <v>92.622090322821265</v>
      </c>
      <c r="G1006" s="43">
        <v>92.523786287761908</v>
      </c>
      <c r="H1006" s="43">
        <v>92.320252506617265</v>
      </c>
      <c r="I1006" s="43">
        <v>92.029516633463942</v>
      </c>
    </row>
    <row r="1007" spans="1:9">
      <c r="A1007" s="19">
        <v>460.1</v>
      </c>
      <c r="B1007" s="43">
        <v>91.487346338357725</v>
      </c>
      <c r="C1007" s="43">
        <v>92.050403351267619</v>
      </c>
      <c r="D1007" s="43">
        <v>92.410073266450354</v>
      </c>
      <c r="E1007" s="43">
        <v>92.594055713227078</v>
      </c>
      <c r="F1007" s="43">
        <v>92.628526821818639</v>
      </c>
      <c r="G1007" s="43">
        <v>92.537107071587911</v>
      </c>
      <c r="H1007" s="43">
        <v>92.340550007261299</v>
      </c>
      <c r="I1007" s="43">
        <v>92.056816605361547</v>
      </c>
    </row>
    <row r="1008" spans="1:9">
      <c r="A1008" s="19">
        <v>460.2</v>
      </c>
      <c r="B1008" s="43">
        <v>91.506401115295574</v>
      </c>
      <c r="C1008" s="43">
        <v>92.069921458521634</v>
      </c>
      <c r="D1008" s="43">
        <v>92.430047400043094</v>
      </c>
      <c r="E1008" s="43">
        <v>92.614465007683009</v>
      </c>
      <c r="F1008" s="43">
        <v>92.649342064493425</v>
      </c>
      <c r="G1008" s="43">
        <v>92.558294469405809</v>
      </c>
      <c r="H1008" s="43">
        <v>92.362073719277504</v>
      </c>
      <c r="I1008" s="43">
        <v>92.078640350232973</v>
      </c>
    </row>
    <row r="1009" spans="1:9">
      <c r="A1009" s="19">
        <v>460.3</v>
      </c>
      <c r="B1009" s="43">
        <v>91.52545516671654</v>
      </c>
      <c r="C1009" s="43">
        <v>92.089438743253567</v>
      </c>
      <c r="D1009" s="43">
        <v>92.450020658003552</v>
      </c>
      <c r="E1009" s="43">
        <v>92.634873412054333</v>
      </c>
      <c r="F1009" s="43">
        <v>92.670156434830062</v>
      </c>
      <c r="G1009" s="43">
        <v>92.579481038729512</v>
      </c>
      <c r="H1009" s="43">
        <v>92.383596667543344</v>
      </c>
      <c r="I1009" s="43">
        <v>92.100463412852719</v>
      </c>
    </row>
    <row r="1010" spans="1:9">
      <c r="A1010" s="19">
        <v>460.4</v>
      </c>
      <c r="B1010" s="43">
        <v>91.544508493021766</v>
      </c>
      <c r="C1010" s="43">
        <v>92.108955205812123</v>
      </c>
      <c r="D1010" s="43">
        <v>92.469993040616259</v>
      </c>
      <c r="E1010" s="43">
        <v>92.655280926517889</v>
      </c>
      <c r="F1010" s="43">
        <v>92.690969932923792</v>
      </c>
      <c r="G1010" s="43">
        <v>92.600666779564847</v>
      </c>
      <c r="H1010" s="43">
        <v>92.405118851976454</v>
      </c>
      <c r="I1010" s="43">
        <v>92.122285793054857</v>
      </c>
    </row>
    <row r="1011" spans="1:9">
      <c r="A1011" s="19">
        <v>460.5</v>
      </c>
      <c r="B1011" s="43">
        <v>91.56356109456641</v>
      </c>
      <c r="C1011" s="43">
        <v>92.128470846513636</v>
      </c>
      <c r="D1011" s="43">
        <v>92.489964548102449</v>
      </c>
      <c r="E1011" s="43">
        <v>92.675687551229913</v>
      </c>
      <c r="F1011" s="43">
        <v>92.711782558839445</v>
      </c>
      <c r="G1011" s="43">
        <v>92.62185169190451</v>
      </c>
      <c r="H1011" s="43">
        <v>92.426640272493131</v>
      </c>
      <c r="I1011" s="43">
        <v>92.144107490679261</v>
      </c>
    </row>
    <row r="1012" spans="1:9">
      <c r="A1012" s="19">
        <v>460.6</v>
      </c>
      <c r="B1012" s="43">
        <v>91.582612971808715</v>
      </c>
      <c r="C1012" s="43">
        <v>92.147985665718807</v>
      </c>
      <c r="D1012" s="43">
        <v>92.509935180765012</v>
      </c>
      <c r="E1012" s="43">
        <v>92.696093286383757</v>
      </c>
      <c r="F1012" s="43">
        <v>92.732594312694317</v>
      </c>
      <c r="G1012" s="43">
        <v>92.643035775761035</v>
      </c>
      <c r="H1012" s="43">
        <v>92.448160929012829</v>
      </c>
      <c r="I1012" s="43">
        <v>92.165928505555684</v>
      </c>
    </row>
    <row r="1013" spans="1:9">
      <c r="A1013" s="19">
        <v>460.7</v>
      </c>
      <c r="B1013" s="43">
        <v>91.601664125113871</v>
      </c>
      <c r="C1013" s="43">
        <v>92.167499663763152</v>
      </c>
      <c r="D1013" s="43">
        <v>92.529904938844453</v>
      </c>
      <c r="E1013" s="43">
        <v>92.716498132158819</v>
      </c>
      <c r="F1013" s="43">
        <v>92.753405194560884</v>
      </c>
      <c r="G1013" s="43">
        <v>92.664219031130983</v>
      </c>
      <c r="H1013" s="43">
        <v>92.469680821453096</v>
      </c>
      <c r="I1013" s="43">
        <v>92.187748837523287</v>
      </c>
    </row>
    <row r="1014" spans="1:9">
      <c r="A1014" s="19">
        <v>460.8</v>
      </c>
      <c r="B1014" s="43">
        <v>91.620714554940264</v>
      </c>
      <c r="C1014" s="43">
        <v>92.187012841027865</v>
      </c>
      <c r="D1014" s="43">
        <v>92.549873822644173</v>
      </c>
      <c r="E1014" s="43">
        <v>92.736902088748394</v>
      </c>
      <c r="F1014" s="43">
        <v>92.774215204545214</v>
      </c>
      <c r="G1014" s="43">
        <v>92.685401458025808</v>
      </c>
      <c r="H1014" s="43">
        <v>92.491199949733272</v>
      </c>
      <c r="I1014" s="43">
        <v>92.20956848641481</v>
      </c>
    </row>
    <row r="1015" spans="1:9">
      <c r="A1015" s="19">
        <v>460.9</v>
      </c>
      <c r="B1015" s="43">
        <v>91.639764261680483</v>
      </c>
      <c r="C1015" s="43">
        <v>92.206525197845423</v>
      </c>
      <c r="D1015" s="43">
        <v>92.569841832422526</v>
      </c>
      <c r="E1015" s="43">
        <v>92.757305156326964</v>
      </c>
      <c r="F1015" s="43">
        <v>92.795024342742835</v>
      </c>
      <c r="G1015" s="43">
        <v>92.706583056450256</v>
      </c>
      <c r="H1015" s="43">
        <v>92.512718313772695</v>
      </c>
      <c r="I1015" s="43">
        <v>92.231387452065803</v>
      </c>
    </row>
    <row r="1016" spans="1:9">
      <c r="A1016" s="19">
        <v>461</v>
      </c>
      <c r="B1016" s="43">
        <v>91.658813245726833</v>
      </c>
      <c r="C1016" s="43">
        <v>92.226036734549382</v>
      </c>
      <c r="D1016" s="43">
        <v>92.589808968423824</v>
      </c>
      <c r="E1016" s="43">
        <v>92.777707335071824</v>
      </c>
      <c r="F1016" s="43">
        <v>92.81583260923216</v>
      </c>
      <c r="G1016" s="43">
        <v>92.727763826402878</v>
      </c>
      <c r="H1016" s="43">
        <v>92.534235913489994</v>
      </c>
      <c r="I1016" s="43">
        <v>92.253205734313326</v>
      </c>
    </row>
    <row r="1017" spans="1:9">
      <c r="A1017" s="19">
        <v>461.1</v>
      </c>
      <c r="B1017" s="43">
        <v>91.677861507478866</v>
      </c>
      <c r="C1017" s="43">
        <v>92.245547451483105</v>
      </c>
      <c r="D1017" s="43">
        <v>92.609775230936378</v>
      </c>
      <c r="E1017" s="43">
        <v>92.798108625156971</v>
      </c>
      <c r="F1017" s="43">
        <v>92.836640004108659</v>
      </c>
      <c r="G1017" s="43">
        <v>92.748943767890722</v>
      </c>
      <c r="H1017" s="43">
        <v>92.555752748804224</v>
      </c>
      <c r="I1017" s="43">
        <v>92.275023332997506</v>
      </c>
    </row>
    <row r="1018" spans="1:9">
      <c r="A1018" s="19">
        <v>461.2</v>
      </c>
      <c r="B1018" s="43">
        <v>91.69690904734756</v>
      </c>
      <c r="C1018" s="43">
        <v>92.265057348988591</v>
      </c>
      <c r="D1018" s="43">
        <v>92.629740620201687</v>
      </c>
      <c r="E1018" s="43">
        <v>92.81850902676365</v>
      </c>
      <c r="F1018" s="43">
        <v>92.857446527463395</v>
      </c>
      <c r="G1018" s="43">
        <v>92.770122880916944</v>
      </c>
      <c r="H1018" s="43">
        <v>92.577268819635833</v>
      </c>
      <c r="I1018" s="43">
        <v>92.296840247953838</v>
      </c>
    </row>
    <row r="1019" spans="1:9">
      <c r="A1019" s="19">
        <v>461.3</v>
      </c>
      <c r="B1019" s="43">
        <v>91.715955865785958</v>
      </c>
      <c r="C1019" s="43">
        <v>92.284566427453541</v>
      </c>
      <c r="D1019" s="43">
        <v>92.649705136529036</v>
      </c>
      <c r="E1019" s="43">
        <v>92.838908540094394</v>
      </c>
      <c r="F1019" s="43">
        <v>92.878252179403148</v>
      </c>
      <c r="G1019" s="43">
        <v>92.791301165493536</v>
      </c>
      <c r="H1019" s="43">
        <v>92.598784125906036</v>
      </c>
      <c r="I1019" s="43">
        <v>92.318656479016852</v>
      </c>
    </row>
    <row r="1020" spans="1:9">
      <c r="A1020" s="19">
        <v>461.4</v>
      </c>
      <c r="B1020" s="43">
        <v>91.735001963185624</v>
      </c>
      <c r="C1020" s="43">
        <v>92.304074687216627</v>
      </c>
      <c r="D1020" s="43">
        <v>92.669668780173765</v>
      </c>
      <c r="E1020" s="43">
        <v>92.859307165321752</v>
      </c>
      <c r="F1020" s="43">
        <v>92.899056960013894</v>
      </c>
      <c r="G1020" s="43">
        <v>92.812478621624109</v>
      </c>
      <c r="H1020" s="43">
        <v>92.620298667535138</v>
      </c>
      <c r="I1020" s="43">
        <v>92.340472026025708</v>
      </c>
    </row>
    <row r="1021" spans="1:9">
      <c r="A1021" s="19">
        <v>461.5</v>
      </c>
      <c r="B1021" s="43">
        <v>91.75404733990402</v>
      </c>
      <c r="C1021" s="43">
        <v>92.323582128592307</v>
      </c>
      <c r="D1021" s="43">
        <v>92.689631551387009</v>
      </c>
      <c r="E1021" s="43">
        <v>92.879704902619608</v>
      </c>
      <c r="F1021" s="43">
        <v>92.919860869383115</v>
      </c>
      <c r="G1021" s="43">
        <v>92.833655249310425</v>
      </c>
      <c r="H1021" s="43">
        <v>92.641812444443246</v>
      </c>
      <c r="I1021" s="43">
        <v>92.36228688881971</v>
      </c>
    </row>
    <row r="1022" spans="1:9">
      <c r="A1022" s="19">
        <v>461.6</v>
      </c>
      <c r="B1022" s="43">
        <v>91.773091996395465</v>
      </c>
      <c r="C1022" s="43">
        <v>92.343088751929457</v>
      </c>
      <c r="D1022" s="43">
        <v>92.709593450463075</v>
      </c>
      <c r="E1022" s="43">
        <v>92.900101752176028</v>
      </c>
      <c r="F1022" s="43">
        <v>92.940663907608496</v>
      </c>
      <c r="G1022" s="43">
        <v>92.85483104856263</v>
      </c>
      <c r="H1022" s="43">
        <v>92.663325456551291</v>
      </c>
      <c r="I1022" s="43">
        <v>92.384101067236429</v>
      </c>
    </row>
    <row r="1023" spans="1:9">
      <c r="A1023" s="19">
        <v>461.7</v>
      </c>
      <c r="B1023" s="43">
        <v>91.792135933030039</v>
      </c>
      <c r="C1023" s="43">
        <v>92.362594557585936</v>
      </c>
      <c r="D1023" s="43">
        <v>92.729554477630046</v>
      </c>
      <c r="E1023" s="43">
        <v>92.920497714157989</v>
      </c>
      <c r="F1023" s="43">
        <v>92.961466074775217</v>
      </c>
      <c r="G1023" s="43">
        <v>92.876006019379361</v>
      </c>
      <c r="H1023" s="43">
        <v>92.684837703781255</v>
      </c>
      <c r="I1023" s="43">
        <v>92.405914561118664</v>
      </c>
    </row>
    <row r="1024" spans="1:9">
      <c r="A1024" s="19">
        <v>461.8</v>
      </c>
      <c r="B1024" s="43">
        <v>91.811179150268913</v>
      </c>
      <c r="C1024" s="43">
        <v>92.382099545932022</v>
      </c>
      <c r="D1024" s="43">
        <v>92.749514633197151</v>
      </c>
      <c r="E1024" s="43">
        <v>92.940892788772686</v>
      </c>
      <c r="F1024" s="43">
        <v>92.982267370996738</v>
      </c>
      <c r="G1024" s="43">
        <v>92.897180161779602</v>
      </c>
      <c r="H1024" s="43">
        <v>92.70634918605549</v>
      </c>
      <c r="I1024" s="43">
        <v>92.427727370298356</v>
      </c>
    </row>
    <row r="1025" spans="1:9">
      <c r="A1025" s="19">
        <v>461.9</v>
      </c>
      <c r="B1025" s="43">
        <v>91.830221648510729</v>
      </c>
      <c r="C1025" s="43">
        <v>92.40160371731065</v>
      </c>
      <c r="D1025" s="43">
        <v>92.769473917435221</v>
      </c>
      <c r="E1025" s="43">
        <v>92.961286976206821</v>
      </c>
      <c r="F1025" s="43">
        <v>93.003067796357755</v>
      </c>
      <c r="G1025" s="43">
        <v>92.918353475766367</v>
      </c>
      <c r="H1025" s="43">
        <v>92.72785990329686</v>
      </c>
      <c r="I1025" s="43">
        <v>92.44953949461754</v>
      </c>
    </row>
    <row r="1026" spans="1:9">
      <c r="A1026" s="19">
        <v>462</v>
      </c>
      <c r="B1026" s="43">
        <v>91.849263428125141</v>
      </c>
      <c r="C1026" s="43">
        <v>92.421107072040087</v>
      </c>
      <c r="D1026" s="43">
        <v>92.789432330583651</v>
      </c>
      <c r="E1026" s="43">
        <v>92.981680276618619</v>
      </c>
      <c r="F1026" s="43">
        <v>93.023867350949672</v>
      </c>
      <c r="G1026" s="43">
        <v>92.939525961344941</v>
      </c>
      <c r="H1026" s="43">
        <v>92.749369855425158</v>
      </c>
      <c r="I1026" s="43">
        <v>92.471350933918131</v>
      </c>
    </row>
    <row r="1027" spans="1:9">
      <c r="A1027" s="19">
        <v>462.1</v>
      </c>
      <c r="B1027" s="43">
        <v>91.868304489529152</v>
      </c>
      <c r="C1027" s="43">
        <v>92.440609610473871</v>
      </c>
      <c r="D1027" s="43">
        <v>92.809389872928307</v>
      </c>
      <c r="E1027" s="43">
        <v>93.00207269020018</v>
      </c>
      <c r="F1027" s="43">
        <v>93.044666034869977</v>
      </c>
      <c r="G1027" s="43">
        <v>92.960697618520811</v>
      </c>
      <c r="H1027" s="43">
        <v>92.770879042365465</v>
      </c>
      <c r="I1027" s="43">
        <v>92.493161688041539</v>
      </c>
    </row>
    <row r="1028" spans="1:9">
      <c r="A1028" s="19">
        <v>462.2</v>
      </c>
      <c r="B1028" s="43">
        <v>91.887344833138854</v>
      </c>
      <c r="C1028" s="43">
        <v>92.460111332958718</v>
      </c>
      <c r="D1028" s="43">
        <v>92.829346544725951</v>
      </c>
      <c r="E1028" s="43">
        <v>93.022464217122575</v>
      </c>
      <c r="F1028" s="43">
        <v>93.065463848205013</v>
      </c>
      <c r="G1028" s="43">
        <v>92.981868447302531</v>
      </c>
      <c r="H1028" s="43">
        <v>92.792387464038484</v>
      </c>
      <c r="I1028" s="43">
        <v>92.514971756826327</v>
      </c>
    </row>
    <row r="1029" spans="1:9">
      <c r="A1029" s="19">
        <v>462.3</v>
      </c>
      <c r="B1029" s="43">
        <v>91.906384459391205</v>
      </c>
      <c r="C1029" s="43">
        <v>92.479612239878691</v>
      </c>
      <c r="D1029" s="43">
        <v>92.849302346271941</v>
      </c>
      <c r="E1029" s="43">
        <v>93.042854857605988</v>
      </c>
      <c r="F1029" s="43">
        <v>93.086260791063609</v>
      </c>
      <c r="G1029" s="43">
        <v>93.00303844770562</v>
      </c>
      <c r="H1029" s="43">
        <v>92.813895120370461</v>
      </c>
      <c r="I1029" s="43">
        <v>92.536781140111287</v>
      </c>
    </row>
    <row r="1030" spans="1:9">
      <c r="A1030" s="19">
        <v>462.4</v>
      </c>
      <c r="B1030" s="43">
        <v>91.925423368682459</v>
      </c>
      <c r="C1030" s="43">
        <v>92.49911233157178</v>
      </c>
      <c r="D1030" s="43">
        <v>92.869257277829689</v>
      </c>
      <c r="E1030" s="43">
        <v>93.063244611805004</v>
      </c>
      <c r="F1030" s="43">
        <v>93.107056863549218</v>
      </c>
      <c r="G1030" s="43">
        <v>93.024207619733346</v>
      </c>
      <c r="H1030" s="43">
        <v>92.835402011284316</v>
      </c>
      <c r="I1030" s="43">
        <v>92.558589837739191</v>
      </c>
    </row>
    <row r="1031" spans="1:9">
      <c r="A1031" s="19">
        <v>462.5</v>
      </c>
      <c r="B1031" s="43">
        <v>91.944461561385651</v>
      </c>
      <c r="C1031" s="43">
        <v>92.518611608351677</v>
      </c>
      <c r="D1031" s="43">
        <v>92.889211339653201</v>
      </c>
      <c r="E1031" s="43">
        <v>93.083633479917097</v>
      </c>
      <c r="F1031" s="43">
        <v>93.127852065735027</v>
      </c>
      <c r="G1031" s="43">
        <v>93.045375963395884</v>
      </c>
      <c r="H1031" s="43">
        <v>92.856908136702742</v>
      </c>
      <c r="I1031" s="43">
        <v>92.580397849552213</v>
      </c>
    </row>
    <row r="1032" spans="1:9">
      <c r="A1032" s="19">
        <v>462.6</v>
      </c>
      <c r="B1032" s="43">
        <v>91.96349903793535</v>
      </c>
      <c r="C1032" s="43">
        <v>92.538110070585731</v>
      </c>
      <c r="D1032" s="43">
        <v>92.90916453202459</v>
      </c>
      <c r="E1032" s="43">
        <v>93.104021462105919</v>
      </c>
      <c r="F1032" s="43">
        <v>93.148646397721876</v>
      </c>
      <c r="G1032" s="43">
        <v>93.06654347869781</v>
      </c>
      <c r="H1032" s="43">
        <v>92.878413496550991</v>
      </c>
      <c r="I1032" s="43">
        <v>92.602205175393863</v>
      </c>
    </row>
    <row r="1033" spans="1:9">
      <c r="A1033" s="19">
        <v>462.7</v>
      </c>
      <c r="B1033" s="43">
        <v>91.982535798711496</v>
      </c>
      <c r="C1033" s="43">
        <v>92.557607718613895</v>
      </c>
      <c r="D1033" s="43">
        <v>92.929116855191268</v>
      </c>
      <c r="E1033" s="43">
        <v>93.124408558565818</v>
      </c>
      <c r="F1033" s="43">
        <v>93.169439859610179</v>
      </c>
      <c r="G1033" s="43">
        <v>93.08771016564711</v>
      </c>
      <c r="H1033" s="43">
        <v>92.89991809075255</v>
      </c>
      <c r="I1033" s="43">
        <v>92.624011815106229</v>
      </c>
    </row>
    <row r="1034" spans="1:9">
      <c r="A1034" s="19">
        <v>462.8</v>
      </c>
      <c r="B1034" s="43">
        <v>92.001571844163635</v>
      </c>
      <c r="C1034" s="43">
        <v>92.577104552780327</v>
      </c>
      <c r="D1034" s="43">
        <v>92.94906830945385</v>
      </c>
      <c r="E1034" s="43">
        <v>93.144794769490261</v>
      </c>
      <c r="F1034" s="43">
        <v>93.190232451498076</v>
      </c>
      <c r="G1034" s="43">
        <v>93.108876024263253</v>
      </c>
      <c r="H1034" s="43">
        <v>92.921421919233296</v>
      </c>
      <c r="I1034" s="43">
        <v>92.645817768529213</v>
      </c>
    </row>
    <row r="1035" spans="1:9">
      <c r="A1035" s="19">
        <v>462.9</v>
      </c>
      <c r="B1035" s="43">
        <v>92.02060717470394</v>
      </c>
      <c r="C1035" s="43">
        <v>92.596600573487393</v>
      </c>
      <c r="D1035" s="43">
        <v>92.969018895091693</v>
      </c>
      <c r="E1035" s="43">
        <v>93.165180095078085</v>
      </c>
      <c r="F1035" s="43">
        <v>93.211024173495872</v>
      </c>
      <c r="G1035" s="43">
        <v>93.130041054554567</v>
      </c>
      <c r="H1035" s="43">
        <v>92.94292498191993</v>
      </c>
      <c r="I1035" s="43">
        <v>92.667623035505528</v>
      </c>
    </row>
    <row r="1036" spans="1:9">
      <c r="A1036" s="19">
        <v>463</v>
      </c>
      <c r="B1036" s="43">
        <v>92.039641790691149</v>
      </c>
      <c r="C1036" s="43">
        <v>92.616095781015702</v>
      </c>
      <c r="D1036" s="43">
        <v>92.988968612331746</v>
      </c>
      <c r="E1036" s="43">
        <v>93.185564535471713</v>
      </c>
      <c r="F1036" s="43">
        <v>93.231815025674223</v>
      </c>
      <c r="G1036" s="43">
        <v>93.151205256519546</v>
      </c>
      <c r="H1036" s="43">
        <v>92.964427278735172</v>
      </c>
      <c r="I1036" s="43">
        <v>92.689427615882579</v>
      </c>
    </row>
    <row r="1037" spans="1:9">
      <c r="A1037" s="19">
        <v>463.1</v>
      </c>
      <c r="B1037" s="43">
        <v>92.05867569255912</v>
      </c>
      <c r="C1037" s="43">
        <v>92.635590175735985</v>
      </c>
      <c r="D1037" s="43">
        <v>93.008917461474994</v>
      </c>
      <c r="E1037" s="43">
        <v>93.205948090885045</v>
      </c>
      <c r="F1037" s="43">
        <v>93.252605008137834</v>
      </c>
      <c r="G1037" s="43">
        <v>93.172368630177658</v>
      </c>
      <c r="H1037" s="43">
        <v>92.985928809606236</v>
      </c>
      <c r="I1037" s="43">
        <v>92.711231509500436</v>
      </c>
    </row>
    <row r="1038" spans="1:9">
      <c r="A1038" s="19">
        <v>463.2</v>
      </c>
      <c r="B1038" s="43">
        <v>92.077708880699134</v>
      </c>
      <c r="C1038" s="43">
        <v>92.655083757987711</v>
      </c>
      <c r="D1038" s="43">
        <v>93.028865442771803</v>
      </c>
      <c r="E1038" s="43">
        <v>93.226330761484121</v>
      </c>
      <c r="F1038" s="43">
        <v>93.273394120984591</v>
      </c>
      <c r="G1038" s="43">
        <v>93.193531175534872</v>
      </c>
      <c r="H1038" s="43">
        <v>93.007429574457973</v>
      </c>
      <c r="I1038" s="43">
        <v>92.733034716207698</v>
      </c>
    </row>
    <row r="1039" spans="1:9">
      <c r="A1039" s="19">
        <v>463.3</v>
      </c>
      <c r="B1039" s="43">
        <v>92.096741355537773</v>
      </c>
      <c r="C1039" s="43">
        <v>92.674576528133628</v>
      </c>
      <c r="D1039" s="43">
        <v>93.048812556520232</v>
      </c>
      <c r="E1039" s="43">
        <v>93.246712547469571</v>
      </c>
      <c r="F1039" s="43">
        <v>93.294182364318289</v>
      </c>
      <c r="G1039" s="43">
        <v>93.214692892608809</v>
      </c>
      <c r="H1039" s="43">
        <v>93.028929573218988</v>
      </c>
      <c r="I1039" s="43">
        <v>92.75483723584324</v>
      </c>
    </row>
    <row r="1040" spans="1:9">
      <c r="A1040" s="19">
        <v>463.4</v>
      </c>
      <c r="B1040" s="43">
        <v>92.115773117518131</v>
      </c>
      <c r="C1040" s="43">
        <v>92.694068486544012</v>
      </c>
      <c r="D1040" s="43">
        <v>93.068758802985656</v>
      </c>
      <c r="E1040" s="43">
        <v>93.267093449042136</v>
      </c>
      <c r="F1040" s="43">
        <v>93.31496973824656</v>
      </c>
      <c r="G1040" s="43">
        <v>93.235853781407911</v>
      </c>
      <c r="H1040" s="43">
        <v>93.050428805815301</v>
      </c>
      <c r="I1040" s="43">
        <v>92.776639068253047</v>
      </c>
    </row>
    <row r="1041" spans="1:9">
      <c r="A1041" s="19">
        <v>463.5</v>
      </c>
      <c r="B1041" s="43">
        <v>92.134804166982491</v>
      </c>
      <c r="C1041" s="43">
        <v>92.713559633524397</v>
      </c>
      <c r="D1041" s="43">
        <v>93.088704182423299</v>
      </c>
      <c r="E1041" s="43">
        <v>93.287473466362286</v>
      </c>
      <c r="F1041" s="43">
        <v>93.335756242843246</v>
      </c>
      <c r="G1041" s="43">
        <v>93.257013841940392</v>
      </c>
      <c r="H1041" s="43">
        <v>93.071927272173355</v>
      </c>
      <c r="I1041" s="43">
        <v>92.798440213284834</v>
      </c>
    </row>
    <row r="1042" spans="1:9">
      <c r="A1042" s="19">
        <v>463.6</v>
      </c>
      <c r="B1042" s="43">
        <v>92.15383450436272</v>
      </c>
      <c r="C1042" s="43">
        <v>92.733049969431931</v>
      </c>
      <c r="D1042" s="43">
        <v>93.108648695100698</v>
      </c>
      <c r="E1042" s="43">
        <v>93.307852599610356</v>
      </c>
      <c r="F1042" s="43">
        <v>93.356541878214415</v>
      </c>
      <c r="G1042" s="43">
        <v>93.278173074216937</v>
      </c>
      <c r="H1042" s="43">
        <v>93.093424972220049</v>
      </c>
      <c r="I1042" s="43">
        <v>92.820240670782994</v>
      </c>
    </row>
    <row r="1043" spans="1:9">
      <c r="A1043" s="19">
        <v>463.7</v>
      </c>
      <c r="B1043" s="43">
        <v>92.172864130036061</v>
      </c>
      <c r="C1043" s="43">
        <v>92.75253949461333</v>
      </c>
      <c r="D1043" s="43">
        <v>93.128592341295928</v>
      </c>
      <c r="E1043" s="43">
        <v>93.328230848978876</v>
      </c>
      <c r="F1043" s="43">
        <v>93.377326644462357</v>
      </c>
      <c r="G1043" s="43">
        <v>93.299331478248433</v>
      </c>
      <c r="H1043" s="43">
        <v>93.114921905883023</v>
      </c>
      <c r="I1043" s="43">
        <v>92.842040440593934</v>
      </c>
    </row>
    <row r="1044" spans="1:9">
      <c r="A1044" s="19">
        <v>463.8</v>
      </c>
      <c r="B1044" s="43">
        <v>92.191893044471783</v>
      </c>
      <c r="C1044" s="43">
        <v>92.772028209434097</v>
      </c>
      <c r="D1044" s="43">
        <v>93.148535121296135</v>
      </c>
      <c r="E1044" s="43">
        <v>93.348608214669326</v>
      </c>
      <c r="F1044" s="43">
        <v>93.398110541685469</v>
      </c>
      <c r="G1044" s="43">
        <v>93.320489054056964</v>
      </c>
      <c r="H1044" s="43">
        <v>93.136418073092187</v>
      </c>
      <c r="I1044" s="43">
        <v>92.863839522561591</v>
      </c>
    </row>
    <row r="1045" spans="1:9">
      <c r="A1045" s="19">
        <v>463.9</v>
      </c>
      <c r="B1045" s="43">
        <v>92.21092124806944</v>
      </c>
      <c r="C1045" s="43">
        <v>92.791516114265733</v>
      </c>
      <c r="D1045" s="43">
        <v>93.168477035374281</v>
      </c>
      <c r="E1045" s="43">
        <v>93.368984696871308</v>
      </c>
      <c r="F1045" s="43">
        <v>93.418893569991042</v>
      </c>
      <c r="G1045" s="43">
        <v>93.34164580165293</v>
      </c>
      <c r="H1045" s="43">
        <v>93.157913473774755</v>
      </c>
      <c r="I1045" s="43">
        <v>92.885637916532232</v>
      </c>
    </row>
    <row r="1046" spans="1:9">
      <c r="A1046" s="19">
        <v>464</v>
      </c>
      <c r="B1046" s="43">
        <v>92.229948741185837</v>
      </c>
      <c r="C1046" s="43">
        <v>92.811003209402685</v>
      </c>
      <c r="D1046" s="43">
        <v>93.188418083771381</v>
      </c>
      <c r="E1046" s="43">
        <v>93.38936029574532</v>
      </c>
      <c r="F1046" s="43">
        <v>93.439675729461925</v>
      </c>
      <c r="G1046" s="43">
        <v>93.36280172103892</v>
      </c>
      <c r="H1046" s="43">
        <v>93.179408107859018</v>
      </c>
      <c r="I1046" s="43">
        <v>92.907435622355166</v>
      </c>
    </row>
    <row r="1047" spans="1:9">
      <c r="A1047" s="19">
        <v>464.1</v>
      </c>
      <c r="B1047" s="43">
        <v>92.248975524258356</v>
      </c>
      <c r="C1047" s="43">
        <v>92.830489495208582</v>
      </c>
      <c r="D1047" s="43">
        <v>93.208358266781062</v>
      </c>
      <c r="E1047" s="43">
        <v>93.40973501148747</v>
      </c>
      <c r="F1047" s="43">
        <v>93.460457020203364</v>
      </c>
      <c r="G1047" s="43">
        <v>93.383956812233492</v>
      </c>
      <c r="H1047" s="43">
        <v>93.200901975272643</v>
      </c>
      <c r="I1047" s="43">
        <v>92.929232639877938</v>
      </c>
    </row>
    <row r="1048" spans="1:9">
      <c r="A1048" s="19">
        <v>464.2</v>
      </c>
      <c r="B1048" s="43">
        <v>92.268001597674726</v>
      </c>
      <c r="C1048" s="43">
        <v>92.849974972043896</v>
      </c>
      <c r="D1048" s="43">
        <v>93.228297584655422</v>
      </c>
      <c r="E1048" s="43">
        <v>93.430108844286764</v>
      </c>
      <c r="F1048" s="43">
        <v>93.481237442312647</v>
      </c>
      <c r="G1048" s="43">
        <v>93.405111075247845</v>
      </c>
      <c r="H1048" s="43">
        <v>93.222395075946054</v>
      </c>
      <c r="I1048" s="43">
        <v>92.95102896894636</v>
      </c>
    </row>
    <row r="1049" spans="1:9">
      <c r="A1049" s="19">
        <v>464.3</v>
      </c>
      <c r="B1049" s="43">
        <v>92.287026961879491</v>
      </c>
      <c r="C1049" s="43">
        <v>92.869459640250454</v>
      </c>
      <c r="D1049" s="43">
        <v>93.248236037706533</v>
      </c>
      <c r="E1049" s="43">
        <v>93.450481794326464</v>
      </c>
      <c r="F1049" s="43">
        <v>93.502016995898231</v>
      </c>
      <c r="G1049" s="43">
        <v>93.426264510101106</v>
      </c>
      <c r="H1049" s="43">
        <v>93.243887409808707</v>
      </c>
      <c r="I1049" s="43">
        <v>92.972824609408434</v>
      </c>
    </row>
    <row r="1050" spans="1:9">
      <c r="A1050" s="19">
        <v>464.4</v>
      </c>
      <c r="B1050" s="43">
        <v>92.306051617283998</v>
      </c>
      <c r="C1050" s="43">
        <v>92.888943500214197</v>
      </c>
      <c r="D1050" s="43">
        <v>93.268173626190617</v>
      </c>
      <c r="E1050" s="43">
        <v>93.470853861823798</v>
      </c>
      <c r="F1050" s="43">
        <v>93.522795681062235</v>
      </c>
      <c r="G1050" s="43">
        <v>93.447417116808055</v>
      </c>
      <c r="H1050" s="43">
        <v>93.26537897679296</v>
      </c>
      <c r="I1050" s="43">
        <v>92.994619561109431</v>
      </c>
    </row>
    <row r="1051" spans="1:9">
      <c r="A1051" s="19">
        <v>464.5</v>
      </c>
      <c r="B1051" s="43">
        <v>92.325075564243292</v>
      </c>
      <c r="C1051" s="43">
        <v>92.908426552226302</v>
      </c>
      <c r="D1051" s="43">
        <v>93.288110350353605</v>
      </c>
      <c r="E1051" s="43">
        <v>93.491225046921585</v>
      </c>
      <c r="F1051" s="43">
        <v>93.543573497887905</v>
      </c>
      <c r="G1051" s="43">
        <v>93.468568895373409</v>
      </c>
      <c r="H1051" s="43">
        <v>93.286869776824773</v>
      </c>
      <c r="I1051" s="43">
        <v>93.01641382390315</v>
      </c>
    </row>
    <row r="1052" spans="1:9">
      <c r="A1052" s="19">
        <v>464.6</v>
      </c>
      <c r="B1052" s="43">
        <v>92.344098803207231</v>
      </c>
      <c r="C1052" s="43">
        <v>92.927908796667339</v>
      </c>
      <c r="D1052" s="43">
        <v>93.308046210489749</v>
      </c>
      <c r="E1052" s="43">
        <v>93.511595349835545</v>
      </c>
      <c r="F1052" s="43">
        <v>93.564350446488447</v>
      </c>
      <c r="G1052" s="43">
        <v>93.489719845818541</v>
      </c>
      <c r="H1052" s="43">
        <v>93.308359809835935</v>
      </c>
      <c r="I1052" s="43">
        <v>93.038207397635404</v>
      </c>
    </row>
    <row r="1053" spans="1:9">
      <c r="A1053" s="19">
        <v>464.7</v>
      </c>
      <c r="B1053" s="43">
        <v>92.363121334549902</v>
      </c>
      <c r="C1053" s="43">
        <v>92.947390233859238</v>
      </c>
      <c r="D1053" s="43">
        <v>93.327981206857174</v>
      </c>
      <c r="E1053" s="43">
        <v>93.531964770729729</v>
      </c>
      <c r="F1053" s="43">
        <v>93.585126526955719</v>
      </c>
      <c r="G1053" s="43">
        <v>93.510869968151667</v>
      </c>
      <c r="H1053" s="43">
        <v>93.329849075756442</v>
      </c>
      <c r="I1053" s="43">
        <v>93.060000282159109</v>
      </c>
    </row>
    <row r="1054" spans="1:9">
      <c r="A1054" s="19">
        <v>464.8</v>
      </c>
      <c r="B1054" s="43">
        <v>92.382143158703968</v>
      </c>
      <c r="C1054" s="43">
        <v>92.966870864181089</v>
      </c>
      <c r="D1054" s="43">
        <v>93.347915339747971</v>
      </c>
      <c r="E1054" s="43">
        <v>93.552333309811701</v>
      </c>
      <c r="F1054" s="43">
        <v>93.605901739399172</v>
      </c>
      <c r="G1054" s="43">
        <v>93.532019262395295</v>
      </c>
      <c r="H1054" s="43">
        <v>93.351337574518624</v>
      </c>
      <c r="I1054" s="43">
        <v>93.081792477318317</v>
      </c>
    </row>
    <row r="1055" spans="1:9">
      <c r="A1055" s="19">
        <v>464.9</v>
      </c>
      <c r="B1055" s="43">
        <v>92.401164276102321</v>
      </c>
      <c r="C1055" s="43">
        <v>92.986350687997117</v>
      </c>
      <c r="D1055" s="43">
        <v>93.367848609446298</v>
      </c>
      <c r="E1055" s="43">
        <v>93.572700967286295</v>
      </c>
      <c r="F1055" s="43">
        <v>93.626676083926839</v>
      </c>
      <c r="G1055" s="43">
        <v>93.553167728563295</v>
      </c>
      <c r="H1055" s="43">
        <v>93.372825306055063</v>
      </c>
      <c r="I1055" s="43">
        <v>93.103583982963983</v>
      </c>
    </row>
    <row r="1056" spans="1:9">
      <c r="A1056" s="19">
        <v>465</v>
      </c>
      <c r="B1056" s="43">
        <v>92.420184687083946</v>
      </c>
      <c r="C1056" s="43">
        <v>93.005829705616918</v>
      </c>
      <c r="D1056" s="43">
        <v>93.387781016188455</v>
      </c>
      <c r="E1056" s="43">
        <v>93.593067743304061</v>
      </c>
      <c r="F1056" s="43">
        <v>93.647449560623727</v>
      </c>
      <c r="G1056" s="43">
        <v>93.574315366670874</v>
      </c>
      <c r="H1056" s="43">
        <v>93.394312270295046</v>
      </c>
      <c r="I1056" s="43">
        <v>93.125374798947689</v>
      </c>
    </row>
    <row r="1057" spans="1:9">
      <c r="A1057" s="19">
        <v>465.1</v>
      </c>
      <c r="B1057" s="43">
        <v>92.439204392104244</v>
      </c>
      <c r="C1057" s="43">
        <v>93.025307917388147</v>
      </c>
      <c r="D1057" s="43">
        <v>93.407712560266447</v>
      </c>
      <c r="E1057" s="43">
        <v>93.61343363806111</v>
      </c>
      <c r="F1057" s="43">
        <v>93.66822216959369</v>
      </c>
      <c r="G1057" s="43">
        <v>93.595462176723942</v>
      </c>
      <c r="H1057" s="43">
        <v>93.415798467168685</v>
      </c>
      <c r="I1057" s="43">
        <v>93.147164925122468</v>
      </c>
    </row>
    <row r="1058" spans="1:9">
      <c r="A1058" s="19">
        <v>465.2</v>
      </c>
      <c r="B1058" s="43">
        <v>92.458223391530282</v>
      </c>
      <c r="C1058" s="43">
        <v>93.044785323672414</v>
      </c>
      <c r="D1058" s="43">
        <v>93.427643241923533</v>
      </c>
      <c r="E1058" s="43">
        <v>93.633798651751476</v>
      </c>
      <c r="F1058" s="43">
        <v>93.688993910937654</v>
      </c>
      <c r="G1058" s="43">
        <v>93.616608158744612</v>
      </c>
      <c r="H1058" s="43">
        <v>93.437283896610978</v>
      </c>
      <c r="I1058" s="43">
        <v>93.168954361338621</v>
      </c>
    </row>
    <row r="1059" spans="1:9">
      <c r="A1059" s="19">
        <v>465.3</v>
      </c>
      <c r="B1059" s="43">
        <v>92.47724168582215</v>
      </c>
      <c r="C1059" s="43">
        <v>93.064261924830305</v>
      </c>
      <c r="D1059" s="43">
        <v>93.447573061481648</v>
      </c>
      <c r="E1059" s="43">
        <v>93.654162784575504</v>
      </c>
      <c r="F1059" s="43">
        <v>93.709764784767003</v>
      </c>
      <c r="G1059" s="43">
        <v>93.637753312753716</v>
      </c>
      <c r="H1059" s="43">
        <v>93.458768558554539</v>
      </c>
      <c r="I1059" s="43">
        <v>93.190743107442728</v>
      </c>
    </row>
    <row r="1060" spans="1:9">
      <c r="A1060" s="19">
        <v>465.4</v>
      </c>
      <c r="B1060" s="43">
        <v>92.496259275378975</v>
      </c>
      <c r="C1060" s="43">
        <v>93.083737721230278</v>
      </c>
      <c r="D1060" s="43">
        <v>93.467502019212276</v>
      </c>
      <c r="E1060" s="43">
        <v>93.67452603672092</v>
      </c>
      <c r="F1060" s="43">
        <v>93.730534791189484</v>
      </c>
      <c r="G1060" s="43">
        <v>93.658897638769133</v>
      </c>
      <c r="H1060" s="43">
        <v>93.4802524529332</v>
      </c>
      <c r="I1060" s="43">
        <v>93.212531163288446</v>
      </c>
    </row>
    <row r="1061" spans="1:9">
      <c r="A1061" s="19">
        <v>465.5</v>
      </c>
      <c r="B1061" s="43">
        <v>92.515276160567822</v>
      </c>
      <c r="C1061" s="43">
        <v>93.103212713168091</v>
      </c>
      <c r="D1061" s="43">
        <v>93.487430115351088</v>
      </c>
      <c r="E1061" s="43">
        <v>93.694888408368456</v>
      </c>
      <c r="F1061" s="43">
        <v>93.751303930292664</v>
      </c>
      <c r="G1061" s="43">
        <v>93.680041136796689</v>
      </c>
      <c r="H1061" s="43">
        <v>93.501735579677103</v>
      </c>
      <c r="I1061" s="43">
        <v>93.23431852872929</v>
      </c>
    </row>
    <row r="1062" spans="1:9">
      <c r="A1062" s="19">
        <v>465.6</v>
      </c>
      <c r="B1062" s="43">
        <v>92.534292341823317</v>
      </c>
      <c r="C1062" s="43">
        <v>93.122686901015271</v>
      </c>
      <c r="D1062" s="43">
        <v>93.507357350188045</v>
      </c>
      <c r="E1062" s="43">
        <v>93.715249899696289</v>
      </c>
      <c r="F1062" s="43">
        <v>93.772072202176702</v>
      </c>
      <c r="G1062" s="43">
        <v>93.701183806861565</v>
      </c>
      <c r="H1062" s="43">
        <v>93.523217938719682</v>
      </c>
      <c r="I1062" s="43">
        <v>93.256105203618034</v>
      </c>
    </row>
    <row r="1063" spans="1:9">
      <c r="A1063" s="19">
        <v>465.7</v>
      </c>
      <c r="B1063" s="43">
        <v>92.553307819500503</v>
      </c>
      <c r="C1063" s="43">
        <v>93.142160285109981</v>
      </c>
      <c r="D1063" s="43">
        <v>93.527283723977945</v>
      </c>
      <c r="E1063" s="43">
        <v>93.735610510898908</v>
      </c>
      <c r="F1063" s="43">
        <v>93.79283960694292</v>
      </c>
      <c r="G1063" s="43">
        <v>93.722325648970525</v>
      </c>
      <c r="H1063" s="43">
        <v>93.544699529995768</v>
      </c>
      <c r="I1063" s="43">
        <v>93.277891187806972</v>
      </c>
    </row>
    <row r="1064" spans="1:9">
      <c r="A1064" s="19">
        <v>465.8</v>
      </c>
      <c r="B1064" s="43">
        <v>92.572322594091446</v>
      </c>
      <c r="C1064" s="43">
        <v>93.161632865836964</v>
      </c>
      <c r="D1064" s="43">
        <v>93.547209237039851</v>
      </c>
      <c r="E1064" s="43">
        <v>93.755970242183906</v>
      </c>
      <c r="F1064" s="43">
        <v>93.813606144715976</v>
      </c>
      <c r="G1064" s="43">
        <v>93.74346666315563</v>
      </c>
      <c r="H1064" s="43">
        <v>93.566180353439847</v>
      </c>
      <c r="I1064" s="43">
        <v>93.299676481146605</v>
      </c>
    </row>
    <row r="1065" spans="1:9">
      <c r="A1065" s="19">
        <v>465.9</v>
      </c>
      <c r="B1065" s="43">
        <v>92.591336665984642</v>
      </c>
      <c r="C1065" s="43">
        <v>93.181104643540209</v>
      </c>
      <c r="D1065" s="43">
        <v>93.567133889634277</v>
      </c>
      <c r="E1065" s="43">
        <v>93.776329093737303</v>
      </c>
      <c r="F1065" s="43">
        <v>93.834371815589321</v>
      </c>
      <c r="G1065" s="43">
        <v>93.764606849429754</v>
      </c>
      <c r="H1065" s="43">
        <v>93.58766040898783</v>
      </c>
      <c r="I1065" s="43">
        <v>93.321461083489936</v>
      </c>
    </row>
    <row r="1066" spans="1:9">
      <c r="A1066" s="19">
        <v>466</v>
      </c>
      <c r="B1066" s="43">
        <v>92.610350035546929</v>
      </c>
      <c r="C1066" s="43">
        <v>93.200575618532753</v>
      </c>
      <c r="D1066" s="43">
        <v>93.587057682010851</v>
      </c>
      <c r="E1066" s="43">
        <v>93.796687065728236</v>
      </c>
      <c r="F1066" s="43">
        <v>93.855136619658367</v>
      </c>
      <c r="G1066" s="43">
        <v>93.785746207808131</v>
      </c>
      <c r="H1066" s="43">
        <v>93.609139696570452</v>
      </c>
      <c r="I1066" s="43">
        <v>93.343244994693947</v>
      </c>
    </row>
    <row r="1067" spans="1:9">
      <c r="A1067" s="19">
        <v>466.1</v>
      </c>
      <c r="B1067" s="43">
        <v>92.629362703190679</v>
      </c>
      <c r="C1067" s="43">
        <v>93.22004579119087</v>
      </c>
      <c r="D1067" s="43">
        <v>93.60698061444873</v>
      </c>
      <c r="E1067" s="43">
        <v>93.817044158359892</v>
      </c>
      <c r="F1067" s="43">
        <v>93.875900557031628</v>
      </c>
      <c r="G1067" s="43">
        <v>93.806884738307446</v>
      </c>
      <c r="H1067" s="43">
        <v>93.630618216123878</v>
      </c>
      <c r="I1067" s="43">
        <v>93.365028214611357</v>
      </c>
    </row>
    <row r="1068" spans="1:9">
      <c r="A1068" s="19">
        <v>466.2</v>
      </c>
      <c r="B1068" s="43">
        <v>92.648374669322209</v>
      </c>
      <c r="C1068" s="43">
        <v>93.239515161840927</v>
      </c>
      <c r="D1068" s="43">
        <v>93.626902687216784</v>
      </c>
      <c r="E1068" s="43">
        <v>93.837400371817125</v>
      </c>
      <c r="F1068" s="43">
        <v>93.896663627807072</v>
      </c>
      <c r="G1068" s="43">
        <v>93.828022440943442</v>
      </c>
      <c r="H1068" s="43">
        <v>93.65209596758308</v>
      </c>
      <c r="I1068" s="43">
        <v>93.386810743097442</v>
      </c>
    </row>
    <row r="1069" spans="1:9">
      <c r="A1069" s="19">
        <v>466.3</v>
      </c>
      <c r="B1069" s="43">
        <v>92.66738593437924</v>
      </c>
      <c r="C1069" s="43">
        <v>93.258983730858716</v>
      </c>
      <c r="D1069" s="43">
        <v>93.646823900617051</v>
      </c>
      <c r="E1069" s="43">
        <v>93.857755706304772</v>
      </c>
      <c r="F1069" s="43">
        <v>93.917425832096626</v>
      </c>
      <c r="G1069" s="43">
        <v>93.849159315743236</v>
      </c>
      <c r="H1069" s="43">
        <v>93.673572950884619</v>
      </c>
      <c r="I1069" s="43">
        <v>93.408592580004097</v>
      </c>
    </row>
    <row r="1070" spans="1:9">
      <c r="A1070" s="19">
        <v>466.4</v>
      </c>
      <c r="B1070" s="43">
        <v>92.68639649877008</v>
      </c>
      <c r="C1070" s="43">
        <v>93.278451498618381</v>
      </c>
      <c r="D1070" s="43">
        <v>93.666744254923913</v>
      </c>
      <c r="E1070" s="43">
        <v>93.878110162008369</v>
      </c>
      <c r="F1070" s="43">
        <v>93.938187170009968</v>
      </c>
      <c r="G1070" s="43">
        <v>93.870295362726125</v>
      </c>
      <c r="H1070" s="43">
        <v>93.695049165966566</v>
      </c>
      <c r="I1070" s="43">
        <v>93.430373725186456</v>
      </c>
    </row>
    <row r="1071" spans="1:9">
      <c r="A1071" s="19">
        <v>466.5</v>
      </c>
      <c r="B1071" s="43">
        <v>92.705406362868985</v>
      </c>
      <c r="C1071" s="43">
        <v>93.297918465413176</v>
      </c>
      <c r="D1071" s="43">
        <v>93.68666375038913</v>
      </c>
      <c r="E1071" s="43">
        <v>93.898463739113424</v>
      </c>
      <c r="F1071" s="43">
        <v>93.958947641636115</v>
      </c>
      <c r="G1071" s="43">
        <v>93.891430581906206</v>
      </c>
      <c r="H1071" s="43">
        <v>93.716524612760054</v>
      </c>
      <c r="I1071" s="43">
        <v>93.452154178500962</v>
      </c>
    </row>
    <row r="1072" spans="1:9">
      <c r="A1072" s="19">
        <v>466.6</v>
      </c>
      <c r="B1072" s="43">
        <v>92.724415527090542</v>
      </c>
      <c r="C1072" s="43">
        <v>93.31738463161858</v>
      </c>
      <c r="D1072" s="43">
        <v>93.706582387294191</v>
      </c>
      <c r="E1072" s="43">
        <v>93.918816437805077</v>
      </c>
      <c r="F1072" s="43">
        <v>93.97970724709262</v>
      </c>
      <c r="G1072" s="43">
        <v>93.912564973303432</v>
      </c>
      <c r="H1072" s="43">
        <v>93.737999291204801</v>
      </c>
      <c r="I1072" s="43">
        <v>93.473933939804084</v>
      </c>
    </row>
    <row r="1073" spans="1:9">
      <c r="A1073" s="19">
        <v>466.7</v>
      </c>
      <c r="B1073" s="43">
        <v>92.743423991828934</v>
      </c>
      <c r="C1073" s="43">
        <v>93.336849997560847</v>
      </c>
      <c r="D1073" s="43">
        <v>93.726500165897335</v>
      </c>
      <c r="E1073" s="43">
        <v>93.939168258272389</v>
      </c>
      <c r="F1073" s="43">
        <v>94.000465986473216</v>
      </c>
      <c r="G1073" s="43">
        <v>93.933698536932638</v>
      </c>
      <c r="H1073" s="43">
        <v>93.759473201233789</v>
      </c>
      <c r="I1073" s="43">
        <v>93.495713008952151</v>
      </c>
    </row>
    <row r="1074" spans="1:9">
      <c r="A1074" s="19">
        <v>466.8</v>
      </c>
      <c r="B1074" s="43">
        <v>92.762431757525661</v>
      </c>
      <c r="C1074" s="43">
        <v>93.356314563634271</v>
      </c>
      <c r="D1074" s="43">
        <v>93.746417086511315</v>
      </c>
      <c r="E1074" s="43">
        <v>93.95951920072963</v>
      </c>
      <c r="F1074" s="43">
        <v>94.021223859892672</v>
      </c>
      <c r="G1074" s="43">
        <v>93.954831272824322</v>
      </c>
      <c r="H1074" s="43">
        <v>93.780946342787502</v>
      </c>
      <c r="I1074" s="43">
        <v>93.517491385799389</v>
      </c>
    </row>
    <row r="1075" spans="1:9">
      <c r="A1075" s="19">
        <v>466.9</v>
      </c>
      <c r="B1075" s="43">
        <v>92.781438824588804</v>
      </c>
      <c r="C1075" s="43">
        <v>93.375778330178349</v>
      </c>
      <c r="D1075" s="43">
        <v>93.766333149399316</v>
      </c>
      <c r="E1075" s="43">
        <v>93.979869265359923</v>
      </c>
      <c r="F1075" s="43">
        <v>94.041980867462001</v>
      </c>
      <c r="G1075" s="43">
        <v>93.97596318099815</v>
      </c>
      <c r="H1075" s="43">
        <v>93.802418715804549</v>
      </c>
      <c r="I1075" s="43">
        <v>93.539269070201755</v>
      </c>
    </row>
    <row r="1076" spans="1:9">
      <c r="A1076" s="19">
        <v>467</v>
      </c>
      <c r="B1076" s="43">
        <v>92.800445193387787</v>
      </c>
      <c r="C1076" s="43">
        <v>93.395241297520954</v>
      </c>
      <c r="D1076" s="43">
        <v>93.786248354811136</v>
      </c>
      <c r="E1076" s="43">
        <v>94.000218452340675</v>
      </c>
      <c r="F1076" s="43">
        <v>94.062737009268176</v>
      </c>
      <c r="G1076" s="43">
        <v>93.997094261466202</v>
      </c>
      <c r="H1076" s="43">
        <v>93.823890320219249</v>
      </c>
      <c r="I1076" s="43">
        <v>93.561046062018534</v>
      </c>
    </row>
    <row r="1077" spans="1:9">
      <c r="A1077" s="19">
        <v>467.1</v>
      </c>
      <c r="B1077" s="43">
        <v>92.819450864338677</v>
      </c>
      <c r="C1077" s="43">
        <v>93.414703466019205</v>
      </c>
      <c r="D1077" s="43">
        <v>93.806162703051598</v>
      </c>
      <c r="E1077" s="43">
        <v>94.020566761870668</v>
      </c>
      <c r="F1077" s="43">
        <v>94.083492285431447</v>
      </c>
      <c r="G1077" s="43">
        <v>94.018224514253291</v>
      </c>
      <c r="H1077" s="43">
        <v>93.845361155969016</v>
      </c>
      <c r="I1077" s="43">
        <v>93.582822361107162</v>
      </c>
    </row>
    <row r="1078" spans="1:9">
      <c r="A1078" s="19">
        <v>467.2</v>
      </c>
      <c r="B1078" s="43">
        <v>92.83845583783787</v>
      </c>
      <c r="C1078" s="43">
        <v>93.434164836000292</v>
      </c>
      <c r="D1078" s="43">
        <v>93.826076194361718</v>
      </c>
      <c r="E1078" s="43">
        <v>94.040914194134842</v>
      </c>
      <c r="F1078" s="43">
        <v>94.104246696045664</v>
      </c>
      <c r="G1078" s="43">
        <v>94.039353939376952</v>
      </c>
      <c r="H1078" s="43">
        <v>93.866831222992744</v>
      </c>
      <c r="I1078" s="43">
        <v>93.604597967324196</v>
      </c>
    </row>
    <row r="1079" spans="1:9">
      <c r="A1079" s="19">
        <v>467.3</v>
      </c>
      <c r="B1079" s="43">
        <v>92.857460114332412</v>
      </c>
      <c r="C1079" s="43">
        <v>93.453625407861693</v>
      </c>
      <c r="D1079" s="43">
        <v>93.845988829049674</v>
      </c>
      <c r="E1079" s="43">
        <v>94.061260749338743</v>
      </c>
      <c r="F1079" s="43">
        <v>94.12500024122761</v>
      </c>
      <c r="G1079" s="43">
        <v>94.06048253686464</v>
      </c>
      <c r="H1079" s="43">
        <v>93.888300521229382</v>
      </c>
      <c r="I1079" s="43">
        <v>93.626372880528322</v>
      </c>
    </row>
    <row r="1080" spans="1:9">
      <c r="A1080" s="19">
        <v>467.4</v>
      </c>
      <c r="B1080" s="43">
        <v>92.876463694235184</v>
      </c>
      <c r="C1080" s="43">
        <v>93.47308518196084</v>
      </c>
      <c r="D1080" s="43">
        <v>93.86590060739951</v>
      </c>
      <c r="E1080" s="43">
        <v>94.081606427686296</v>
      </c>
      <c r="F1080" s="43">
        <v>94.145752921095948</v>
      </c>
      <c r="G1080" s="43">
        <v>94.081610306740544</v>
      </c>
      <c r="H1080" s="43">
        <v>93.90976905062135</v>
      </c>
      <c r="I1080" s="43">
        <v>93.648147100574846</v>
      </c>
    </row>
    <row r="1081" spans="1:9">
      <c r="A1081" s="19">
        <v>467.5</v>
      </c>
      <c r="B1081" s="43">
        <v>92.895466577894467</v>
      </c>
      <c r="C1081" s="43">
        <v>93.492544158594796</v>
      </c>
      <c r="D1081" s="43">
        <v>93.885811529664323</v>
      </c>
      <c r="E1081" s="43">
        <v>94.101951229346184</v>
      </c>
      <c r="F1081" s="43">
        <v>94.166504735735657</v>
      </c>
      <c r="G1081" s="43">
        <v>94.102737249018816</v>
      </c>
      <c r="H1081" s="43">
        <v>93.931236811102877</v>
      </c>
      <c r="I1081" s="43">
        <v>93.669920627325382</v>
      </c>
    </row>
    <row r="1082" spans="1:9">
      <c r="A1082" s="19">
        <v>467.6</v>
      </c>
      <c r="B1082" s="43">
        <v>92.914468765737467</v>
      </c>
      <c r="C1082" s="43">
        <v>93.512002338129264</v>
      </c>
      <c r="D1082" s="43">
        <v>93.905721596101699</v>
      </c>
      <c r="E1082" s="43">
        <v>94.122295154507071</v>
      </c>
      <c r="F1082" s="43">
        <v>94.187255685250278</v>
      </c>
      <c r="G1082" s="43">
        <v>94.123863363718073</v>
      </c>
      <c r="H1082" s="43">
        <v>93.952703802611182</v>
      </c>
      <c r="I1082" s="43">
        <v>93.691693460639669</v>
      </c>
    </row>
    <row r="1083" spans="1:9">
      <c r="A1083" s="19">
        <v>467.7</v>
      </c>
      <c r="B1083" s="43">
        <v>92.933470258134889</v>
      </c>
      <c r="C1083" s="43">
        <v>93.531459720900415</v>
      </c>
      <c r="D1083" s="43">
        <v>93.925630806993837</v>
      </c>
      <c r="E1083" s="43">
        <v>94.142638203358246</v>
      </c>
      <c r="F1083" s="43">
        <v>94.208005769754891</v>
      </c>
      <c r="G1083" s="43">
        <v>94.144988650861137</v>
      </c>
      <c r="H1083" s="43">
        <v>93.974170025088938</v>
      </c>
      <c r="I1083" s="43">
        <v>93.713465600376736</v>
      </c>
    </row>
    <row r="1084" spans="1:9">
      <c r="A1084" s="19">
        <v>467.8</v>
      </c>
      <c r="B1084" s="43">
        <v>92.952471055589058</v>
      </c>
      <c r="C1084" s="43">
        <v>93.550916307304789</v>
      </c>
      <c r="D1084" s="43">
        <v>93.945539162652409</v>
      </c>
      <c r="E1084" s="43">
        <v>94.162980376125859</v>
      </c>
      <c r="F1084" s="43">
        <v>94.22875498936304</v>
      </c>
      <c r="G1084" s="43">
        <v>94.166113110485924</v>
      </c>
      <c r="H1084" s="43">
        <v>93.995635478477993</v>
      </c>
      <c r="I1084" s="43">
        <v>93.735237046393877</v>
      </c>
    </row>
    <row r="1085" spans="1:9">
      <c r="A1085" s="19">
        <v>467.9</v>
      </c>
      <c r="B1085" s="43">
        <v>92.971471158455643</v>
      </c>
      <c r="C1085" s="43">
        <v>93.570372097687851</v>
      </c>
      <c r="D1085" s="43">
        <v>93.965446663349553</v>
      </c>
      <c r="E1085" s="43">
        <v>94.183321672990388</v>
      </c>
      <c r="F1085" s="43">
        <v>94.249503344185399</v>
      </c>
      <c r="G1085" s="43">
        <v>94.187236742605933</v>
      </c>
      <c r="H1085" s="43">
        <v>94.017100162717469</v>
      </c>
      <c r="I1085" s="43">
        <v>93.757007798550433</v>
      </c>
    </row>
    <row r="1086" spans="1:9">
      <c r="A1086" s="19">
        <v>468</v>
      </c>
      <c r="B1086" s="43">
        <v>92.990470567131041</v>
      </c>
      <c r="C1086" s="43">
        <v>93.5898270923756</v>
      </c>
      <c r="D1086" s="43">
        <v>93.985353309333163</v>
      </c>
      <c r="E1086" s="43">
        <v>94.203662094126287</v>
      </c>
      <c r="F1086" s="43">
        <v>94.270250834317551</v>
      </c>
      <c r="G1086" s="43">
        <v>94.208359547238956</v>
      </c>
      <c r="H1086" s="43">
        <v>94.038564077746713</v>
      </c>
      <c r="I1086" s="43">
        <v>93.778777856710235</v>
      </c>
    </row>
    <row r="1087" spans="1:9">
      <c r="A1087" s="19">
        <v>468.1</v>
      </c>
      <c r="B1087" s="43">
        <v>93.009469282014578</v>
      </c>
      <c r="C1087" s="43">
        <v>93.609281291707191</v>
      </c>
      <c r="D1087" s="43">
        <v>94.005259100873786</v>
      </c>
      <c r="E1087" s="43">
        <v>94.224001639749503</v>
      </c>
      <c r="F1087" s="43">
        <v>94.290997459873751</v>
      </c>
      <c r="G1087" s="43">
        <v>94.229481524412535</v>
      </c>
      <c r="H1087" s="43">
        <v>94.060027223506466</v>
      </c>
      <c r="I1087" s="43">
        <v>93.800547220732284</v>
      </c>
    </row>
    <row r="1088" spans="1:9">
      <c r="A1088" s="19">
        <v>468.2</v>
      </c>
      <c r="B1088" s="43">
        <v>93.02846730351132</v>
      </c>
      <c r="C1088" s="43">
        <v>93.628734696037867</v>
      </c>
      <c r="D1088" s="43">
        <v>94.025164038267377</v>
      </c>
      <c r="E1088" s="43">
        <v>94.244340310023006</v>
      </c>
      <c r="F1088" s="43">
        <v>94.311743220955691</v>
      </c>
      <c r="G1088" s="43">
        <v>94.250602674147245</v>
      </c>
      <c r="H1088" s="43">
        <v>94.081489599936958</v>
      </c>
      <c r="I1088" s="43">
        <v>93.822315890477938</v>
      </c>
    </row>
    <row r="1089" spans="1:9">
      <c r="A1089" s="19">
        <v>468.3</v>
      </c>
      <c r="B1089" s="43">
        <v>93.04746463205521</v>
      </c>
      <c r="C1089" s="43">
        <v>93.648187305736116</v>
      </c>
      <c r="D1089" s="43">
        <v>94.045068121799744</v>
      </c>
      <c r="E1089" s="43">
        <v>94.264678105175165</v>
      </c>
      <c r="F1089" s="43">
        <v>94.332488117678821</v>
      </c>
      <c r="G1089" s="43">
        <v>94.271722996473983</v>
      </c>
      <c r="H1089" s="43">
        <v>94.102951206981857</v>
      </c>
      <c r="I1089" s="43">
        <v>93.84408386580688</v>
      </c>
    </row>
    <row r="1090" spans="1:9">
      <c r="A1090" s="19">
        <v>468.4</v>
      </c>
      <c r="B1090" s="43">
        <v>93.066461268059498</v>
      </c>
      <c r="C1090" s="43">
        <v>93.667639121176137</v>
      </c>
      <c r="D1090" s="43">
        <v>94.064971351751609</v>
      </c>
      <c r="E1090" s="43">
        <v>94.28501502539504</v>
      </c>
      <c r="F1090" s="43">
        <v>94.353232150154923</v>
      </c>
      <c r="G1090" s="43">
        <v>94.29284249141503</v>
      </c>
      <c r="H1090" s="43">
        <v>94.124412044583067</v>
      </c>
      <c r="I1090" s="43">
        <v>93.865851146581008</v>
      </c>
    </row>
    <row r="1091" spans="1:9">
      <c r="A1091" s="19">
        <v>468.5</v>
      </c>
      <c r="B1091" s="43">
        <v>93.085457211900518</v>
      </c>
      <c r="C1091" s="43">
        <v>93.687090142659741</v>
      </c>
      <c r="D1091" s="43">
        <v>94.08487372836899</v>
      </c>
      <c r="E1091" s="43">
        <v>94.305351070861605</v>
      </c>
      <c r="F1091" s="43">
        <v>94.373975318487879</v>
      </c>
      <c r="G1091" s="43">
        <v>94.31396115898977</v>
      </c>
      <c r="H1091" s="43">
        <v>94.145872112680877</v>
      </c>
      <c r="I1091" s="43">
        <v>93.887617732663898</v>
      </c>
    </row>
    <row r="1092" spans="1:9">
      <c r="A1092" s="19">
        <v>468.6</v>
      </c>
      <c r="B1092" s="43">
        <v>93.104452463988508</v>
      </c>
      <c r="C1092" s="43">
        <v>93.706540370563033</v>
      </c>
      <c r="D1092" s="43">
        <v>94.104775251936417</v>
      </c>
      <c r="E1092" s="43">
        <v>94.325686241766562</v>
      </c>
      <c r="F1092" s="43">
        <v>94.394717622786914</v>
      </c>
      <c r="G1092" s="43">
        <v>94.335078999226653</v>
      </c>
      <c r="H1092" s="43">
        <v>94.167331411216338</v>
      </c>
      <c r="I1092" s="43">
        <v>93.909383623917449</v>
      </c>
    </row>
    <row r="1093" spans="1:9">
      <c r="A1093" s="19">
        <v>468.7</v>
      </c>
      <c r="B1093" s="43">
        <v>93.123447024698095</v>
      </c>
      <c r="C1093" s="43">
        <v>93.725989805204193</v>
      </c>
      <c r="D1093" s="43">
        <v>94.124675922730091</v>
      </c>
      <c r="E1093" s="43">
        <v>94.346020538307755</v>
      </c>
      <c r="F1093" s="43">
        <v>94.415459063149456</v>
      </c>
      <c r="G1093" s="43">
        <v>94.356196012142249</v>
      </c>
      <c r="H1093" s="43">
        <v>94.188789940132864</v>
      </c>
      <c r="I1093" s="43">
        <v>93.931148820204157</v>
      </c>
    </row>
    <row r="1094" spans="1:9">
      <c r="A1094" s="19">
        <v>468.8</v>
      </c>
      <c r="B1094" s="43">
        <v>93.142440894508951</v>
      </c>
      <c r="C1094" s="43">
        <v>93.745438446979648</v>
      </c>
      <c r="D1094" s="43">
        <v>94.144575741054211</v>
      </c>
      <c r="E1094" s="43">
        <v>94.36635396069903</v>
      </c>
      <c r="F1094" s="43">
        <v>94.43619963970275</v>
      </c>
      <c r="G1094" s="43">
        <v>94.377312197774842</v>
      </c>
      <c r="H1094" s="43">
        <v>94.210247699375998</v>
      </c>
      <c r="I1094" s="43">
        <v>93.952913321385154</v>
      </c>
    </row>
    <row r="1095" spans="1:9">
      <c r="A1095" s="19">
        <v>468.9</v>
      </c>
      <c r="B1095" s="43">
        <v>93.161434073796443</v>
      </c>
      <c r="C1095" s="43">
        <v>93.764886296242537</v>
      </c>
      <c r="D1095" s="43">
        <v>94.164474707181228</v>
      </c>
      <c r="E1095" s="43">
        <v>94.386686509126378</v>
      </c>
      <c r="F1095" s="43">
        <v>94.456939352561534</v>
      </c>
      <c r="G1095" s="43">
        <v>94.398427556149585</v>
      </c>
      <c r="H1095" s="43">
        <v>94.231704688887731</v>
      </c>
      <c r="I1095" s="43">
        <v>93.974677127324497</v>
      </c>
    </row>
    <row r="1096" spans="1:9">
      <c r="A1096" s="19">
        <v>469</v>
      </c>
      <c r="B1096" s="43">
        <v>93.180426562949492</v>
      </c>
      <c r="C1096" s="43">
        <v>93.784333353312519</v>
      </c>
      <c r="D1096" s="43">
        <v>94.184372821355367</v>
      </c>
      <c r="E1096" s="43">
        <v>94.407018183767207</v>
      </c>
      <c r="F1096" s="43">
        <v>94.477678201816246</v>
      </c>
      <c r="G1096" s="43">
        <v>94.419542087276596</v>
      </c>
      <c r="H1096" s="43">
        <v>94.253160908609431</v>
      </c>
      <c r="I1096" s="43">
        <v>93.996440237887555</v>
      </c>
    </row>
    <row r="1097" spans="1:9">
      <c r="A1097" s="19">
        <v>469.1</v>
      </c>
      <c r="B1097" s="43">
        <v>93.199418362363303</v>
      </c>
      <c r="C1097" s="43">
        <v>93.803779618526562</v>
      </c>
      <c r="D1097" s="43">
        <v>94.204270083872728</v>
      </c>
      <c r="E1097" s="43">
        <v>94.427348984825585</v>
      </c>
      <c r="F1097" s="43">
        <v>94.498416187583814</v>
      </c>
      <c r="G1097" s="43">
        <v>94.440655791194018</v>
      </c>
      <c r="H1097" s="43">
        <v>94.274616358484593</v>
      </c>
      <c r="I1097" s="43">
        <v>94.018202652936253</v>
      </c>
    </row>
    <row r="1098" spans="1:9">
      <c r="A1098" s="19">
        <v>469.2</v>
      </c>
      <c r="B1098" s="43">
        <v>93.218409472445188</v>
      </c>
      <c r="C1098" s="43">
        <v>93.823225092260031</v>
      </c>
      <c r="D1098" s="43">
        <v>94.224166495002834</v>
      </c>
      <c r="E1098" s="43">
        <v>94.447678912498361</v>
      </c>
      <c r="F1098" s="43">
        <v>94.519153309971301</v>
      </c>
      <c r="G1098" s="43">
        <v>94.461768667922655</v>
      </c>
      <c r="H1098" s="43">
        <v>94.296071038458194</v>
      </c>
      <c r="I1098" s="43">
        <v>94.039964372336726</v>
      </c>
    </row>
    <row r="1099" spans="1:9">
      <c r="A1099" s="19">
        <v>469.3</v>
      </c>
      <c r="B1099" s="43">
        <v>93.23739989364293</v>
      </c>
      <c r="C1099" s="43">
        <v>93.842669774867971</v>
      </c>
      <c r="D1099" s="43">
        <v>94.244062055038455</v>
      </c>
      <c r="E1099" s="43">
        <v>94.468007966986193</v>
      </c>
      <c r="F1099" s="43">
        <v>94.539889569094385</v>
      </c>
      <c r="G1099" s="43">
        <v>94.482880717492037</v>
      </c>
      <c r="H1099" s="43">
        <v>94.317524948474357</v>
      </c>
      <c r="I1099" s="43">
        <v>94.061725395952209</v>
      </c>
    </row>
    <row r="1100" spans="1:9">
      <c r="A1100" s="19">
        <v>469.4</v>
      </c>
      <c r="B1100" s="43">
        <v>93.256389626364921</v>
      </c>
      <c r="C1100" s="43">
        <v>93.862113666720688</v>
      </c>
      <c r="D1100" s="43">
        <v>94.263956764263611</v>
      </c>
      <c r="E1100" s="43">
        <v>94.488336148494454</v>
      </c>
      <c r="F1100" s="43">
        <v>94.560624965073401</v>
      </c>
      <c r="G1100" s="43">
        <v>94.503991939936668</v>
      </c>
      <c r="H1100" s="43">
        <v>94.33897808848198</v>
      </c>
      <c r="I1100" s="43">
        <v>94.08348572364585</v>
      </c>
    </row>
    <row r="1101" spans="1:9">
      <c r="A1101" s="19">
        <v>469.5</v>
      </c>
      <c r="B1101" s="43">
        <v>93.275378670961089</v>
      </c>
      <c r="C1101" s="43">
        <v>93.88155676812454</v>
      </c>
      <c r="D1101" s="43">
        <v>94.283850622927417</v>
      </c>
      <c r="E1101" s="43">
        <v>94.50866345719129</v>
      </c>
      <c r="F1101" s="43">
        <v>94.581359498001206</v>
      </c>
      <c r="G1101" s="43">
        <v>94.525102335264876</v>
      </c>
      <c r="H1101" s="43">
        <v>94.360430458420097</v>
      </c>
      <c r="I1101" s="43">
        <v>94.105245355285518</v>
      </c>
    </row>
    <row r="1102" spans="1:9">
      <c r="A1102" s="19">
        <v>469.6</v>
      </c>
      <c r="B1102" s="43">
        <v>93.294367027862648</v>
      </c>
      <c r="C1102" s="43">
        <v>93.900999079445825</v>
      </c>
      <c r="D1102" s="43">
        <v>94.30374363132637</v>
      </c>
      <c r="E1102" s="43">
        <v>94.528989893287871</v>
      </c>
      <c r="F1102" s="43">
        <v>94.602093167997339</v>
      </c>
      <c r="G1102" s="43">
        <v>94.546211903515342</v>
      </c>
      <c r="H1102" s="43">
        <v>94.381882058233685</v>
      </c>
      <c r="I1102" s="43">
        <v>94.127004290736465</v>
      </c>
    </row>
    <row r="1103" spans="1:9">
      <c r="A1103" s="19">
        <v>469.7</v>
      </c>
      <c r="B1103" s="43">
        <v>93.313354697441355</v>
      </c>
      <c r="C1103" s="43">
        <v>93.92044060102225</v>
      </c>
      <c r="D1103" s="43">
        <v>94.323635789720385</v>
      </c>
      <c r="E1103" s="43">
        <v>94.5493154569578</v>
      </c>
      <c r="F1103" s="43">
        <v>94.622825975161845</v>
      </c>
      <c r="G1103" s="43">
        <v>94.567320644707564</v>
      </c>
      <c r="H1103" s="43">
        <v>94.403332887869681</v>
      </c>
      <c r="I1103" s="43">
        <v>94.14876252986528</v>
      </c>
    </row>
    <row r="1104" spans="1:9">
      <c r="A1104" s="19">
        <v>469.8</v>
      </c>
      <c r="B1104" s="43">
        <v>93.332341680178303</v>
      </c>
      <c r="C1104" s="43">
        <v>93.939881333248309</v>
      </c>
      <c r="D1104" s="43">
        <v>94.343527098422243</v>
      </c>
      <c r="E1104" s="43">
        <v>94.569640148438509</v>
      </c>
      <c r="F1104" s="43">
        <v>94.643557919631093</v>
      </c>
      <c r="G1104" s="43">
        <v>94.588428558883948</v>
      </c>
      <c r="H1104" s="43">
        <v>94.424782947275588</v>
      </c>
      <c r="I1104" s="43">
        <v>94.170520072535254</v>
      </c>
    </row>
    <row r="1105" spans="1:9">
      <c r="A1105" s="19">
        <v>469.9</v>
      </c>
      <c r="B1105" s="43">
        <v>93.351327976448289</v>
      </c>
      <c r="C1105" s="43">
        <v>93.959321276458496</v>
      </c>
      <c r="D1105" s="43">
        <v>94.363417557694135</v>
      </c>
      <c r="E1105" s="43">
        <v>94.589963967918862</v>
      </c>
      <c r="F1105" s="43">
        <v>94.664289001506802</v>
      </c>
      <c r="G1105" s="43">
        <v>94.609535646062938</v>
      </c>
      <c r="H1105" s="43">
        <v>94.446232236398089</v>
      </c>
      <c r="I1105" s="43">
        <v>94.192276918614084</v>
      </c>
    </row>
    <row r="1106" spans="1:9">
      <c r="A1106" s="19">
        <v>470</v>
      </c>
      <c r="B1106" s="43">
        <v>93.338179306641877</v>
      </c>
      <c r="C1106" s="43">
        <v>93.950409013573505</v>
      </c>
      <c r="D1106" s="43">
        <v>94.359263123580774</v>
      </c>
      <c r="E1106" s="43">
        <v>94.590952361263078</v>
      </c>
      <c r="F1106" s="43">
        <v>94.670690985487113</v>
      </c>
      <c r="G1106" s="43">
        <v>94.621529698381408</v>
      </c>
      <c r="H1106" s="43">
        <v>94.463923357219016</v>
      </c>
      <c r="I1106" s="43">
        <v>94.215711548789443</v>
      </c>
    </row>
    <row r="1107" spans="1:9">
      <c r="A1107" s="19">
        <v>470.1</v>
      </c>
      <c r="B1107" s="43">
        <v>93.324935657614873</v>
      </c>
      <c r="C1107" s="43">
        <v>93.941397083172717</v>
      </c>
      <c r="D1107" s="43">
        <v>94.355005441584211</v>
      </c>
      <c r="E1107" s="43">
        <v>94.591835084810384</v>
      </c>
      <c r="F1107" s="43">
        <v>94.67698581172138</v>
      </c>
      <c r="G1107" s="43">
        <v>94.633415678450376</v>
      </c>
      <c r="H1107" s="43">
        <v>94.481505664240927</v>
      </c>
      <c r="I1107" s="43">
        <v>94.239036416082314</v>
      </c>
    </row>
    <row r="1108" spans="1:9">
      <c r="A1108" s="19">
        <v>470.2</v>
      </c>
      <c r="B1108" s="43">
        <v>93.343850296709149</v>
      </c>
      <c r="C1108" s="43">
        <v>93.960756180625879</v>
      </c>
      <c r="D1108" s="43">
        <v>94.374805963035641</v>
      </c>
      <c r="E1108" s="43">
        <v>94.612060310965916</v>
      </c>
      <c r="F1108" s="43">
        <v>94.69761028198738</v>
      </c>
      <c r="G1108" s="43">
        <v>94.654408881975201</v>
      </c>
      <c r="H1108" s="43">
        <v>94.502834597578527</v>
      </c>
      <c r="I1108" s="43">
        <v>94.260667256833244</v>
      </c>
    </row>
    <row r="1109" spans="1:9">
      <c r="A1109" s="19">
        <v>470.3</v>
      </c>
      <c r="B1109" s="43">
        <v>93.362764250645824</v>
      </c>
      <c r="C1109" s="43">
        <v>93.980114491626978</v>
      </c>
      <c r="D1109" s="43">
        <v>94.39460563699015</v>
      </c>
      <c r="E1109" s="43">
        <v>94.632284664902443</v>
      </c>
      <c r="F1109" s="43">
        <v>94.718233886095277</v>
      </c>
      <c r="G1109" s="43">
        <v>94.675401250694506</v>
      </c>
      <c r="H1109" s="43">
        <v>94.524162747853154</v>
      </c>
      <c r="I1109" s="43">
        <v>94.28229738267666</v>
      </c>
    </row>
    <row r="1110" spans="1:9">
      <c r="A1110" s="19">
        <v>470.4</v>
      </c>
      <c r="B1110" s="43">
        <v>93.381677519796227</v>
      </c>
      <c r="C1110" s="43">
        <v>93.999472016489193</v>
      </c>
      <c r="D1110" s="43">
        <v>94.414404463704983</v>
      </c>
      <c r="E1110" s="43">
        <v>94.652508146796549</v>
      </c>
      <c r="F1110" s="43">
        <v>94.73885662416842</v>
      </c>
      <c r="G1110" s="43">
        <v>94.69639278464544</v>
      </c>
      <c r="H1110" s="43">
        <v>94.54549011502499</v>
      </c>
      <c r="I1110" s="43">
        <v>94.303926793500466</v>
      </c>
    </row>
    <row r="1111" spans="1:9">
      <c r="A1111" s="19">
        <v>470.5</v>
      </c>
      <c r="B1111" s="43">
        <v>93.400590104583699</v>
      </c>
      <c r="C1111" s="43">
        <v>94.01882875558681</v>
      </c>
      <c r="D1111" s="43">
        <v>94.43420244348556</v>
      </c>
      <c r="E1111" s="43">
        <v>94.672730756868873</v>
      </c>
      <c r="F1111" s="43">
        <v>94.759478496337834</v>
      </c>
      <c r="G1111" s="43">
        <v>94.717383483872851</v>
      </c>
      <c r="H1111" s="43">
        <v>94.566816699062827</v>
      </c>
      <c r="I1111" s="43">
        <v>94.325555489189185</v>
      </c>
    </row>
    <row r="1112" spans="1:9">
      <c r="A1112" s="19">
        <v>470.6</v>
      </c>
      <c r="B1112" s="43">
        <v>93.419502005334579</v>
      </c>
      <c r="C1112" s="43">
        <v>94.038184709223145</v>
      </c>
      <c r="D1112" s="43">
        <v>94.453999576582362</v>
      </c>
      <c r="E1112" s="43">
        <v>94.692952495298783</v>
      </c>
      <c r="F1112" s="43">
        <v>94.780099502699642</v>
      </c>
      <c r="G1112" s="43">
        <v>94.738373348409709</v>
      </c>
      <c r="H1112" s="43">
        <v>94.588142499920281</v>
      </c>
      <c r="I1112" s="43">
        <v>94.347183469632284</v>
      </c>
    </row>
    <row r="1113" spans="1:9">
      <c r="A1113" s="19">
        <v>470.7</v>
      </c>
      <c r="B1113" s="43">
        <v>93.438413222491619</v>
      </c>
      <c r="C1113" s="43">
        <v>94.057539877774389</v>
      </c>
      <c r="D1113" s="43">
        <v>94.473795863293645</v>
      </c>
      <c r="E1113" s="43">
        <v>94.71317336230905</v>
      </c>
      <c r="F1113" s="43">
        <v>94.800719643400328</v>
      </c>
      <c r="G1113" s="43">
        <v>94.759362378302029</v>
      </c>
      <c r="H1113" s="43">
        <v>94.609467517568078</v>
      </c>
      <c r="I1113" s="43">
        <v>94.368810734715083</v>
      </c>
    </row>
    <row r="1114" spans="1:9">
      <c r="A1114" s="19">
        <v>470.8</v>
      </c>
      <c r="B1114" s="43">
        <v>93.45732375645045</v>
      </c>
      <c r="C1114" s="43">
        <v>94.076894261577706</v>
      </c>
      <c r="D1114" s="43">
        <v>94.493591303878702</v>
      </c>
      <c r="E1114" s="43">
        <v>94.733393358083902</v>
      </c>
      <c r="F1114" s="43">
        <v>94.821338918536696</v>
      </c>
      <c r="G1114" s="43">
        <v>94.780350573590823</v>
      </c>
      <c r="H1114" s="43">
        <v>94.630791751966115</v>
      </c>
      <c r="I1114" s="43">
        <v>94.390437284327305</v>
      </c>
    </row>
    <row r="1115" spans="1:9">
      <c r="A1115" s="19">
        <v>470.9</v>
      </c>
      <c r="B1115" s="43">
        <v>93.476233607556139</v>
      </c>
      <c r="C1115" s="43">
        <v>94.096247860957817</v>
      </c>
      <c r="D1115" s="43">
        <v>94.513385898597903</v>
      </c>
      <c r="E1115" s="43">
        <v>94.753612482816777</v>
      </c>
      <c r="F1115" s="43">
        <v>94.841957328237328</v>
      </c>
      <c r="G1115" s="43">
        <v>94.801337934311931</v>
      </c>
      <c r="H1115" s="43">
        <v>94.652115203076107</v>
      </c>
      <c r="I1115" s="43">
        <v>94.412063118356883</v>
      </c>
    </row>
    <row r="1116" spans="1:9">
      <c r="A1116" s="19">
        <v>471</v>
      </c>
      <c r="B1116" s="43">
        <v>93.495142776268722</v>
      </c>
      <c r="C1116" s="43">
        <v>94.115600676286391</v>
      </c>
      <c r="D1116" s="43">
        <v>94.533179647784607</v>
      </c>
      <c r="E1116" s="43">
        <v>94.773830736735562</v>
      </c>
      <c r="F1116" s="43">
        <v>94.862574872637339</v>
      </c>
      <c r="G1116" s="43">
        <v>94.822324460517933</v>
      </c>
      <c r="H1116" s="43">
        <v>94.673437870867616</v>
      </c>
      <c r="I1116" s="43">
        <v>94.433688236689846</v>
      </c>
    </row>
    <row r="1117" spans="1:9">
      <c r="A1117" s="19">
        <v>471.1</v>
      </c>
      <c r="B1117" s="43">
        <v>93.514051262906946</v>
      </c>
      <c r="C1117" s="43">
        <v>94.134952707881183</v>
      </c>
      <c r="D1117" s="43">
        <v>94.55297255165712</v>
      </c>
      <c r="E1117" s="43">
        <v>94.794048120008938</v>
      </c>
      <c r="F1117" s="43">
        <v>94.883191551842174</v>
      </c>
      <c r="G1117" s="43">
        <v>94.843310152239383</v>
      </c>
      <c r="H1117" s="43">
        <v>94.694759755299401</v>
      </c>
      <c r="I1117" s="43">
        <v>94.455312639217311</v>
      </c>
    </row>
    <row r="1118" spans="1:9">
      <c r="A1118" s="19">
        <v>471.2</v>
      </c>
      <c r="B1118" s="43">
        <v>93.532959067901913</v>
      </c>
      <c r="C1118" s="43">
        <v>94.154303956091354</v>
      </c>
      <c r="D1118" s="43">
        <v>94.572764610516316</v>
      </c>
      <c r="E1118" s="43">
        <v>94.814264632843873</v>
      </c>
      <c r="F1118" s="43">
        <v>94.903807365969897</v>
      </c>
      <c r="G1118" s="43">
        <v>94.864295009516781</v>
      </c>
      <c r="H1118" s="43">
        <v>94.716080856336305</v>
      </c>
      <c r="I1118" s="43">
        <v>94.476936325827495</v>
      </c>
    </row>
    <row r="1119" spans="1:9">
      <c r="A1119" s="19">
        <v>471.3</v>
      </c>
      <c r="B1119" s="43">
        <v>93.551866191633792</v>
      </c>
      <c r="C1119" s="43">
        <v>94.17365442126453</v>
      </c>
      <c r="D1119" s="43">
        <v>94.592555824633848</v>
      </c>
      <c r="E1119" s="43">
        <v>94.834480275455576</v>
      </c>
      <c r="F1119" s="43">
        <v>94.924422315146131</v>
      </c>
      <c r="G1119" s="43">
        <v>94.885279032405833</v>
      </c>
      <c r="H1119" s="43">
        <v>94.73740117394459</v>
      </c>
      <c r="I1119" s="43">
        <v>94.498559296408757</v>
      </c>
    </row>
    <row r="1120" spans="1:9">
      <c r="A1120" s="19">
        <v>471.4</v>
      </c>
      <c r="B1120" s="43">
        <v>93.570772634479908</v>
      </c>
      <c r="C1120" s="43">
        <v>94.193004103727787</v>
      </c>
      <c r="D1120" s="43">
        <v>94.612346194272106</v>
      </c>
      <c r="E1120" s="43">
        <v>94.854695048015429</v>
      </c>
      <c r="F1120" s="43">
        <v>94.945036399493375</v>
      </c>
      <c r="G1120" s="43">
        <v>94.906262220929932</v>
      </c>
      <c r="H1120" s="43">
        <v>94.758720708087935</v>
      </c>
      <c r="I1120" s="43">
        <v>94.520181550852413</v>
      </c>
    </row>
    <row r="1121" spans="1:9">
      <c r="A1121" s="19">
        <v>471.5</v>
      </c>
      <c r="B1121" s="43">
        <v>93.589678396847688</v>
      </c>
      <c r="C1121" s="43">
        <v>94.212353003846005</v>
      </c>
      <c r="D1121" s="43">
        <v>94.632135719731565</v>
      </c>
      <c r="E1121" s="43">
        <v>94.874908950761494</v>
      </c>
      <c r="F1121" s="43">
        <v>94.965649619133472</v>
      </c>
      <c r="G1121" s="43">
        <v>94.927244575145096</v>
      </c>
      <c r="H1121" s="43">
        <v>94.78003945873192</v>
      </c>
      <c r="I1121" s="43">
        <v>94.541803089046397</v>
      </c>
    </row>
    <row r="1122" spans="1:9">
      <c r="A1122" s="19">
        <v>471.6</v>
      </c>
      <c r="B1122" s="43">
        <v>93.608583479131084</v>
      </c>
      <c r="C1122" s="43">
        <v>94.231701121949783</v>
      </c>
      <c r="D1122" s="43">
        <v>94.651924401277853</v>
      </c>
      <c r="E1122" s="43">
        <v>94.895121983875896</v>
      </c>
      <c r="F1122" s="43">
        <v>94.986261974191166</v>
      </c>
      <c r="G1122" s="43">
        <v>94.9482260950887</v>
      </c>
      <c r="H1122" s="43">
        <v>94.801357425842241</v>
      </c>
      <c r="I1122" s="43">
        <v>94.563423910881653</v>
      </c>
    </row>
    <row r="1123" spans="1:9">
      <c r="A1123" s="19">
        <v>471.7</v>
      </c>
      <c r="B1123" s="43">
        <v>93.627487881719617</v>
      </c>
      <c r="C1123" s="43">
        <v>94.251048458390983</v>
      </c>
      <c r="D1123" s="43">
        <v>94.671712239184956</v>
      </c>
      <c r="E1123" s="43">
        <v>94.915334147557161</v>
      </c>
      <c r="F1123" s="43">
        <v>95.006873464776589</v>
      </c>
      <c r="G1123" s="43">
        <v>94.969206780803887</v>
      </c>
      <c r="H1123" s="43">
        <v>94.822674609383995</v>
      </c>
      <c r="I1123" s="43">
        <v>94.585044016248645</v>
      </c>
    </row>
    <row r="1124" spans="1:9">
      <c r="A1124" s="19">
        <v>471.8</v>
      </c>
      <c r="B1124" s="43">
        <v>93.646391604990527</v>
      </c>
      <c r="C1124" s="43">
        <v>94.270395013501599</v>
      </c>
      <c r="D1124" s="43">
        <v>94.691499233731037</v>
      </c>
      <c r="E1124" s="43">
        <v>94.935545442002422</v>
      </c>
      <c r="F1124" s="43">
        <v>95.027484091022473</v>
      </c>
      <c r="G1124" s="43">
        <v>94.990186632338066</v>
      </c>
      <c r="H1124" s="43">
        <v>94.843991009322906</v>
      </c>
      <c r="I1124" s="43">
        <v>94.606663405037779</v>
      </c>
    </row>
    <row r="1125" spans="1:9">
      <c r="A1125" s="19">
        <v>471.9</v>
      </c>
      <c r="B1125" s="43">
        <v>93.665294649343252</v>
      </c>
      <c r="C1125" s="43">
        <v>94.289740787622492</v>
      </c>
      <c r="D1125" s="43">
        <v>94.711285385198181</v>
      </c>
      <c r="E1125" s="43">
        <v>94.955755867424074</v>
      </c>
      <c r="F1125" s="43">
        <v>95.04809385304759</v>
      </c>
      <c r="G1125" s="43">
        <v>95.011165649727701</v>
      </c>
      <c r="H1125" s="43">
        <v>94.865306625623873</v>
      </c>
      <c r="I1125" s="43">
        <v>94.628282077140852</v>
      </c>
    </row>
    <row r="1126" spans="1:9">
      <c r="A1126" s="19">
        <v>472</v>
      </c>
      <c r="B1126" s="43">
        <v>93.684197015180189</v>
      </c>
      <c r="C1126" s="43">
        <v>94.309085781122121</v>
      </c>
      <c r="D1126" s="43">
        <v>94.731070693867565</v>
      </c>
      <c r="E1126" s="43">
        <v>94.975965424031443</v>
      </c>
      <c r="F1126" s="43">
        <v>95.068702750980464</v>
      </c>
      <c r="G1126" s="43">
        <v>95.032143833021877</v>
      </c>
      <c r="H1126" s="43">
        <v>94.886621458258332</v>
      </c>
      <c r="I1126" s="43">
        <v>94.649900032447619</v>
      </c>
    </row>
    <row r="1127" spans="1:9">
      <c r="A1127" s="19">
        <v>472.1</v>
      </c>
      <c r="B1127" s="43">
        <v>93.703098702856408</v>
      </c>
      <c r="C1127" s="43">
        <v>94.328429994303491</v>
      </c>
      <c r="D1127" s="43">
        <v>94.75085515998839</v>
      </c>
      <c r="E1127" s="43">
        <v>94.99617411198696</v>
      </c>
      <c r="F1127" s="43">
        <v>95.089310784925374</v>
      </c>
      <c r="G1127" s="43">
        <v>95.053121182261265</v>
      </c>
      <c r="H1127" s="43">
        <v>94.907935507186124</v>
      </c>
      <c r="I1127" s="43">
        <v>94.671517270851723</v>
      </c>
    </row>
    <row r="1128" spans="1:9">
      <c r="A1128" s="19">
        <v>472.2</v>
      </c>
      <c r="B1128" s="43">
        <v>93.721999712777972</v>
      </c>
      <c r="C1128" s="43">
        <v>94.347773427520195</v>
      </c>
      <c r="D1128" s="43">
        <v>94.770638783858857</v>
      </c>
      <c r="E1128" s="43">
        <v>95.016381931524933</v>
      </c>
      <c r="F1128" s="43">
        <v>95.109917955018688</v>
      </c>
      <c r="G1128" s="43">
        <v>95.074097697488071</v>
      </c>
      <c r="H1128" s="43">
        <v>94.929248772374478</v>
      </c>
      <c r="I1128" s="43">
        <v>94.693133792243941</v>
      </c>
    </row>
    <row r="1129" spans="1:9">
      <c r="A1129" s="19">
        <v>472.3</v>
      </c>
      <c r="B1129" s="43">
        <v>93.740900045361656</v>
      </c>
      <c r="C1129" s="43">
        <v>94.367116081145724</v>
      </c>
      <c r="D1129" s="43">
        <v>94.790421565769577</v>
      </c>
      <c r="E1129" s="43">
        <v>95.036588882855852</v>
      </c>
      <c r="F1129" s="43">
        <v>95.130524261391344</v>
      </c>
      <c r="G1129" s="43">
        <v>95.095073378753739</v>
      </c>
      <c r="H1129" s="43">
        <v>94.95056125379989</v>
      </c>
      <c r="I1129" s="43">
        <v>94.714749596515986</v>
      </c>
    </row>
    <row r="1130" spans="1:9">
      <c r="A1130" s="19">
        <v>472.4</v>
      </c>
      <c r="B1130" s="43">
        <v>93.759799700957331</v>
      </c>
      <c r="C1130" s="43">
        <v>94.386457955482939</v>
      </c>
      <c r="D1130" s="43">
        <v>94.810203505957418</v>
      </c>
      <c r="E1130" s="43">
        <v>95.056794966140359</v>
      </c>
      <c r="F1130" s="43">
        <v>95.151129704139009</v>
      </c>
      <c r="G1130" s="43">
        <v>95.116048226089674</v>
      </c>
      <c r="H1130" s="43">
        <v>94.971872951416401</v>
      </c>
      <c r="I1130" s="43">
        <v>94.736364683561931</v>
      </c>
    </row>
    <row r="1131" spans="1:9">
      <c r="A1131" s="19">
        <v>472.5</v>
      </c>
      <c r="B1131" s="43">
        <v>93.778698679974497</v>
      </c>
      <c r="C1131" s="43">
        <v>94.405799050923122</v>
      </c>
      <c r="D1131" s="43">
        <v>94.829984604752156</v>
      </c>
      <c r="E1131" s="43">
        <v>95.077000181622736</v>
      </c>
      <c r="F1131" s="43">
        <v>95.171734283419312</v>
      </c>
      <c r="G1131" s="43">
        <v>95.137022239557524</v>
      </c>
      <c r="H1131" s="43">
        <v>94.993183865204003</v>
      </c>
      <c r="I1131" s="43">
        <v>94.757979053272066</v>
      </c>
    </row>
    <row r="1132" spans="1:9">
      <c r="A1132" s="19">
        <v>472.6</v>
      </c>
      <c r="B1132" s="43">
        <v>93.79759698281535</v>
      </c>
      <c r="C1132" s="43">
        <v>94.425139367756771</v>
      </c>
      <c r="D1132" s="43">
        <v>94.849764862384745</v>
      </c>
      <c r="E1132" s="43">
        <v>95.097204529481331</v>
      </c>
      <c r="F1132" s="43">
        <v>95.192337999329169</v>
      </c>
      <c r="G1132" s="43">
        <v>95.157995419189149</v>
      </c>
      <c r="H1132" s="43">
        <v>95.014493995122308</v>
      </c>
      <c r="I1132" s="43">
        <v>94.779592705541802</v>
      </c>
    </row>
    <row r="1133" spans="1:9">
      <c r="A1133" s="19">
        <v>472.7</v>
      </c>
      <c r="B1133" s="43">
        <v>93.816494609836781</v>
      </c>
      <c r="C1133" s="43">
        <v>94.444478906342823</v>
      </c>
      <c r="D1133" s="43">
        <v>94.869544279141223</v>
      </c>
      <c r="E1133" s="43">
        <v>95.117408009918194</v>
      </c>
      <c r="F1133" s="43">
        <v>95.21294085199645</v>
      </c>
      <c r="G1133" s="43">
        <v>95.178967765028744</v>
      </c>
      <c r="H1133" s="43">
        <v>95.035803341140394</v>
      </c>
      <c r="I1133" s="43">
        <v>94.801205640263873</v>
      </c>
    </row>
    <row r="1134" spans="1:9">
      <c r="A1134" s="19">
        <v>472.8</v>
      </c>
      <c r="B1134" s="43">
        <v>93.835391561469976</v>
      </c>
      <c r="C1134" s="43">
        <v>94.463817667057185</v>
      </c>
      <c r="D1134" s="43">
        <v>94.889322855332324</v>
      </c>
      <c r="E1134" s="43">
        <v>95.137610623156604</v>
      </c>
      <c r="F1134" s="43">
        <v>95.233542841565793</v>
      </c>
      <c r="G1134" s="43">
        <v>95.199939277136906</v>
      </c>
      <c r="H1134" s="43">
        <v>95.057111903232453</v>
      </c>
      <c r="I1134" s="43">
        <v>94.822817857330705</v>
      </c>
    </row>
    <row r="1135" spans="1:9">
      <c r="A1135" s="19">
        <v>472.9</v>
      </c>
      <c r="B1135" s="43">
        <v>93.854287838095473</v>
      </c>
      <c r="C1135" s="43">
        <v>94.483155650211131</v>
      </c>
      <c r="D1135" s="43">
        <v>94.909100591209636</v>
      </c>
      <c r="E1135" s="43">
        <v>95.157812369385368</v>
      </c>
      <c r="F1135" s="43">
        <v>95.25414396814071</v>
      </c>
      <c r="G1135" s="43">
        <v>95.220909955546063</v>
      </c>
      <c r="H1135" s="43">
        <v>95.078419681361936</v>
      </c>
      <c r="I1135" s="43">
        <v>94.844429356637534</v>
      </c>
    </row>
    <row r="1136" spans="1:9">
      <c r="A1136" s="19">
        <v>473</v>
      </c>
      <c r="B1136" s="43">
        <v>93.873183440065418</v>
      </c>
      <c r="C1136" s="43">
        <v>94.502492856144869</v>
      </c>
      <c r="D1136" s="43">
        <v>94.928877487034697</v>
      </c>
      <c r="E1136" s="43">
        <v>95.178013248792013</v>
      </c>
      <c r="F1136" s="43">
        <v>95.27474423184259</v>
      </c>
      <c r="G1136" s="43">
        <v>95.241879800298335</v>
      </c>
      <c r="H1136" s="43">
        <v>95.099726675497408</v>
      </c>
      <c r="I1136" s="43">
        <v>94.866040138078517</v>
      </c>
    </row>
    <row r="1137" spans="1:9">
      <c r="A1137" s="19">
        <v>473.1</v>
      </c>
      <c r="B1137" s="43">
        <v>93.892078367787178</v>
      </c>
      <c r="C1137" s="43">
        <v>94.521829285203864</v>
      </c>
      <c r="D1137" s="43">
        <v>94.948653543111988</v>
      </c>
      <c r="E1137" s="43">
        <v>95.198213261596436</v>
      </c>
      <c r="F1137" s="43">
        <v>95.295343632805952</v>
      </c>
      <c r="G1137" s="43">
        <v>95.262848811449686</v>
      </c>
      <c r="H1137" s="43">
        <v>95.121032885610589</v>
      </c>
      <c r="I1137" s="43">
        <v>94.887650201547984</v>
      </c>
    </row>
    <row r="1138" spans="1:9">
      <c r="A1138" s="19">
        <v>473.2</v>
      </c>
      <c r="B1138" s="43">
        <v>93.91097262166204</v>
      </c>
      <c r="C1138" s="43">
        <v>94.541164937734635</v>
      </c>
      <c r="D1138" s="43">
        <v>94.968428759696764</v>
      </c>
      <c r="E1138" s="43">
        <v>95.218412407997732</v>
      </c>
      <c r="F1138" s="43">
        <v>95.315942171148748</v>
      </c>
      <c r="G1138" s="43">
        <v>95.283816989038399</v>
      </c>
      <c r="H1138" s="43">
        <v>95.142338311669732</v>
      </c>
      <c r="I1138" s="43">
        <v>94.909259546940859</v>
      </c>
    </row>
    <row r="1139" spans="1:9">
      <c r="A1139" s="19">
        <v>473.3</v>
      </c>
      <c r="B1139" s="43">
        <v>93.92986620209706</v>
      </c>
      <c r="C1139" s="43">
        <v>94.560499814101661</v>
      </c>
      <c r="D1139" s="43">
        <v>94.988203137102943</v>
      </c>
      <c r="E1139" s="43">
        <v>95.238610688206933</v>
      </c>
      <c r="F1139" s="43">
        <v>95.336539847009732</v>
      </c>
      <c r="G1139" s="43">
        <v>95.304784333123933</v>
      </c>
      <c r="H1139" s="43">
        <v>95.163642953647155</v>
      </c>
      <c r="I1139" s="43">
        <v>94.930868174151612</v>
      </c>
    </row>
    <row r="1140" spans="1:9">
      <c r="A1140" s="19">
        <v>473.4</v>
      </c>
      <c r="B1140" s="43">
        <v>93.948759109428636</v>
      </c>
      <c r="C1140" s="43">
        <v>94.579833914623464</v>
      </c>
      <c r="D1140" s="43">
        <v>95.007976675568614</v>
      </c>
      <c r="E1140" s="43">
        <v>95.258808102409859</v>
      </c>
      <c r="F1140" s="43">
        <v>95.357136660487839</v>
      </c>
      <c r="G1140" s="43">
        <v>95.325750843734909</v>
      </c>
      <c r="H1140" s="43">
        <v>95.184946811506109</v>
      </c>
      <c r="I1140" s="43">
        <v>94.952476083076618</v>
      </c>
    </row>
    <row r="1141" spans="1:9">
      <c r="A1141" s="19">
        <v>473.5</v>
      </c>
      <c r="B1141" s="43">
        <v>93.96765134408966</v>
      </c>
      <c r="C1141" s="43">
        <v>94.599167239636046</v>
      </c>
      <c r="D1141" s="43">
        <v>95.027749375396155</v>
      </c>
      <c r="E1141" s="43">
        <v>95.279004650818706</v>
      </c>
      <c r="F1141" s="43">
        <v>95.377732611730409</v>
      </c>
      <c r="G1141" s="43">
        <v>95.34671652092814</v>
      </c>
      <c r="H1141" s="43">
        <v>95.206249885221894</v>
      </c>
      <c r="I1141" s="43">
        <v>94.97408327361083</v>
      </c>
    </row>
    <row r="1142" spans="1:9">
      <c r="A1142" s="19">
        <v>473.6</v>
      </c>
      <c r="B1142" s="43">
        <v>93.986542906459277</v>
      </c>
      <c r="C1142" s="43">
        <v>94.618499789515283</v>
      </c>
      <c r="D1142" s="43">
        <v>95.047521236845881</v>
      </c>
      <c r="E1142" s="43">
        <v>95.299200333644279</v>
      </c>
      <c r="F1142" s="43">
        <v>95.398327700860449</v>
      </c>
      <c r="G1142" s="43">
        <v>95.367681364752514</v>
      </c>
      <c r="H1142" s="43">
        <v>95.227552174767567</v>
      </c>
      <c r="I1142" s="43">
        <v>94.995689745650964</v>
      </c>
    </row>
    <row r="1143" spans="1:9">
      <c r="A1143" s="19">
        <v>473.7</v>
      </c>
      <c r="B1143" s="43">
        <v>94.005433796917714</v>
      </c>
      <c r="C1143" s="43">
        <v>94.637831564556137</v>
      </c>
      <c r="D1143" s="43">
        <v>95.067292260204624</v>
      </c>
      <c r="E1143" s="43">
        <v>95.319395151065976</v>
      </c>
      <c r="F1143" s="43">
        <v>95.418921927988606</v>
      </c>
      <c r="G1143" s="43">
        <v>95.388645375247762</v>
      </c>
      <c r="H1143" s="43">
        <v>95.248853680107089</v>
      </c>
      <c r="I1143" s="43">
        <v>95.01729549909254</v>
      </c>
    </row>
    <row r="1144" spans="1:9">
      <c r="A1144" s="19">
        <v>473.8</v>
      </c>
      <c r="B1144" s="43">
        <v>94.024324015878221</v>
      </c>
      <c r="C1144" s="43">
        <v>94.657162565165038</v>
      </c>
      <c r="D1144" s="43">
        <v>95.087062445773029</v>
      </c>
      <c r="E1144" s="43">
        <v>95.339589103330582</v>
      </c>
      <c r="F1144" s="43">
        <v>95.439515293260428</v>
      </c>
      <c r="G1144" s="43">
        <v>95.409608552473998</v>
      </c>
      <c r="H1144" s="43">
        <v>95.270154401218804</v>
      </c>
      <c r="I1144" s="43">
        <v>95.038900533832447</v>
      </c>
    </row>
    <row r="1145" spans="1:9">
      <c r="A1145" s="19">
        <v>473.9</v>
      </c>
      <c r="B1145" s="43">
        <v>94.04321356371139</v>
      </c>
      <c r="C1145" s="43">
        <v>94.676492791634217</v>
      </c>
      <c r="D1145" s="43">
        <v>95.106831793806862</v>
      </c>
      <c r="E1145" s="43">
        <v>95.359782190605557</v>
      </c>
      <c r="F1145" s="43">
        <v>95.460107796785707</v>
      </c>
      <c r="G1145" s="43">
        <v>95.430570896468055</v>
      </c>
      <c r="H1145" s="43">
        <v>95.291454338068263</v>
      </c>
      <c r="I1145" s="43">
        <v>95.060504849767426</v>
      </c>
    </row>
    <row r="1146" spans="1:9">
      <c r="A1146" s="19">
        <v>474</v>
      </c>
      <c r="B1146" s="43">
        <v>94.06210244077252</v>
      </c>
      <c r="C1146" s="43">
        <v>94.695822244304765</v>
      </c>
      <c r="D1146" s="43">
        <v>95.126600304559815</v>
      </c>
      <c r="E1146" s="43">
        <v>95.379974413091276</v>
      </c>
      <c r="F1146" s="43">
        <v>95.480699438691943</v>
      </c>
      <c r="G1146" s="43">
        <v>95.451532407273277</v>
      </c>
      <c r="H1146" s="43">
        <v>95.312753490627159</v>
      </c>
      <c r="I1146" s="43">
        <v>95.082108446795218</v>
      </c>
    </row>
    <row r="1147" spans="1:9">
      <c r="A1147" s="19">
        <v>474.1</v>
      </c>
      <c r="B1147" s="43">
        <v>94.080990647520281</v>
      </c>
      <c r="C1147" s="43">
        <v>94.715150923569865</v>
      </c>
      <c r="D1147" s="43">
        <v>95.146367978368858</v>
      </c>
      <c r="E1147" s="43">
        <v>95.400165771031993</v>
      </c>
      <c r="F1147" s="43">
        <v>95.501290219118772</v>
      </c>
      <c r="G1147" s="43">
        <v>95.472493084953641</v>
      </c>
      <c r="H1147" s="43">
        <v>95.334051858872101</v>
      </c>
      <c r="I1147" s="43">
        <v>95.103711324812281</v>
      </c>
    </row>
    <row r="1148" spans="1:9">
      <c r="A1148" s="19">
        <v>474.2</v>
      </c>
      <c r="B1148" s="43">
        <v>94.099878184294539</v>
      </c>
      <c r="C1148" s="43">
        <v>94.734478829718938</v>
      </c>
      <c r="D1148" s="43">
        <v>95.166134815452295</v>
      </c>
      <c r="E1148" s="43">
        <v>95.420356264576782</v>
      </c>
      <c r="F1148" s="43">
        <v>95.521880138173259</v>
      </c>
      <c r="G1148" s="43">
        <v>95.493452929541803</v>
      </c>
      <c r="H1148" s="43">
        <v>95.355349442769551</v>
      </c>
      <c r="I1148" s="43">
        <v>95.125313483717349</v>
      </c>
    </row>
    <row r="1149" spans="1:9">
      <c r="A1149" s="19">
        <v>474.3</v>
      </c>
      <c r="B1149" s="43">
        <v>94.118765051500588</v>
      </c>
      <c r="C1149" s="43">
        <v>94.753805963117003</v>
      </c>
      <c r="D1149" s="43">
        <v>95.185900816132062</v>
      </c>
      <c r="E1149" s="43">
        <v>95.44054589397652</v>
      </c>
      <c r="F1149" s="43">
        <v>95.542469195996432</v>
      </c>
      <c r="G1149" s="43">
        <v>95.514411941095801</v>
      </c>
      <c r="H1149" s="43">
        <v>95.37664624229464</v>
      </c>
      <c r="I1149" s="43">
        <v>95.146914923407763</v>
      </c>
    </row>
    <row r="1150" spans="1:9">
      <c r="A1150" s="19">
        <v>474.4</v>
      </c>
      <c r="B1150" s="43">
        <v>94.137651249521952</v>
      </c>
      <c r="C1150" s="43">
        <v>94.773132324109639</v>
      </c>
      <c r="D1150" s="43">
        <v>95.205665980665856</v>
      </c>
      <c r="E1150" s="43">
        <v>95.460734659406455</v>
      </c>
      <c r="F1150" s="43">
        <v>95.563057392711329</v>
      </c>
      <c r="G1150" s="43">
        <v>95.535370119662076</v>
      </c>
      <c r="H1150" s="43">
        <v>95.397942257418748</v>
      </c>
      <c r="I1150" s="43">
        <v>95.168515643781973</v>
      </c>
    </row>
    <row r="1151" spans="1:9">
      <c r="A1151" s="19">
        <v>474.5</v>
      </c>
      <c r="B1151" s="43">
        <v>94.156536778754941</v>
      </c>
      <c r="C1151" s="43">
        <v>94.792457913040124</v>
      </c>
      <c r="D1151" s="43">
        <v>95.225430309330335</v>
      </c>
      <c r="E1151" s="43">
        <v>95.480922561088391</v>
      </c>
      <c r="F1151" s="43">
        <v>95.583644728435956</v>
      </c>
      <c r="G1151" s="43">
        <v>95.556327465288746</v>
      </c>
      <c r="H1151" s="43">
        <v>95.419237488115414</v>
      </c>
      <c r="I1151" s="43">
        <v>95.19011564473891</v>
      </c>
    </row>
    <row r="1152" spans="1:9">
      <c r="A1152" s="19">
        <v>474.6</v>
      </c>
      <c r="B1152" s="43">
        <v>94.175421639600899</v>
      </c>
      <c r="C1152" s="43">
        <v>94.811782730253242</v>
      </c>
      <c r="D1152" s="43">
        <v>95.245193802424865</v>
      </c>
      <c r="E1152" s="43">
        <v>95.50110959922273</v>
      </c>
      <c r="F1152" s="43">
        <v>95.604231203316033</v>
      </c>
      <c r="G1152" s="43">
        <v>95.577283978031517</v>
      </c>
      <c r="H1152" s="43">
        <v>95.440531934360109</v>
      </c>
      <c r="I1152" s="43">
        <v>95.211714926176768</v>
      </c>
    </row>
    <row r="1153" spans="1:9">
      <c r="A1153" s="19">
        <v>474.7</v>
      </c>
      <c r="B1153" s="43">
        <v>94.194305832415239</v>
      </c>
      <c r="C1153" s="43">
        <v>94.831106776085676</v>
      </c>
      <c r="D1153" s="43">
        <v>95.264956460213909</v>
      </c>
      <c r="E1153" s="43">
        <v>95.521295774011833</v>
      </c>
      <c r="F1153" s="43">
        <v>95.624816817461863</v>
      </c>
      <c r="G1153" s="43">
        <v>95.598239657931799</v>
      </c>
      <c r="H1153" s="43">
        <v>95.461825596121059</v>
      </c>
      <c r="I1153" s="43">
        <v>95.233313487995417</v>
      </c>
    </row>
    <row r="1154" spans="1:9">
      <c r="A1154" s="19">
        <v>474.8</v>
      </c>
      <c r="B1154" s="43">
        <v>94.213189357613885</v>
      </c>
      <c r="C1154" s="43">
        <v>94.850430050882949</v>
      </c>
      <c r="D1154" s="43">
        <v>95.284718282981828</v>
      </c>
      <c r="E1154" s="43">
        <v>95.541481085661644</v>
      </c>
      <c r="F1154" s="43">
        <v>95.645401571006005</v>
      </c>
      <c r="G1154" s="43">
        <v>95.619194505038251</v>
      </c>
      <c r="H1154" s="43">
        <v>95.483118473376265</v>
      </c>
      <c r="I1154" s="43">
        <v>95.254911330093819</v>
      </c>
    </row>
    <row r="1155" spans="1:9">
      <c r="A1155" s="19">
        <v>474.9</v>
      </c>
      <c r="B1155" s="43">
        <v>94.232072215566774</v>
      </c>
      <c r="C1155" s="43">
        <v>94.869752554998428</v>
      </c>
      <c r="D1155" s="43">
        <v>95.304479271003999</v>
      </c>
      <c r="E1155" s="43">
        <v>95.561665534376203</v>
      </c>
      <c r="F1155" s="43">
        <v>95.665985464080734</v>
      </c>
      <c r="G1155" s="43">
        <v>95.640148519409593</v>
      </c>
      <c r="H1155" s="43">
        <v>95.50441056609634</v>
      </c>
      <c r="I1155" s="43">
        <v>95.276508452372099</v>
      </c>
    </row>
    <row r="1156" spans="1:9">
      <c r="A1156" s="19">
        <v>475</v>
      </c>
      <c r="B1156" s="43">
        <v>94.250954406635202</v>
      </c>
      <c r="C1156" s="43">
        <v>94.889074288720309</v>
      </c>
      <c r="D1156" s="43">
        <v>95.324239424523086</v>
      </c>
      <c r="E1156" s="43">
        <v>95.581849120345197</v>
      </c>
      <c r="F1156" s="43">
        <v>95.686568496789732</v>
      </c>
      <c r="G1156" s="43">
        <v>95.661101701073846</v>
      </c>
      <c r="H1156" s="43">
        <v>95.5257018742507</v>
      </c>
      <c r="I1156" s="43">
        <v>95.298104854730411</v>
      </c>
    </row>
    <row r="1157" spans="1:9">
      <c r="A1157" s="19">
        <v>475.1</v>
      </c>
      <c r="B1157" s="43">
        <v>94.269835931326668</v>
      </c>
      <c r="C1157" s="43">
        <v>94.90839525251468</v>
      </c>
      <c r="D1157" s="43">
        <v>95.343998743914142</v>
      </c>
      <c r="E1157" s="43">
        <v>95.602031843821294</v>
      </c>
      <c r="F1157" s="43">
        <v>95.707150669307651</v>
      </c>
      <c r="G1157" s="43">
        <v>95.68205405012128</v>
      </c>
      <c r="H1157" s="43">
        <v>95.546992397830024</v>
      </c>
      <c r="I1157" s="43">
        <v>95.319700537068172</v>
      </c>
    </row>
    <row r="1158" spans="1:9">
      <c r="A1158" s="19">
        <v>475.2</v>
      </c>
      <c r="B1158" s="43">
        <v>94.28871678989799</v>
      </c>
      <c r="C1158" s="43">
        <v>94.927715446595812</v>
      </c>
      <c r="D1158" s="43">
        <v>95.36375722936495</v>
      </c>
      <c r="E1158" s="43">
        <v>95.622213704955726</v>
      </c>
      <c r="F1158" s="43">
        <v>95.727731981724475</v>
      </c>
      <c r="G1158" s="43">
        <v>95.703005566566986</v>
      </c>
      <c r="H1158" s="43">
        <v>95.568282136792959</v>
      </c>
      <c r="I1158" s="43">
        <v>95.341295499286986</v>
      </c>
    </row>
    <row r="1159" spans="1:9">
      <c r="A1159" s="19">
        <v>475.3</v>
      </c>
      <c r="B1159" s="43">
        <v>94.307596982769468</v>
      </c>
      <c r="C1159" s="43">
        <v>94.94703487135385</v>
      </c>
      <c r="D1159" s="43">
        <v>95.383514881182776</v>
      </c>
      <c r="E1159" s="43">
        <v>95.642394703982092</v>
      </c>
      <c r="F1159" s="43">
        <v>95.748312434173442</v>
      </c>
      <c r="G1159" s="43">
        <v>95.723956250470962</v>
      </c>
      <c r="H1159" s="43">
        <v>95.589571091117676</v>
      </c>
      <c r="I1159" s="43">
        <v>95.362889741287404</v>
      </c>
    </row>
    <row r="1160" spans="1:9">
      <c r="A1160" s="19">
        <v>475.4</v>
      </c>
      <c r="B1160" s="43">
        <v>94.326476510374135</v>
      </c>
      <c r="C1160" s="43">
        <v>94.966353527160436</v>
      </c>
      <c r="D1160" s="43">
        <v>95.403271699658319</v>
      </c>
      <c r="E1160" s="43">
        <v>95.662574841099996</v>
      </c>
      <c r="F1160" s="43">
        <v>95.768892026792571</v>
      </c>
      <c r="G1160" s="43">
        <v>95.744906101892525</v>
      </c>
      <c r="H1160" s="43">
        <v>95.610859260785048</v>
      </c>
      <c r="I1160" s="43">
        <v>95.384483262970434</v>
      </c>
    </row>
    <row r="1161" spans="1:9">
      <c r="A1161" s="19">
        <v>475.5</v>
      </c>
      <c r="B1161" s="43">
        <v>94.34535537304879</v>
      </c>
      <c r="C1161" s="43">
        <v>94.985671414326646</v>
      </c>
      <c r="D1161" s="43">
        <v>95.42302768505013</v>
      </c>
      <c r="E1161" s="43">
        <v>95.682754116519902</v>
      </c>
      <c r="F1161" s="43">
        <v>95.7894707597018</v>
      </c>
      <c r="G1161" s="43">
        <v>95.765855120870981</v>
      </c>
      <c r="H1161" s="43">
        <v>95.632146645761651</v>
      </c>
      <c r="I1161" s="43">
        <v>95.40607606423788</v>
      </c>
    </row>
    <row r="1162" spans="1:9">
      <c r="A1162" s="19">
        <v>475.6</v>
      </c>
      <c r="B1162" s="43">
        <v>94.364233571211969</v>
      </c>
      <c r="C1162" s="43">
        <v>95.004988533197235</v>
      </c>
      <c r="D1162" s="43">
        <v>95.442782837673661</v>
      </c>
      <c r="E1162" s="43">
        <v>95.702932530439256</v>
      </c>
      <c r="F1162" s="43">
        <v>95.810048633037638</v>
      </c>
      <c r="G1162" s="43">
        <v>95.786803307468091</v>
      </c>
      <c r="H1162" s="43">
        <v>95.653433246031938</v>
      </c>
      <c r="I1162" s="43">
        <v>95.427668144991173</v>
      </c>
    </row>
    <row r="1163" spans="1:9">
      <c r="A1163" s="19">
        <v>475.7</v>
      </c>
      <c r="B1163" s="43">
        <v>94.383111105278857</v>
      </c>
      <c r="C1163" s="43">
        <v>95.02430488414916</v>
      </c>
      <c r="D1163" s="43">
        <v>95.462537157780787</v>
      </c>
      <c r="E1163" s="43">
        <v>95.723110083077728</v>
      </c>
      <c r="F1163" s="43">
        <v>95.830625646931566</v>
      </c>
      <c r="G1163" s="43">
        <v>95.807750661728221</v>
      </c>
      <c r="H1163" s="43">
        <v>95.674719061566009</v>
      </c>
      <c r="I1163" s="43">
        <v>95.449259505132432</v>
      </c>
    </row>
    <row r="1164" spans="1:9">
      <c r="A1164" s="19">
        <v>475.8</v>
      </c>
      <c r="B1164" s="43">
        <v>94.401987975563571</v>
      </c>
      <c r="C1164" s="43">
        <v>95.043620467480423</v>
      </c>
      <c r="D1164" s="43">
        <v>95.482290645656605</v>
      </c>
      <c r="E1164" s="43">
        <v>95.743286774622561</v>
      </c>
      <c r="F1164" s="43">
        <v>95.851201801498206</v>
      </c>
      <c r="G1164" s="43">
        <v>95.828697183708158</v>
      </c>
      <c r="H1164" s="43">
        <v>95.696004092341525</v>
      </c>
      <c r="I1164" s="43">
        <v>95.47085014456411</v>
      </c>
    </row>
    <row r="1165" spans="1:9">
      <c r="A1165" s="19">
        <v>475.9</v>
      </c>
      <c r="B1165" s="43">
        <v>94.420864182516681</v>
      </c>
      <c r="C1165" s="43">
        <v>95.062935283561671</v>
      </c>
      <c r="D1165" s="43">
        <v>95.502043301578709</v>
      </c>
      <c r="E1165" s="43">
        <v>95.763462605296866</v>
      </c>
      <c r="F1165" s="43">
        <v>95.871777096887797</v>
      </c>
      <c r="G1165" s="43">
        <v>95.849642873460738</v>
      </c>
      <c r="H1165" s="43">
        <v>95.717288338336431</v>
      </c>
      <c r="I1165" s="43">
        <v>95.492440063188639</v>
      </c>
    </row>
    <row r="1166" spans="1:9">
      <c r="A1166" s="19">
        <v>476</v>
      </c>
      <c r="B1166" s="43">
        <v>94.439739726484135</v>
      </c>
      <c r="C1166" s="43">
        <v>95.082249332711598</v>
      </c>
      <c r="D1166" s="43">
        <v>95.521795125824951</v>
      </c>
      <c r="E1166" s="43">
        <v>95.783637575297604</v>
      </c>
      <c r="F1166" s="43">
        <v>95.892351533205783</v>
      </c>
      <c r="G1166" s="43">
        <v>95.870587731029673</v>
      </c>
      <c r="H1166" s="43">
        <v>95.738571799523413</v>
      </c>
      <c r="I1166" s="43">
        <v>95.514029260909098</v>
      </c>
    </row>
    <row r="1167" spans="1:9">
      <c r="A1167" s="19">
        <v>476.1</v>
      </c>
      <c r="B1167" s="43">
        <v>94.458614607890695</v>
      </c>
      <c r="C1167" s="43">
        <v>95.101562615309007</v>
      </c>
      <c r="D1167" s="43">
        <v>95.541546118689894</v>
      </c>
      <c r="E1167" s="43">
        <v>95.803811684838649</v>
      </c>
      <c r="F1167" s="43">
        <v>95.912925110595666</v>
      </c>
      <c r="G1167" s="43">
        <v>95.891531756477519</v>
      </c>
      <c r="H1167" s="43">
        <v>95.75985447588377</v>
      </c>
      <c r="I1167" s="43">
        <v>95.535617737628542</v>
      </c>
    </row>
    <row r="1168" spans="1:9">
      <c r="A1168" s="19">
        <v>476.2</v>
      </c>
      <c r="B1168" s="43">
        <v>94.477488827092913</v>
      </c>
      <c r="C1168" s="43">
        <v>95.120875131667702</v>
      </c>
      <c r="D1168" s="43">
        <v>95.561296280443912</v>
      </c>
      <c r="E1168" s="43">
        <v>95.823984934115487</v>
      </c>
      <c r="F1168" s="43">
        <v>95.93349782918753</v>
      </c>
      <c r="G1168" s="43">
        <v>95.91247494984691</v>
      </c>
      <c r="H1168" s="43">
        <v>95.781136367388655</v>
      </c>
      <c r="I1168" s="43">
        <v>95.557205493250422</v>
      </c>
    </row>
    <row r="1169" spans="1:9">
      <c r="A1169" s="19">
        <v>476.3</v>
      </c>
      <c r="B1169" s="43">
        <v>94.496362384499633</v>
      </c>
      <c r="C1169" s="43">
        <v>95.14018688214648</v>
      </c>
      <c r="D1169" s="43">
        <v>95.58104561134914</v>
      </c>
      <c r="E1169" s="43">
        <v>95.844157323351084</v>
      </c>
      <c r="F1169" s="43">
        <v>95.954069689103193</v>
      </c>
      <c r="G1169" s="43">
        <v>95.933417311197985</v>
      </c>
      <c r="H1169" s="43">
        <v>95.802417474020331</v>
      </c>
      <c r="I1169" s="43">
        <v>95.578792527678502</v>
      </c>
    </row>
    <row r="1170" spans="1:9">
      <c r="A1170" s="19">
        <v>476.4</v>
      </c>
      <c r="B1170" s="43">
        <v>94.515235280489492</v>
      </c>
      <c r="C1170" s="43">
        <v>95.159497867090892</v>
      </c>
      <c r="D1170" s="43">
        <v>95.600794111725122</v>
      </c>
      <c r="E1170" s="43">
        <v>95.864328852739675</v>
      </c>
      <c r="F1170" s="43">
        <v>95.974640690482033</v>
      </c>
      <c r="G1170" s="43">
        <v>95.954358840586565</v>
      </c>
      <c r="H1170" s="43">
        <v>95.823697795755692</v>
      </c>
      <c r="I1170" s="43">
        <v>95.600378840816859</v>
      </c>
    </row>
    <row r="1171" spans="1:9">
      <c r="A1171" s="19">
        <v>476.5</v>
      </c>
      <c r="B1171" s="43">
        <v>94.534107515452746</v>
      </c>
      <c r="C1171" s="43">
        <v>95.178808086829349</v>
      </c>
      <c r="D1171" s="43">
        <v>95.620541781822595</v>
      </c>
      <c r="E1171" s="43">
        <v>95.884499522492149</v>
      </c>
      <c r="F1171" s="43">
        <v>95.99521083345158</v>
      </c>
      <c r="G1171" s="43">
        <v>95.97529953805514</v>
      </c>
      <c r="H1171" s="43">
        <v>95.844977332571631</v>
      </c>
      <c r="I1171" s="43">
        <v>95.62196443256974</v>
      </c>
    </row>
    <row r="1172" spans="1:9">
      <c r="A1172" s="19">
        <v>476.6</v>
      </c>
      <c r="B1172" s="43">
        <v>94.552979089781246</v>
      </c>
      <c r="C1172" s="43">
        <v>95.198117541729232</v>
      </c>
      <c r="D1172" s="43">
        <v>95.640288621927141</v>
      </c>
      <c r="E1172" s="43">
        <v>95.904669332818372</v>
      </c>
      <c r="F1172" s="43">
        <v>96.015780118142345</v>
      </c>
      <c r="G1172" s="43">
        <v>95.99623940366763</v>
      </c>
      <c r="H1172" s="43">
        <v>95.866256084446576</v>
      </c>
      <c r="I1172" s="43">
        <v>95.643549302841762</v>
      </c>
    </row>
    <row r="1173" spans="1:9">
      <c r="A1173" s="19">
        <v>476.7</v>
      </c>
      <c r="B1173" s="43">
        <v>94.571850003861925</v>
      </c>
      <c r="C1173" s="43">
        <v>95.217426232106789</v>
      </c>
      <c r="D1173" s="43">
        <v>95.660034632323402</v>
      </c>
      <c r="E1173" s="43">
        <v>95.92483828392713</v>
      </c>
      <c r="F1173" s="43">
        <v>96.036348544684841</v>
      </c>
      <c r="G1173" s="43">
        <v>96.01717843747204</v>
      </c>
      <c r="H1173" s="43">
        <v>95.887534051355885</v>
      </c>
      <c r="I1173" s="43">
        <v>95.66513345153777</v>
      </c>
    </row>
    <row r="1174" spans="1:9">
      <c r="A1174" s="19">
        <v>476.8</v>
      </c>
      <c r="B1174" s="43">
        <v>94.590720258060088</v>
      </c>
      <c r="C1174" s="43">
        <v>95.236734158316352</v>
      </c>
      <c r="D1174" s="43">
        <v>95.67977981329085</v>
      </c>
      <c r="E1174" s="43">
        <v>95.945006376009019</v>
      </c>
      <c r="F1174" s="43">
        <v>96.056916113206398</v>
      </c>
      <c r="G1174" s="43">
        <v>96.03811663952149</v>
      </c>
      <c r="H1174" s="43">
        <v>95.908811233282904</v>
      </c>
      <c r="I1174" s="43">
        <v>95.686716878562891</v>
      </c>
    </row>
    <row r="1175" spans="1:9">
      <c r="A1175" s="19">
        <v>476.9</v>
      </c>
      <c r="B1175" s="43">
        <v>94.609589852810188</v>
      </c>
      <c r="C1175" s="43">
        <v>95.256041320724336</v>
      </c>
      <c r="D1175" s="43">
        <v>95.699524165115804</v>
      </c>
      <c r="E1175" s="43">
        <v>95.965173609304088</v>
      </c>
      <c r="F1175" s="43">
        <v>96.077482823847646</v>
      </c>
      <c r="G1175" s="43">
        <v>96.059054009877258</v>
      </c>
      <c r="H1175" s="43">
        <v>95.930087630205321</v>
      </c>
      <c r="I1175" s="43">
        <v>95.708299583822765</v>
      </c>
    </row>
    <row r="1176" spans="1:9">
      <c r="A1176" s="19">
        <v>477</v>
      </c>
      <c r="B1176" s="43">
        <v>94.628458788456015</v>
      </c>
      <c r="C1176" s="43">
        <v>95.275347719634397</v>
      </c>
      <c r="D1176" s="43">
        <v>95.719267688075121</v>
      </c>
      <c r="E1176" s="43">
        <v>95.985339983983607</v>
      </c>
      <c r="F1176" s="43">
        <v>96.098048676727274</v>
      </c>
      <c r="G1176" s="43">
        <v>96.079990548587688</v>
      </c>
      <c r="H1176" s="43">
        <v>95.951363242100825</v>
      </c>
      <c r="I1176" s="43">
        <v>95.729881567222918</v>
      </c>
    </row>
    <row r="1177" spans="1:9">
      <c r="A1177" s="19">
        <v>477.1</v>
      </c>
      <c r="B1177" s="43">
        <v>94.647327065401214</v>
      </c>
      <c r="C1177" s="43">
        <v>95.294653355412265</v>
      </c>
      <c r="D1177" s="43">
        <v>95.739010382436021</v>
      </c>
      <c r="E1177" s="43">
        <v>96.005505500280549</v>
      </c>
      <c r="F1177" s="43">
        <v>96.118613671980597</v>
      </c>
      <c r="G1177" s="43">
        <v>96.100926255706213</v>
      </c>
      <c r="H1177" s="43">
        <v>95.97263806894756</v>
      </c>
      <c r="I1177" s="43">
        <v>95.751462828669332</v>
      </c>
    </row>
    <row r="1178" spans="1:9">
      <c r="A1178" s="19">
        <v>477.2</v>
      </c>
      <c r="B1178" s="43">
        <v>94.666194684018905</v>
      </c>
      <c r="C1178" s="43">
        <v>95.313958228387349</v>
      </c>
      <c r="D1178" s="43">
        <v>95.758752248484655</v>
      </c>
      <c r="E1178" s="43">
        <v>96.025670158395826</v>
      </c>
      <c r="F1178" s="43">
        <v>96.139177809738783</v>
      </c>
      <c r="G1178" s="43">
        <v>96.121861131288028</v>
      </c>
      <c r="H1178" s="43">
        <v>95.993912110725887</v>
      </c>
      <c r="I1178" s="43">
        <v>95.773043368068357</v>
      </c>
    </row>
    <row r="1179" spans="1:9">
      <c r="A1179" s="19">
        <v>477.3</v>
      </c>
      <c r="B1179" s="43">
        <v>94.685061644718246</v>
      </c>
      <c r="C1179" s="43">
        <v>95.33326233890611</v>
      </c>
      <c r="D1179" s="43">
        <v>95.778493286517431</v>
      </c>
      <c r="E1179" s="43">
        <v>96.045833958522906</v>
      </c>
      <c r="F1179" s="43">
        <v>96.159741090133195</v>
      </c>
      <c r="G1179" s="43">
        <v>96.142795175392763</v>
      </c>
      <c r="H1179" s="43">
        <v>96.015185367415199</v>
      </c>
      <c r="I1179" s="43">
        <v>95.794623185326543</v>
      </c>
    </row>
    <row r="1180" spans="1:9">
      <c r="A1180" s="19">
        <v>477.4</v>
      </c>
      <c r="B1180" s="43">
        <v>94.703927947886484</v>
      </c>
      <c r="C1180" s="43">
        <v>95.352565687367331</v>
      </c>
      <c r="D1180" s="43">
        <v>95.798233496816295</v>
      </c>
      <c r="E1180" s="43">
        <v>96.065996900898853</v>
      </c>
      <c r="F1180" s="43">
        <v>96.180303513307678</v>
      </c>
      <c r="G1180" s="43">
        <v>96.163728388073395</v>
      </c>
      <c r="H1180" s="43">
        <v>96.036457839000576</v>
      </c>
      <c r="I1180" s="43">
        <v>95.81620228035078</v>
      </c>
    </row>
    <row r="1181" spans="1:9">
      <c r="A1181" s="19">
        <v>477.5</v>
      </c>
      <c r="B1181" s="43">
        <v>94.722793593876759</v>
      </c>
      <c r="C1181" s="43">
        <v>95.371868274033233</v>
      </c>
      <c r="D1181" s="43">
        <v>95.817972879641758</v>
      </c>
      <c r="E1181" s="43">
        <v>96.08615898571864</v>
      </c>
      <c r="F1181" s="43">
        <v>96.200865079381629</v>
      </c>
      <c r="G1181" s="43">
        <v>96.184660769383498</v>
      </c>
      <c r="H1181" s="43">
        <v>96.057729525454533</v>
      </c>
      <c r="I1181" s="43">
        <v>95.83778065304827</v>
      </c>
    </row>
    <row r="1182" spans="1:9">
      <c r="A1182" s="19">
        <v>477.6</v>
      </c>
      <c r="B1182" s="43">
        <v>94.741658583130629</v>
      </c>
      <c r="C1182" s="43">
        <v>95.391170099282647</v>
      </c>
      <c r="D1182" s="43">
        <v>95.837711435276418</v>
      </c>
      <c r="E1182" s="43">
        <v>96.106320213184716</v>
      </c>
      <c r="F1182" s="43">
        <v>96.221425788483629</v>
      </c>
      <c r="G1182" s="43">
        <v>96.205592319377132</v>
      </c>
      <c r="H1182" s="43">
        <v>96.079000426760928</v>
      </c>
      <c r="I1182" s="43">
        <v>95.859358303326047</v>
      </c>
    </row>
    <row r="1183" spans="1:9">
      <c r="A1183" s="19">
        <v>477.7</v>
      </c>
      <c r="B1183" s="43">
        <v>94.760522916006721</v>
      </c>
      <c r="C1183" s="43">
        <v>95.410471163485028</v>
      </c>
      <c r="D1183" s="43">
        <v>95.857449164028907</v>
      </c>
      <c r="E1183" s="43">
        <v>96.126480583515274</v>
      </c>
      <c r="F1183" s="43">
        <v>96.241985640763829</v>
      </c>
      <c r="G1183" s="43">
        <v>96.226523038121428</v>
      </c>
      <c r="H1183" s="43">
        <v>96.100270542905378</v>
      </c>
      <c r="I1183" s="43">
        <v>95.880935231092423</v>
      </c>
    </row>
    <row r="1184" spans="1:9">
      <c r="A1184" s="19">
        <v>477.8</v>
      </c>
      <c r="B1184" s="43">
        <v>94.779386592871333</v>
      </c>
      <c r="C1184" s="43">
        <v>95.429771466922432</v>
      </c>
      <c r="D1184" s="43">
        <v>95.877186066144475</v>
      </c>
      <c r="E1184" s="43">
        <v>96.146640096911057</v>
      </c>
      <c r="F1184" s="43">
        <v>96.262544636334439</v>
      </c>
      <c r="G1184" s="43">
        <v>96.247452925655068</v>
      </c>
      <c r="H1184" s="43">
        <v>96.121539873859717</v>
      </c>
      <c r="I1184" s="43">
        <v>95.902511436254798</v>
      </c>
    </row>
    <row r="1185" spans="1:9">
      <c r="A1185" s="19">
        <v>477.9</v>
      </c>
      <c r="B1185" s="43">
        <v>94.798249614157641</v>
      </c>
      <c r="C1185" s="43">
        <v>95.449071010002314</v>
      </c>
      <c r="D1185" s="43">
        <v>95.896922141942696</v>
      </c>
      <c r="E1185" s="43">
        <v>96.166798753591507</v>
      </c>
      <c r="F1185" s="43">
        <v>96.283102775342513</v>
      </c>
      <c r="G1185" s="43">
        <v>96.268381982049561</v>
      </c>
      <c r="H1185" s="43">
        <v>96.142808419612493</v>
      </c>
      <c r="I1185" s="43">
        <v>95.924086918721855</v>
      </c>
    </row>
    <row r="1186" spans="1:9">
      <c r="A1186" s="19">
        <v>478</v>
      </c>
      <c r="B1186" s="43">
        <v>94.817111980192607</v>
      </c>
      <c r="C1186" s="43">
        <v>95.468369793020628</v>
      </c>
      <c r="D1186" s="43">
        <v>95.916657391658276</v>
      </c>
      <c r="E1186" s="43">
        <v>96.186956553747393</v>
      </c>
      <c r="F1186" s="43">
        <v>96.303660057915494</v>
      </c>
      <c r="G1186" s="43">
        <v>96.289310207351917</v>
      </c>
      <c r="H1186" s="43">
        <v>96.164076180141535</v>
      </c>
      <c r="I1186" s="43">
        <v>95.945661678401649</v>
      </c>
    </row>
    <row r="1187" spans="1:9">
      <c r="A1187" s="19">
        <v>478.1</v>
      </c>
      <c r="B1187" s="43">
        <v>94.835973691396873</v>
      </c>
      <c r="C1187" s="43">
        <v>95.487667816332504</v>
      </c>
      <c r="D1187" s="43">
        <v>95.936391815604935</v>
      </c>
      <c r="E1187" s="43">
        <v>96.207113497596936</v>
      </c>
      <c r="F1187" s="43">
        <v>96.324216484171046</v>
      </c>
      <c r="G1187" s="43">
        <v>96.310237601616535</v>
      </c>
      <c r="H1187" s="43">
        <v>96.185343155426494</v>
      </c>
      <c r="I1187" s="43">
        <v>95.967235715203003</v>
      </c>
    </row>
    <row r="1188" spans="1:9">
      <c r="A1188" s="19">
        <v>478.2</v>
      </c>
      <c r="B1188" s="43">
        <v>94.854834748188296</v>
      </c>
      <c r="C1188" s="43">
        <v>95.506965080320072</v>
      </c>
      <c r="D1188" s="43">
        <v>95.956125414077349</v>
      </c>
      <c r="E1188" s="43">
        <v>96.227269585366912</v>
      </c>
      <c r="F1188" s="43">
        <v>96.344772054283595</v>
      </c>
      <c r="G1188" s="43">
        <v>96.331164164915975</v>
      </c>
      <c r="H1188" s="43">
        <v>96.206609345455547</v>
      </c>
      <c r="I1188" s="43">
        <v>95.98880902903565</v>
      </c>
    </row>
    <row r="1189" spans="1:9">
      <c r="A1189" s="19">
        <v>478.3</v>
      </c>
      <c r="B1189" s="43">
        <v>94.873695150905917</v>
      </c>
      <c r="C1189" s="43">
        <v>95.526261585278093</v>
      </c>
      <c r="D1189" s="43">
        <v>95.975858187310052</v>
      </c>
      <c r="E1189" s="43">
        <v>96.247424817242347</v>
      </c>
      <c r="F1189" s="43">
        <v>96.365326768348609</v>
      </c>
      <c r="G1189" s="43">
        <v>96.352089897292416</v>
      </c>
      <c r="H1189" s="43">
        <v>96.227874750208741</v>
      </c>
      <c r="I1189" s="43">
        <v>96.010381619808527</v>
      </c>
    </row>
    <row r="1190" spans="1:9">
      <c r="A1190" s="19">
        <v>478.4</v>
      </c>
      <c r="B1190" s="43">
        <v>94.892554899948777</v>
      </c>
      <c r="C1190" s="43">
        <v>95.545557331566158</v>
      </c>
      <c r="D1190" s="43">
        <v>95.99559013563001</v>
      </c>
      <c r="E1190" s="43">
        <v>96.267579193450018</v>
      </c>
      <c r="F1190" s="43">
        <v>96.385880626509277</v>
      </c>
      <c r="G1190" s="43">
        <v>96.373014798805571</v>
      </c>
      <c r="H1190" s="43">
        <v>96.249139369665443</v>
      </c>
      <c r="I1190" s="43">
        <v>96.031953487431139</v>
      </c>
    </row>
    <row r="1191" spans="1:9">
      <c r="A1191" s="19">
        <v>478.5</v>
      </c>
      <c r="B1191" s="43">
        <v>94.911413995713446</v>
      </c>
      <c r="C1191" s="43">
        <v>95.564852319540762</v>
      </c>
      <c r="D1191" s="43">
        <v>96.01532125929532</v>
      </c>
      <c r="E1191" s="43">
        <v>96.287732714184017</v>
      </c>
      <c r="F1191" s="43">
        <v>96.406433628903699</v>
      </c>
      <c r="G1191" s="43">
        <v>96.393938869519133</v>
      </c>
      <c r="H1191" s="43">
        <v>96.270403203812123</v>
      </c>
      <c r="I1191" s="43">
        <v>96.05352463181336</v>
      </c>
    </row>
    <row r="1192" spans="1:9">
      <c r="A1192" s="19">
        <v>478.6</v>
      </c>
      <c r="B1192" s="43">
        <v>94.930272438573667</v>
      </c>
      <c r="C1192" s="43">
        <v>95.584146549520995</v>
      </c>
      <c r="D1192" s="43">
        <v>96.035051558594944</v>
      </c>
      <c r="E1192" s="43">
        <v>96.307885379652873</v>
      </c>
      <c r="F1192" s="43">
        <v>96.426985775660569</v>
      </c>
      <c r="G1192" s="43">
        <v>96.414862109477582</v>
      </c>
      <c r="H1192" s="43">
        <v>96.291666252627692</v>
      </c>
      <c r="I1192" s="43">
        <v>96.075095052865464</v>
      </c>
    </row>
    <row r="1193" spans="1:9">
      <c r="A1193" s="19">
        <v>478.7</v>
      </c>
      <c r="B1193" s="43">
        <v>94.949130228935616</v>
      </c>
      <c r="C1193" s="43">
        <v>95.603440021882193</v>
      </c>
      <c r="D1193" s="43">
        <v>96.054781033815402</v>
      </c>
      <c r="E1193" s="43">
        <v>96.328037190095955</v>
      </c>
      <c r="F1193" s="43">
        <v>96.447537066926913</v>
      </c>
      <c r="G1193" s="43">
        <v>96.435784518761295</v>
      </c>
      <c r="H1193" s="43">
        <v>96.312928516099106</v>
      </c>
      <c r="I1193" s="43">
        <v>96.096664750498661</v>
      </c>
    </row>
    <row r="1194" spans="1:9">
      <c r="A1194" s="19">
        <v>478.8</v>
      </c>
      <c r="B1194" s="43">
        <v>94.967987367175198</v>
      </c>
      <c r="C1194" s="43">
        <v>95.622732736955498</v>
      </c>
      <c r="D1194" s="43">
        <v>96.074509685225252</v>
      </c>
      <c r="E1194" s="43">
        <v>96.348188145697094</v>
      </c>
      <c r="F1194" s="43">
        <v>96.468087502828041</v>
      </c>
      <c r="G1194" s="43">
        <v>96.456706097408784</v>
      </c>
      <c r="H1194" s="43">
        <v>96.334189994208828</v>
      </c>
      <c r="I1194" s="43">
        <v>96.118233724622456</v>
      </c>
    </row>
    <row r="1195" spans="1:9">
      <c r="A1195" s="19">
        <v>478.9</v>
      </c>
      <c r="B1195" s="43">
        <v>94.986843853657831</v>
      </c>
      <c r="C1195" s="43">
        <v>95.642024695060712</v>
      </c>
      <c r="D1195" s="43">
        <v>96.094237513119964</v>
      </c>
      <c r="E1195" s="43">
        <v>96.368338246669765</v>
      </c>
      <c r="F1195" s="43">
        <v>96.488637083490204</v>
      </c>
      <c r="G1195" s="43">
        <v>96.47762684548681</v>
      </c>
      <c r="H1195" s="43">
        <v>96.355450686939804</v>
      </c>
      <c r="I1195" s="43">
        <v>96.139801975148941</v>
      </c>
    </row>
    <row r="1196" spans="1:9">
      <c r="A1196" s="19">
        <v>479</v>
      </c>
      <c r="B1196" s="43">
        <v>95.005699688787331</v>
      </c>
      <c r="C1196" s="43">
        <v>95.661315896559699</v>
      </c>
      <c r="D1196" s="43">
        <v>96.113964517761389</v>
      </c>
      <c r="E1196" s="43">
        <v>96.388487493222129</v>
      </c>
      <c r="F1196" s="43">
        <v>96.509185809059545</v>
      </c>
      <c r="G1196" s="43">
        <v>96.498546763043834</v>
      </c>
      <c r="H1196" s="43">
        <v>96.376710594275579</v>
      </c>
      <c r="I1196" s="43">
        <v>96.161369501988645</v>
      </c>
    </row>
    <row r="1197" spans="1:9">
      <c r="A1197" s="19">
        <v>479.1</v>
      </c>
      <c r="B1197" s="43">
        <v>95.024554872945714</v>
      </c>
      <c r="C1197" s="43">
        <v>95.680606341786529</v>
      </c>
      <c r="D1197" s="43">
        <v>96.133690699444173</v>
      </c>
      <c r="E1197" s="43">
        <v>96.408635885568032</v>
      </c>
      <c r="F1197" s="43">
        <v>96.529733679653901</v>
      </c>
      <c r="G1197" s="43">
        <v>96.519465850148123</v>
      </c>
      <c r="H1197" s="43">
        <v>96.39796971619927</v>
      </c>
      <c r="I1197" s="43">
        <v>96.182936305053033</v>
      </c>
    </row>
    <row r="1198" spans="1:9">
      <c r="A1198" s="19">
        <v>479.2</v>
      </c>
      <c r="B1198" s="43">
        <v>95.043409406549529</v>
      </c>
      <c r="C1198" s="43">
        <v>95.69989603113126</v>
      </c>
      <c r="D1198" s="43">
        <v>96.153416058473255</v>
      </c>
      <c r="E1198" s="43">
        <v>96.428783423928934</v>
      </c>
      <c r="F1198" s="43">
        <v>96.550280695445849</v>
      </c>
      <c r="G1198" s="43">
        <v>96.540384106865702</v>
      </c>
      <c r="H1198" s="43">
        <v>96.419228052701243</v>
      </c>
      <c r="I1198" s="43">
        <v>96.204502384255221</v>
      </c>
    </row>
    <row r="1199" spans="1:9">
      <c r="A1199" s="19">
        <v>479.3</v>
      </c>
      <c r="B1199" s="43">
        <v>95.062263289951829</v>
      </c>
      <c r="C1199" s="43">
        <v>95.719184964889337</v>
      </c>
      <c r="D1199" s="43">
        <v>96.173140595104371</v>
      </c>
      <c r="E1199" s="43">
        <v>96.448930108506488</v>
      </c>
      <c r="F1199" s="43">
        <v>96.570826856530061</v>
      </c>
      <c r="G1199" s="43">
        <v>96.561301533245711</v>
      </c>
      <c r="H1199" s="43">
        <v>96.440485603760521</v>
      </c>
      <c r="I1199" s="43">
        <v>96.226067739506163</v>
      </c>
    </row>
    <row r="1200" spans="1:9">
      <c r="A1200" s="19">
        <v>479.4</v>
      </c>
      <c r="B1200" s="43">
        <v>95.081116523545489</v>
      </c>
      <c r="C1200" s="43">
        <v>95.738473143418929</v>
      </c>
      <c r="D1200" s="43">
        <v>96.192864309623303</v>
      </c>
      <c r="E1200" s="43">
        <v>96.469075939514937</v>
      </c>
      <c r="F1200" s="43">
        <v>96.591372163066609</v>
      </c>
      <c r="G1200" s="43">
        <v>96.582218129344</v>
      </c>
      <c r="H1200" s="43">
        <v>96.461742369364401</v>
      </c>
      <c r="I1200" s="43">
        <v>96.247632370718691</v>
      </c>
    </row>
    <row r="1201" spans="1:9">
      <c r="A1201" s="19">
        <v>479.5</v>
      </c>
      <c r="B1201" s="43">
        <v>95.099969107713463</v>
      </c>
      <c r="C1201" s="43">
        <v>95.757760567053623</v>
      </c>
      <c r="D1201" s="43">
        <v>96.212587202316911</v>
      </c>
      <c r="E1201" s="43">
        <v>96.4892209171459</v>
      </c>
      <c r="F1201" s="43">
        <v>96.611916615177449</v>
      </c>
      <c r="G1201" s="43">
        <v>96.603133895226534</v>
      </c>
      <c r="H1201" s="43">
        <v>96.482998349495091</v>
      </c>
      <c r="I1201" s="43">
        <v>96.269196277805179</v>
      </c>
    </row>
    <row r="1202" spans="1:9">
      <c r="A1202" s="19">
        <v>479.6</v>
      </c>
      <c r="B1202" s="43">
        <v>95.118821042843507</v>
      </c>
      <c r="C1202" s="43">
        <v>95.777047236144625</v>
      </c>
      <c r="D1202" s="43">
        <v>96.232309273459407</v>
      </c>
      <c r="E1202" s="43">
        <v>96.509365041625415</v>
      </c>
      <c r="F1202" s="43">
        <v>96.632460212990992</v>
      </c>
      <c r="G1202" s="43">
        <v>96.624048830947004</v>
      </c>
      <c r="H1202" s="43">
        <v>96.504253544138265</v>
      </c>
      <c r="I1202" s="43">
        <v>96.290759460678629</v>
      </c>
    </row>
    <row r="1203" spans="1:9">
      <c r="A1203" s="19">
        <v>479.7</v>
      </c>
      <c r="B1203" s="43">
        <v>95.137672329326136</v>
      </c>
      <c r="C1203" s="43">
        <v>95.796333151067103</v>
      </c>
      <c r="D1203" s="43">
        <v>96.252030523347742</v>
      </c>
      <c r="E1203" s="43">
        <v>96.529508313179548</v>
      </c>
      <c r="F1203" s="43">
        <v>96.653002956672367</v>
      </c>
      <c r="G1203" s="43">
        <v>96.644962936577514</v>
      </c>
      <c r="H1203" s="43">
        <v>96.525507953287473</v>
      </c>
      <c r="I1203" s="43">
        <v>96.312321919253378</v>
      </c>
    </row>
    <row r="1204" spans="1:9">
      <c r="A1204" s="19">
        <v>479.8</v>
      </c>
      <c r="B1204" s="43">
        <v>95.156522967555105</v>
      </c>
      <c r="C1204" s="43">
        <v>95.815618312119199</v>
      </c>
      <c r="D1204" s="43">
        <v>96.271750952263432</v>
      </c>
      <c r="E1204" s="43">
        <v>96.549650732006342</v>
      </c>
      <c r="F1204" s="43">
        <v>96.673544846341088</v>
      </c>
      <c r="G1204" s="43">
        <v>96.665876212173202</v>
      </c>
      <c r="H1204" s="43">
        <v>96.546761576919266</v>
      </c>
      <c r="I1204" s="43">
        <v>96.333883653441262</v>
      </c>
    </row>
    <row r="1205" spans="1:9">
      <c r="A1205" s="19">
        <v>479.9</v>
      </c>
      <c r="B1205" s="43">
        <v>95.175372957904017</v>
      </c>
      <c r="C1205" s="43">
        <v>95.834902719653513</v>
      </c>
      <c r="D1205" s="43">
        <v>96.291470560468554</v>
      </c>
      <c r="E1205" s="43">
        <v>96.569792298311683</v>
      </c>
      <c r="F1205" s="43">
        <v>96.694085882121527</v>
      </c>
      <c r="G1205" s="43">
        <v>96.686788657787787</v>
      </c>
      <c r="H1205" s="43">
        <v>96.568014415021736</v>
      </c>
      <c r="I1205" s="43">
        <v>96.355444663157044</v>
      </c>
    </row>
    <row r="1206" spans="1:9">
      <c r="A1206" s="19">
        <v>480</v>
      </c>
      <c r="B1206" s="43">
        <v>95.162776582560525</v>
      </c>
      <c r="C1206" s="43">
        <v>95.826002841326527</v>
      </c>
      <c r="D1206" s="43">
        <v>96.286802851041898</v>
      </c>
      <c r="E1206" s="43">
        <v>96.56976129403273</v>
      </c>
      <c r="F1206" s="43">
        <v>96.698983420262266</v>
      </c>
      <c r="G1206" s="43">
        <v>96.696813935059339</v>
      </c>
      <c r="H1206" s="43">
        <v>96.583292117770839</v>
      </c>
      <c r="I1206" s="43">
        <v>96.376039908763431</v>
      </c>
    </row>
    <row r="1207" spans="1:9">
      <c r="A1207" s="19">
        <v>480.1</v>
      </c>
      <c r="B1207" s="43">
        <v>95.150121584181591</v>
      </c>
      <c r="C1207" s="43">
        <v>95.817037539863378</v>
      </c>
      <c r="D1207" s="43">
        <v>96.282063497657674</v>
      </c>
      <c r="E1207" s="43">
        <v>96.569653300358425</v>
      </c>
      <c r="F1207" s="43">
        <v>96.70379949059236</v>
      </c>
      <c r="G1207" s="43">
        <v>96.706753946407019</v>
      </c>
      <c r="H1207" s="43">
        <v>96.598481167272553</v>
      </c>
      <c r="I1207" s="43">
        <v>96.396543236729713</v>
      </c>
    </row>
    <row r="1208" spans="1:9">
      <c r="A1208" s="19">
        <v>480.2</v>
      </c>
      <c r="B1208" s="43">
        <v>95.168919452478747</v>
      </c>
      <c r="C1208" s="43">
        <v>95.836261468026095</v>
      </c>
      <c r="D1208" s="43">
        <v>96.301714205473075</v>
      </c>
      <c r="E1208" s="43">
        <v>96.589717839283225</v>
      </c>
      <c r="F1208" s="43">
        <v>96.724255885091281</v>
      </c>
      <c r="G1208" s="43">
        <v>96.72757477395956</v>
      </c>
      <c r="H1208" s="43">
        <v>96.619636111628722</v>
      </c>
      <c r="I1208" s="43">
        <v>96.418000806744743</v>
      </c>
    </row>
    <row r="1209" spans="1:9">
      <c r="A1209" s="19">
        <v>480.3</v>
      </c>
      <c r="B1209" s="43">
        <v>95.187716680639824</v>
      </c>
      <c r="C1209" s="43">
        <v>95.855484652306586</v>
      </c>
      <c r="D1209" s="43">
        <v>96.321364102332637</v>
      </c>
      <c r="E1209" s="43">
        <v>96.609781534053809</v>
      </c>
      <c r="F1209" s="43">
        <v>96.744711431575098</v>
      </c>
      <c r="G1209" s="43">
        <v>96.748394773978418</v>
      </c>
      <c r="H1209" s="43">
        <v>96.640790268795655</v>
      </c>
      <c r="I1209" s="43">
        <v>96.439457645975835</v>
      </c>
    </row>
    <row r="1210" spans="1:9">
      <c r="A1210" s="19">
        <v>480.4</v>
      </c>
      <c r="B1210" s="43">
        <v>95.206513269110246</v>
      </c>
      <c r="C1210" s="43">
        <v>95.874707093092098</v>
      </c>
      <c r="D1210" s="43">
        <v>96.341013188531264</v>
      </c>
      <c r="E1210" s="43">
        <v>96.629844384927395</v>
      </c>
      <c r="F1210" s="43">
        <v>96.765166130201521</v>
      </c>
      <c r="G1210" s="43">
        <v>96.769213946550252</v>
      </c>
      <c r="H1210" s="43">
        <v>96.661943638778837</v>
      </c>
      <c r="I1210" s="43">
        <v>96.460913754356596</v>
      </c>
    </row>
    <row r="1211" spans="1:9">
      <c r="A1211" s="19">
        <v>480.5</v>
      </c>
      <c r="B1211" s="43">
        <v>95.225309218207684</v>
      </c>
      <c r="C1211" s="43">
        <v>95.893928790688648</v>
      </c>
      <c r="D1211" s="43">
        <v>96.360661464361044</v>
      </c>
      <c r="E1211" s="43">
        <v>96.649906392107937</v>
      </c>
      <c r="F1211" s="43">
        <v>96.785619981098876</v>
      </c>
      <c r="G1211" s="43">
        <v>96.790032291731166</v>
      </c>
      <c r="H1211" s="43">
        <v>96.683096221574004</v>
      </c>
      <c r="I1211" s="43">
        <v>96.482369131817592</v>
      </c>
    </row>
    <row r="1212" spans="1:9">
      <c r="A1212" s="19">
        <v>480.6</v>
      </c>
      <c r="B1212" s="43">
        <v>95.244104528331519</v>
      </c>
      <c r="C1212" s="43">
        <v>95.913149745435163</v>
      </c>
      <c r="D1212" s="43">
        <v>96.380308930082094</v>
      </c>
      <c r="E1212" s="43">
        <v>96.669967555801662</v>
      </c>
      <c r="F1212" s="43">
        <v>96.806072984414413</v>
      </c>
      <c r="G1212" s="43">
        <v>96.810849809603468</v>
      </c>
      <c r="H1212" s="43">
        <v>96.704248017184767</v>
      </c>
      <c r="I1212" s="43">
        <v>96.503823778291405</v>
      </c>
    </row>
    <row r="1213" spans="1:9">
      <c r="A1213" s="19">
        <v>480.7</v>
      </c>
      <c r="B1213" s="43">
        <v>95.262899199843361</v>
      </c>
      <c r="C1213" s="43">
        <v>95.932369957657812</v>
      </c>
      <c r="D1213" s="43">
        <v>96.399955585986362</v>
      </c>
      <c r="E1213" s="43">
        <v>96.690027876218551</v>
      </c>
      <c r="F1213" s="43">
        <v>96.826525140287742</v>
      </c>
      <c r="G1213" s="43">
        <v>96.83166650023324</v>
      </c>
      <c r="H1213" s="43">
        <v>96.725399025612148</v>
      </c>
      <c r="I1213" s="43">
        <v>96.525277693710535</v>
      </c>
    </row>
    <row r="1214" spans="1:9">
      <c r="A1214" s="19">
        <v>480.8</v>
      </c>
      <c r="B1214" s="43">
        <v>95.281693233122695</v>
      </c>
      <c r="C1214" s="43">
        <v>95.951589427714737</v>
      </c>
      <c r="D1214" s="43">
        <v>96.4196014323513</v>
      </c>
      <c r="E1214" s="43">
        <v>96.71008735359743</v>
      </c>
      <c r="F1214" s="43">
        <v>96.846976448886352</v>
      </c>
      <c r="G1214" s="43">
        <v>96.852482363696566</v>
      </c>
      <c r="H1214" s="43">
        <v>96.746549246859985</v>
      </c>
      <c r="I1214" s="43">
        <v>96.546730878009072</v>
      </c>
    </row>
    <row r="1215" spans="1:9">
      <c r="A1215" s="19">
        <v>480.9</v>
      </c>
      <c r="B1215" s="43">
        <v>95.300486628584139</v>
      </c>
      <c r="C1215" s="43">
        <v>95.970808155953989</v>
      </c>
      <c r="D1215" s="43">
        <v>96.439246469492417</v>
      </c>
      <c r="E1215" s="43">
        <v>96.730145988145523</v>
      </c>
      <c r="F1215" s="43">
        <v>96.867426910339248</v>
      </c>
      <c r="G1215" s="43">
        <v>96.873297400073994</v>
      </c>
      <c r="H1215" s="43">
        <v>96.767698680928902</v>
      </c>
      <c r="I1215" s="43">
        <v>96.568183331119116</v>
      </c>
    </row>
    <row r="1216" spans="1:9">
      <c r="A1216" s="19">
        <v>481</v>
      </c>
      <c r="B1216" s="43">
        <v>95.319279386477831</v>
      </c>
      <c r="C1216" s="43">
        <v>95.990026142636992</v>
      </c>
      <c r="D1216" s="43">
        <v>96.458890697596473</v>
      </c>
      <c r="E1216" s="43">
        <v>96.750203780027078</v>
      </c>
      <c r="F1216" s="43">
        <v>96.887876524759804</v>
      </c>
      <c r="G1216" s="43">
        <v>96.894111609407531</v>
      </c>
      <c r="H1216" s="43">
        <v>96.788847327813471</v>
      </c>
      <c r="I1216" s="43">
        <v>96.589635052972312</v>
      </c>
    </row>
    <row r="1217" spans="1:9">
      <c r="A1217" s="19">
        <v>481.1</v>
      </c>
      <c r="B1217" s="43">
        <v>95.338071507269945</v>
      </c>
      <c r="C1217" s="43">
        <v>96.009243388151134</v>
      </c>
      <c r="D1217" s="43">
        <v>96.478534117016039</v>
      </c>
      <c r="E1217" s="43">
        <v>96.770260729510198</v>
      </c>
      <c r="F1217" s="43">
        <v>96.908325292326793</v>
      </c>
      <c r="G1217" s="43">
        <v>96.914924991792446</v>
      </c>
      <c r="H1217" s="43">
        <v>96.80999518752327</v>
      </c>
      <c r="I1217" s="43">
        <v>96.611086043504145</v>
      </c>
    </row>
    <row r="1218" spans="1:9">
      <c r="A1218" s="19">
        <v>481.2</v>
      </c>
      <c r="B1218" s="43">
        <v>95.356862991347782</v>
      </c>
      <c r="C1218" s="43">
        <v>96.028459892863452</v>
      </c>
      <c r="D1218" s="43">
        <v>96.4981767280361</v>
      </c>
      <c r="E1218" s="43">
        <v>96.790316836807733</v>
      </c>
      <c r="F1218" s="43">
        <v>96.928773213183149</v>
      </c>
      <c r="G1218" s="43">
        <v>96.935737547307497</v>
      </c>
      <c r="H1218" s="43">
        <v>96.831142260062649</v>
      </c>
      <c r="I1218" s="43">
        <v>96.632536302648788</v>
      </c>
    </row>
    <row r="1219" spans="1:9">
      <c r="A1219" s="19">
        <v>481.3</v>
      </c>
      <c r="B1219" s="43">
        <v>95.375653839011505</v>
      </c>
      <c r="C1219" s="43">
        <v>96.047675657050064</v>
      </c>
      <c r="D1219" s="43">
        <v>96.517818530901764</v>
      </c>
      <c r="E1219" s="43">
        <v>96.810372102103372</v>
      </c>
      <c r="F1219" s="43">
        <v>96.949220287452789</v>
      </c>
      <c r="G1219" s="43">
        <v>96.956549276008218</v>
      </c>
      <c r="H1219" s="43">
        <v>96.852288545431662</v>
      </c>
      <c r="I1219" s="43">
        <v>96.653985830339082</v>
      </c>
    </row>
    <row r="1220" spans="1:9">
      <c r="A1220" s="19">
        <v>481.4</v>
      </c>
      <c r="B1220" s="43">
        <v>95.394444050718647</v>
      </c>
      <c r="C1220" s="43">
        <v>96.066890681097561</v>
      </c>
      <c r="D1220" s="43">
        <v>96.537459525924902</v>
      </c>
      <c r="E1220" s="43">
        <v>96.83042652564842</v>
      </c>
      <c r="F1220" s="43">
        <v>96.969666515304681</v>
      </c>
      <c r="G1220" s="43">
        <v>96.977360177980756</v>
      </c>
      <c r="H1220" s="43">
        <v>96.873434043632045</v>
      </c>
      <c r="I1220" s="43">
        <v>96.675434626509883</v>
      </c>
    </row>
    <row r="1221" spans="1:9">
      <c r="A1221" s="19">
        <v>481.5</v>
      </c>
      <c r="B1221" s="43">
        <v>95.41323362677025</v>
      </c>
      <c r="C1221" s="43">
        <v>96.086104965299995</v>
      </c>
      <c r="D1221" s="43">
        <v>96.5570997133606</v>
      </c>
      <c r="E1221" s="43">
        <v>96.850480107632194</v>
      </c>
      <c r="F1221" s="43">
        <v>96.990111896865784</v>
      </c>
      <c r="G1221" s="43">
        <v>96.998170253293836</v>
      </c>
      <c r="H1221" s="43">
        <v>96.894578754666696</v>
      </c>
      <c r="I1221" s="43">
        <v>96.696882691095652</v>
      </c>
    </row>
    <row r="1222" spans="1:9">
      <c r="A1222" s="19">
        <v>481.6</v>
      </c>
      <c r="B1222" s="43">
        <v>95.43202256758255</v>
      </c>
      <c r="C1222" s="43">
        <v>96.105318510024972</v>
      </c>
      <c r="D1222" s="43">
        <v>96.576739093510099</v>
      </c>
      <c r="E1222" s="43">
        <v>96.870532848278259</v>
      </c>
      <c r="F1222" s="43">
        <v>97.010556432297051</v>
      </c>
      <c r="G1222" s="43">
        <v>97.018979502024479</v>
      </c>
      <c r="H1222" s="43">
        <v>96.915722678543176</v>
      </c>
      <c r="I1222" s="43">
        <v>96.718330024031218</v>
      </c>
    </row>
    <row r="1223" spans="1:9">
      <c r="A1223" s="19">
        <v>481.7</v>
      </c>
      <c r="B1223" s="43">
        <v>95.450810873485636</v>
      </c>
      <c r="C1223" s="43">
        <v>96.124531315589792</v>
      </c>
      <c r="D1223" s="43">
        <v>96.596377666643207</v>
      </c>
      <c r="E1223" s="43">
        <v>96.890584747795856</v>
      </c>
      <c r="F1223" s="43">
        <v>97.031000121723082</v>
      </c>
      <c r="G1223" s="43">
        <v>97.039787924237061</v>
      </c>
      <c r="H1223" s="43">
        <v>96.936865815257789</v>
      </c>
      <c r="I1223" s="43">
        <v>96.739776625251636</v>
      </c>
    </row>
    <row r="1224" spans="1:9">
      <c r="A1224" s="19">
        <v>481.8</v>
      </c>
      <c r="B1224" s="43">
        <v>95.469598544914987</v>
      </c>
      <c r="C1224" s="43">
        <v>96.143743382353193</v>
      </c>
      <c r="D1224" s="43">
        <v>96.616015433057072</v>
      </c>
      <c r="E1224" s="43">
        <v>96.910635806418867</v>
      </c>
      <c r="F1224" s="43">
        <v>97.051442965311537</v>
      </c>
      <c r="G1224" s="43">
        <v>97.060595520020797</v>
      </c>
      <c r="H1224" s="43">
        <v>96.958008164821763</v>
      </c>
      <c r="I1224" s="43">
        <v>96.761222494693072</v>
      </c>
    </row>
    <row r="1225" spans="1:9">
      <c r="A1225" s="19">
        <v>481.9</v>
      </c>
      <c r="B1225" s="43">
        <v>95.488385582159623</v>
      </c>
      <c r="C1225" s="43">
        <v>96.162954710597802</v>
      </c>
      <c r="D1225" s="43">
        <v>96.635652392994956</v>
      </c>
      <c r="E1225" s="43">
        <v>96.93068602433101</v>
      </c>
      <c r="F1225" s="43">
        <v>97.071884963172067</v>
      </c>
      <c r="G1225" s="43">
        <v>97.081402289425199</v>
      </c>
      <c r="H1225" s="43">
        <v>96.97914972723072</v>
      </c>
      <c r="I1225" s="43">
        <v>96.782667632288792</v>
      </c>
    </row>
    <row r="1226" spans="1:9">
      <c r="A1226" s="19">
        <v>482</v>
      </c>
      <c r="B1226" s="43">
        <v>95.507171985640497</v>
      </c>
      <c r="C1226" s="43">
        <v>96.182165300702735</v>
      </c>
      <c r="D1226" s="43">
        <v>96.655288546746732</v>
      </c>
      <c r="E1226" s="43">
        <v>96.950735401764348</v>
      </c>
      <c r="F1226" s="43">
        <v>97.092326115481001</v>
      </c>
      <c r="G1226" s="43">
        <v>97.102208232542665</v>
      </c>
      <c r="H1226" s="43">
        <v>97.000290502496995</v>
      </c>
      <c r="I1226" s="43">
        <v>96.804112037976552</v>
      </c>
    </row>
    <row r="1227" spans="1:9">
      <c r="A1227" s="19">
        <v>482.1</v>
      </c>
      <c r="B1227" s="43">
        <v>95.525957755742212</v>
      </c>
      <c r="C1227" s="43">
        <v>96.201375153010815</v>
      </c>
      <c r="D1227" s="43">
        <v>96.674923894622367</v>
      </c>
      <c r="E1227" s="43">
        <v>96.970783938942475</v>
      </c>
      <c r="F1227" s="43">
        <v>97.11276642237371</v>
      </c>
      <c r="G1227" s="43">
        <v>97.123013349448428</v>
      </c>
      <c r="H1227" s="43">
        <v>97.021430490620901</v>
      </c>
      <c r="I1227" s="43">
        <v>96.825555711692232</v>
      </c>
    </row>
    <row r="1228" spans="1:9">
      <c r="A1228" s="19">
        <v>482.2</v>
      </c>
      <c r="B1228" s="43">
        <v>95.544742892784029</v>
      </c>
      <c r="C1228" s="43">
        <v>96.220584267813649</v>
      </c>
      <c r="D1228" s="43">
        <v>96.694558436881465</v>
      </c>
      <c r="E1228" s="43">
        <v>96.990831636057351</v>
      </c>
      <c r="F1228" s="43">
        <v>97.133205883996283</v>
      </c>
      <c r="G1228" s="43">
        <v>97.143817640203537</v>
      </c>
      <c r="H1228" s="43">
        <v>97.042569691606133</v>
      </c>
      <c r="I1228" s="43">
        <v>96.846998653371088</v>
      </c>
    </row>
    <row r="1229" spans="1:9">
      <c r="A1229" s="19">
        <v>482.3</v>
      </c>
      <c r="B1229" s="43">
        <v>95.563527397198641</v>
      </c>
      <c r="C1229" s="43">
        <v>96.239792645502405</v>
      </c>
      <c r="D1229" s="43">
        <v>96.714192173822113</v>
      </c>
      <c r="E1229" s="43">
        <v>97.01087849335056</v>
      </c>
      <c r="F1229" s="43">
        <v>97.153644500492874</v>
      </c>
      <c r="G1229" s="43">
        <v>97.164621104904086</v>
      </c>
      <c r="H1229" s="43">
        <v>97.063708105461984</v>
      </c>
      <c r="I1229" s="43">
        <v>96.868440862950962</v>
      </c>
    </row>
    <row r="1230" spans="1:9">
      <c r="A1230" s="19">
        <v>482.4</v>
      </c>
      <c r="B1230" s="43">
        <v>95.582311269327477</v>
      </c>
      <c r="C1230" s="43">
        <v>96.259000286372839</v>
      </c>
      <c r="D1230" s="43">
        <v>96.733825105692432</v>
      </c>
      <c r="E1230" s="43">
        <v>97.030924511019748</v>
      </c>
      <c r="F1230" s="43">
        <v>97.174082272008661</v>
      </c>
      <c r="G1230" s="43">
        <v>97.185423743605014</v>
      </c>
      <c r="H1230" s="43">
        <v>97.08484573218405</v>
      </c>
      <c r="I1230" s="43">
        <v>96.889882340367706</v>
      </c>
    </row>
    <row r="1231" spans="1:9">
      <c r="A1231" s="19">
        <v>482.5</v>
      </c>
      <c r="B1231" s="43">
        <v>95.601094509533851</v>
      </c>
      <c r="C1231" s="43">
        <v>96.278207190790283</v>
      </c>
      <c r="D1231" s="43">
        <v>96.753457232816373</v>
      </c>
      <c r="E1231" s="43">
        <v>97.050969689291946</v>
      </c>
      <c r="F1231" s="43">
        <v>97.194519198693285</v>
      </c>
      <c r="G1231" s="43">
        <v>97.206225556393093</v>
      </c>
      <c r="H1231" s="43">
        <v>97.105982571793277</v>
      </c>
      <c r="I1231" s="43">
        <v>96.91132308555899</v>
      </c>
    </row>
    <row r="1232" spans="1:9">
      <c r="A1232" s="19">
        <v>482.6</v>
      </c>
      <c r="B1232" s="43">
        <v>95.619877118185286</v>
      </c>
      <c r="C1232" s="43">
        <v>96.297413359044555</v>
      </c>
      <c r="D1232" s="43">
        <v>96.77308855543049</v>
      </c>
      <c r="E1232" s="43">
        <v>97.071014028371849</v>
      </c>
      <c r="F1232" s="43">
        <v>97.214955280691157</v>
      </c>
      <c r="G1232" s="43">
        <v>97.227026543334176</v>
      </c>
      <c r="H1232" s="43">
        <v>97.127118624278694</v>
      </c>
      <c r="I1232" s="43">
        <v>96.932763098461493</v>
      </c>
    </row>
    <row r="1233" spans="1:9">
      <c r="A1233" s="19">
        <v>482.7</v>
      </c>
      <c r="B1233" s="43">
        <v>95.638659095710324</v>
      </c>
      <c r="C1233" s="43">
        <v>96.316618791538133</v>
      </c>
      <c r="D1233" s="43">
        <v>96.792719073857512</v>
      </c>
      <c r="E1233" s="43">
        <v>97.091057528497061</v>
      </c>
      <c r="F1233" s="43">
        <v>97.235390518157658</v>
      </c>
      <c r="G1233" s="43">
        <v>97.247826704518161</v>
      </c>
      <c r="H1233" s="43">
        <v>97.148253889657866</v>
      </c>
      <c r="I1233" s="43">
        <v>96.954202379014077</v>
      </c>
    </row>
    <row r="1234" spans="1:9">
      <c r="A1234" s="19">
        <v>482.8</v>
      </c>
      <c r="B1234" s="43">
        <v>95.657440442364503</v>
      </c>
      <c r="C1234" s="43">
        <v>96.33582348851786</v>
      </c>
      <c r="D1234" s="43">
        <v>96.812348788337403</v>
      </c>
      <c r="E1234" s="43">
        <v>97.111100189851811</v>
      </c>
      <c r="F1234" s="43">
        <v>97.255824911207725</v>
      </c>
      <c r="G1234" s="43">
        <v>97.268626039991602</v>
      </c>
      <c r="H1234" s="43">
        <v>97.169388367925109</v>
      </c>
      <c r="I1234" s="43">
        <v>96.975640927152142</v>
      </c>
    </row>
    <row r="1235" spans="1:9">
      <c r="A1235" s="19">
        <v>482.9</v>
      </c>
      <c r="B1235" s="43">
        <v>95.676221158633325</v>
      </c>
      <c r="C1235" s="43">
        <v>96.355027450401025</v>
      </c>
      <c r="D1235" s="43">
        <v>96.831977699181834</v>
      </c>
      <c r="E1235" s="43">
        <v>97.131142012670324</v>
      </c>
      <c r="F1235" s="43">
        <v>97.276258460025275</v>
      </c>
      <c r="G1235" s="43">
        <v>97.28942454986489</v>
      </c>
      <c r="H1235" s="43">
        <v>97.190522059097702</v>
      </c>
      <c r="I1235" s="43">
        <v>96.997078742816001</v>
      </c>
    </row>
    <row r="1236" spans="1:9">
      <c r="A1236" s="19">
        <v>483</v>
      </c>
      <c r="B1236" s="43">
        <v>95.695001244831502</v>
      </c>
      <c r="C1236" s="43">
        <v>96.374230677491596</v>
      </c>
      <c r="D1236" s="43">
        <v>96.851605806654618</v>
      </c>
      <c r="E1236" s="43">
        <v>97.151182997169144</v>
      </c>
      <c r="F1236" s="43">
        <v>97.296691164735392</v>
      </c>
      <c r="G1236" s="43">
        <v>97.31022223419842</v>
      </c>
      <c r="H1236" s="43">
        <v>97.211654963177239</v>
      </c>
      <c r="I1236" s="43">
        <v>97.018515825943155</v>
      </c>
    </row>
    <row r="1237" spans="1:9">
      <c r="A1237" s="19">
        <v>483.1</v>
      </c>
      <c r="B1237" s="43">
        <v>95.71378070134449</v>
      </c>
      <c r="C1237" s="43">
        <v>96.393433170114747</v>
      </c>
      <c r="D1237" s="43">
        <v>96.87123311106015</v>
      </c>
      <c r="E1237" s="43">
        <v>97.1712231435653</v>
      </c>
      <c r="F1237" s="43">
        <v>97.317123025489508</v>
      </c>
      <c r="G1237" s="43">
        <v>97.331019093067766</v>
      </c>
      <c r="H1237" s="43">
        <v>97.232787080170908</v>
      </c>
      <c r="I1237" s="43">
        <v>97.039952176472212</v>
      </c>
    </row>
    <row r="1238" spans="1:9">
      <c r="A1238" s="19">
        <v>483.2</v>
      </c>
      <c r="B1238" s="43">
        <v>95.732559528564593</v>
      </c>
      <c r="C1238" s="43">
        <v>96.412634928631178</v>
      </c>
      <c r="D1238" s="43">
        <v>96.890859612657152</v>
      </c>
      <c r="E1238" s="43">
        <v>97.191262452067235</v>
      </c>
      <c r="F1238" s="43">
        <v>97.337554042436068</v>
      </c>
      <c r="G1238" s="43">
        <v>97.35181512655015</v>
      </c>
      <c r="H1238" s="43">
        <v>97.253918410085532</v>
      </c>
      <c r="I1238" s="43">
        <v>97.061387794341954</v>
      </c>
    </row>
    <row r="1239" spans="1:9">
      <c r="A1239" s="19">
        <v>483.3</v>
      </c>
      <c r="B1239" s="43">
        <v>95.751337726814597</v>
      </c>
      <c r="C1239" s="43">
        <v>96.431835953360604</v>
      </c>
      <c r="D1239" s="43">
        <v>96.910485311739365</v>
      </c>
      <c r="E1239" s="43">
        <v>97.211300922906361</v>
      </c>
      <c r="F1239" s="43">
        <v>97.357984215725565</v>
      </c>
      <c r="G1239" s="43">
        <v>97.372610334725692</v>
      </c>
      <c r="H1239" s="43">
        <v>97.275048952927051</v>
      </c>
      <c r="I1239" s="43">
        <v>97.082822679491414</v>
      </c>
    </row>
    <row r="1240" spans="1:9">
      <c r="A1240" s="19">
        <v>483.4</v>
      </c>
      <c r="B1240" s="43">
        <v>95.770115296476092</v>
      </c>
      <c r="C1240" s="43">
        <v>96.45103624463178</v>
      </c>
      <c r="D1240" s="43">
        <v>96.930110208575968</v>
      </c>
      <c r="E1240" s="43">
        <v>97.231338556277819</v>
      </c>
      <c r="F1240" s="43">
        <v>97.37841354549488</v>
      </c>
      <c r="G1240" s="43">
        <v>97.393404717660474</v>
      </c>
      <c r="H1240" s="43">
        <v>97.296178708703735</v>
      </c>
      <c r="I1240" s="43">
        <v>97.10425683185926</v>
      </c>
    </row>
    <row r="1241" spans="1:9">
      <c r="A1241" s="19">
        <v>483.5</v>
      </c>
      <c r="B1241" s="43">
        <v>95.788892237963779</v>
      </c>
      <c r="C1241" s="43">
        <v>96.470235802803018</v>
      </c>
      <c r="D1241" s="43">
        <v>96.949734303479232</v>
      </c>
      <c r="E1241" s="43">
        <v>97.251375352425981</v>
      </c>
      <c r="F1241" s="43">
        <v>97.398842031907662</v>
      </c>
      <c r="G1241" s="43">
        <v>97.414198275446893</v>
      </c>
      <c r="H1241" s="43">
        <v>97.317307677422406</v>
      </c>
      <c r="I1241" s="43">
        <v>97.125690251386203</v>
      </c>
    </row>
    <row r="1242" spans="1:9">
      <c r="A1242" s="19">
        <v>483.6</v>
      </c>
      <c r="B1242" s="43">
        <v>95.807668551630968</v>
      </c>
      <c r="C1242" s="43">
        <v>96.489434628211143</v>
      </c>
      <c r="D1242" s="43">
        <v>96.969357596698018</v>
      </c>
      <c r="E1242" s="43">
        <v>97.271411311547638</v>
      </c>
      <c r="F1242" s="43">
        <v>97.419269675100196</v>
      </c>
      <c r="G1242" s="43">
        <v>97.434991008161205</v>
      </c>
      <c r="H1242" s="43">
        <v>97.33843585909375</v>
      </c>
      <c r="I1242" s="43">
        <v>97.147122938011705</v>
      </c>
    </row>
    <row r="1243" spans="1:9">
      <c r="A1243" s="19">
        <v>483.7</v>
      </c>
      <c r="B1243" s="43">
        <v>95.82644423780215</v>
      </c>
      <c r="C1243" s="43">
        <v>96.508632721151429</v>
      </c>
      <c r="D1243" s="43">
        <v>96.988980088516399</v>
      </c>
      <c r="E1243" s="43">
        <v>97.291446433857914</v>
      </c>
      <c r="F1243" s="43">
        <v>97.43969647521385</v>
      </c>
      <c r="G1243" s="43">
        <v>97.455782915859345</v>
      </c>
      <c r="H1243" s="43">
        <v>97.35956325372095</v>
      </c>
      <c r="I1243" s="43">
        <v>97.168554891675115</v>
      </c>
    </row>
    <row r="1244" spans="1:9">
      <c r="A1244" s="19">
        <v>483.8</v>
      </c>
      <c r="B1244" s="43">
        <v>95.845219296864855</v>
      </c>
      <c r="C1244" s="43">
        <v>96.527830081964026</v>
      </c>
      <c r="D1244" s="43">
        <v>97.008601779201882</v>
      </c>
      <c r="E1244" s="43">
        <v>97.311480719565537</v>
      </c>
      <c r="F1244" s="43">
        <v>97.460122432397441</v>
      </c>
      <c r="G1244" s="43">
        <v>97.47657399862922</v>
      </c>
      <c r="H1244" s="43">
        <v>97.380689861308866</v>
      </c>
      <c r="I1244" s="43">
        <v>97.189986112315637</v>
      </c>
    </row>
    <row r="1245" spans="1:9">
      <c r="A1245" s="19">
        <v>483.9</v>
      </c>
      <c r="B1245" s="43">
        <v>95.863993729215849</v>
      </c>
      <c r="C1245" s="43">
        <v>96.547026711028707</v>
      </c>
      <c r="D1245" s="43">
        <v>97.02822266907279</v>
      </c>
      <c r="E1245" s="43">
        <v>97.331514168910275</v>
      </c>
      <c r="F1245" s="43">
        <v>97.480547546806463</v>
      </c>
      <c r="G1245" s="43">
        <v>97.497364256558683</v>
      </c>
      <c r="H1245" s="43">
        <v>97.401815681872733</v>
      </c>
      <c r="I1245" s="43">
        <v>97.211416599876372</v>
      </c>
    </row>
    <row r="1246" spans="1:9">
      <c r="A1246" s="19">
        <v>484</v>
      </c>
      <c r="B1246" s="43">
        <v>95.882767535218363</v>
      </c>
      <c r="C1246" s="43">
        <v>96.566222608660638</v>
      </c>
      <c r="D1246" s="43">
        <v>97.04784275839836</v>
      </c>
      <c r="E1246" s="43">
        <v>97.351546782118277</v>
      </c>
      <c r="F1246" s="43">
        <v>97.500971818598686</v>
      </c>
      <c r="G1246" s="43">
        <v>97.518153689723761</v>
      </c>
      <c r="H1246" s="43">
        <v>97.422940715421021</v>
      </c>
      <c r="I1246" s="43">
        <v>97.232846354296981</v>
      </c>
    </row>
    <row r="1247" spans="1:9">
      <c r="A1247" s="19">
        <v>484.1</v>
      </c>
      <c r="B1247" s="43">
        <v>95.901540715231505</v>
      </c>
      <c r="C1247" s="43">
        <v>96.585417775178058</v>
      </c>
      <c r="D1247" s="43">
        <v>97.067462047461078</v>
      </c>
      <c r="E1247" s="43">
        <v>97.371578559364735</v>
      </c>
      <c r="F1247" s="43">
        <v>97.521395247894844</v>
      </c>
      <c r="G1247" s="43">
        <v>97.538942298187749</v>
      </c>
      <c r="H1247" s="43">
        <v>97.444064961959867</v>
      </c>
      <c r="I1247" s="43">
        <v>97.254275375517977</v>
      </c>
    </row>
    <row r="1248" spans="1:9">
      <c r="A1248" s="19">
        <v>484.2</v>
      </c>
      <c r="B1248" s="43">
        <v>95.920313269643344</v>
      </c>
      <c r="C1248" s="43">
        <v>96.604612210943628</v>
      </c>
      <c r="D1248" s="43">
        <v>97.087080536537883</v>
      </c>
      <c r="E1248" s="43">
        <v>97.391609500910789</v>
      </c>
      <c r="F1248" s="43">
        <v>97.541817834871267</v>
      </c>
      <c r="G1248" s="43">
        <v>97.559730082046741</v>
      </c>
      <c r="H1248" s="43">
        <v>97.465188421498056</v>
      </c>
      <c r="I1248" s="43">
        <v>97.275703663481494</v>
      </c>
    </row>
    <row r="1249" spans="1:9">
      <c r="A1249" s="19">
        <v>484.3</v>
      </c>
      <c r="B1249" s="43">
        <v>95.939085198799773</v>
      </c>
      <c r="C1249" s="43">
        <v>96.623805916274506</v>
      </c>
      <c r="D1249" s="43">
        <v>97.10669822590404</v>
      </c>
      <c r="E1249" s="43">
        <v>97.411639606940327</v>
      </c>
      <c r="F1249" s="43">
        <v>97.56223957966651</v>
      </c>
      <c r="G1249" s="43">
        <v>97.580517041367131</v>
      </c>
      <c r="H1249" s="43">
        <v>97.486311094045135</v>
      </c>
      <c r="I1249" s="43">
        <v>97.297131218127305</v>
      </c>
    </row>
    <row r="1250" spans="1:9">
      <c r="A1250" s="19">
        <v>484.4</v>
      </c>
      <c r="B1250" s="43">
        <v>95.95785650309108</v>
      </c>
      <c r="C1250" s="43">
        <v>96.642998891518715</v>
      </c>
      <c r="D1250" s="43">
        <v>97.126315115860791</v>
      </c>
      <c r="E1250" s="43">
        <v>97.431668877696495</v>
      </c>
      <c r="F1250" s="43">
        <v>97.582660482416173</v>
      </c>
      <c r="G1250" s="43">
        <v>97.601303176228498</v>
      </c>
      <c r="H1250" s="43">
        <v>97.507432979608211</v>
      </c>
      <c r="I1250" s="43">
        <v>97.318558039399022</v>
      </c>
    </row>
    <row r="1251" spans="1:9">
      <c r="A1251" s="19">
        <v>484.5</v>
      </c>
      <c r="B1251" s="43">
        <v>95.976627182894106</v>
      </c>
      <c r="C1251" s="43">
        <v>96.66219113700663</v>
      </c>
      <c r="D1251" s="43">
        <v>97.145931206682775</v>
      </c>
      <c r="E1251" s="43">
        <v>97.451697313392259</v>
      </c>
      <c r="F1251" s="43">
        <v>97.603080543293089</v>
      </c>
      <c r="G1251" s="43">
        <v>97.622088486727478</v>
      </c>
      <c r="H1251" s="43">
        <v>97.52855407820789</v>
      </c>
      <c r="I1251" s="43">
        <v>97.339984127239717</v>
      </c>
    </row>
    <row r="1252" spans="1:9">
      <c r="A1252" s="19">
        <v>484.6</v>
      </c>
      <c r="B1252" s="43">
        <v>95.995397238539908</v>
      </c>
      <c r="C1252" s="43">
        <v>96.681382653051031</v>
      </c>
      <c r="D1252" s="43">
        <v>97.165546498635223</v>
      </c>
      <c r="E1252" s="43">
        <v>97.471724914223984</v>
      </c>
      <c r="F1252" s="43">
        <v>97.623499762421915</v>
      </c>
      <c r="G1252" s="43">
        <v>97.642872972914006</v>
      </c>
      <c r="H1252" s="43">
        <v>97.549674389838572</v>
      </c>
      <c r="I1252" s="43">
        <v>97.361409481588083</v>
      </c>
    </row>
    <row r="1253" spans="1:9">
      <c r="A1253" s="19">
        <v>484.7</v>
      </c>
      <c r="B1253" s="43">
        <v>96.014166670409111</v>
      </c>
      <c r="C1253" s="43">
        <v>96.700573440009777</v>
      </c>
      <c r="D1253" s="43">
        <v>97.18516099200292</v>
      </c>
      <c r="E1253" s="43">
        <v>97.491751680419554</v>
      </c>
      <c r="F1253" s="43">
        <v>97.643918139961613</v>
      </c>
      <c r="G1253" s="43">
        <v>97.663656634881164</v>
      </c>
      <c r="H1253" s="43">
        <v>97.570793914516059</v>
      </c>
      <c r="I1253" s="43">
        <v>97.382834102387818</v>
      </c>
    </row>
    <row r="1254" spans="1:9">
      <c r="A1254" s="19">
        <v>484.8</v>
      </c>
      <c r="B1254" s="43">
        <v>96.032935478919029</v>
      </c>
      <c r="C1254" s="43">
        <v>96.719763498238962</v>
      </c>
      <c r="D1254" s="43">
        <v>97.204774687090008</v>
      </c>
      <c r="E1254" s="43">
        <v>97.511777612212285</v>
      </c>
      <c r="F1254" s="43">
        <v>97.664335676066031</v>
      </c>
      <c r="G1254" s="43">
        <v>97.684439472714445</v>
      </c>
      <c r="H1254" s="43">
        <v>97.59191265225121</v>
      </c>
      <c r="I1254" s="43">
        <v>97.404257989583755</v>
      </c>
    </row>
    <row r="1255" spans="1:9">
      <c r="A1255" s="19">
        <v>484.9</v>
      </c>
      <c r="B1255" s="43">
        <v>96.051703664351066</v>
      </c>
      <c r="C1255" s="43">
        <v>96.738952828024395</v>
      </c>
      <c r="D1255" s="43">
        <v>97.22438758415251</v>
      </c>
      <c r="E1255" s="43">
        <v>97.531802709804936</v>
      </c>
      <c r="F1255" s="43">
        <v>97.684752370878101</v>
      </c>
      <c r="G1255" s="43">
        <v>97.705221486477541</v>
      </c>
      <c r="H1255" s="43">
        <v>97.613030603052351</v>
      </c>
      <c r="I1255" s="43">
        <v>97.425681143115611</v>
      </c>
    </row>
    <row r="1256" spans="1:9">
      <c r="A1256" s="19">
        <v>485</v>
      </c>
      <c r="B1256" s="43">
        <v>96.070471227181969</v>
      </c>
      <c r="C1256" s="43">
        <v>96.758141429744398</v>
      </c>
      <c r="D1256" s="43">
        <v>97.243999683510566</v>
      </c>
      <c r="E1256" s="43">
        <v>97.551826973437471</v>
      </c>
      <c r="F1256" s="43">
        <v>97.7051682245569</v>
      </c>
      <c r="G1256" s="43">
        <v>97.726002676268763</v>
      </c>
      <c r="H1256" s="43">
        <v>97.634147766937787</v>
      </c>
      <c r="I1256" s="43">
        <v>97.447103562930295</v>
      </c>
    </row>
    <row r="1257" spans="1:9">
      <c r="A1257" s="19">
        <v>485.1</v>
      </c>
      <c r="B1257" s="43">
        <v>96.089238167696323</v>
      </c>
      <c r="C1257" s="43">
        <v>96.777329303713486</v>
      </c>
      <c r="D1257" s="43">
        <v>97.263610985410196</v>
      </c>
      <c r="E1257" s="43">
        <v>97.57185040329199</v>
      </c>
      <c r="F1257" s="43">
        <v>97.72558323723797</v>
      </c>
      <c r="G1257" s="43">
        <v>97.746783042149445</v>
      </c>
      <c r="H1257" s="43">
        <v>97.655264143908198</v>
      </c>
      <c r="I1257" s="43">
        <v>97.468525248967097</v>
      </c>
    </row>
    <row r="1258" spans="1:9">
      <c r="A1258" s="19">
        <v>485.2</v>
      </c>
      <c r="B1258" s="43">
        <v>96.10800448630701</v>
      </c>
      <c r="C1258" s="43">
        <v>96.796516450273856</v>
      </c>
      <c r="D1258" s="43">
        <v>97.283221490145166</v>
      </c>
      <c r="E1258" s="43">
        <v>97.591872999614395</v>
      </c>
      <c r="F1258" s="43">
        <v>97.745997409077859</v>
      </c>
      <c r="G1258" s="43">
        <v>97.767562584213522</v>
      </c>
      <c r="H1258" s="43">
        <v>97.676379733982486</v>
      </c>
      <c r="I1258" s="43">
        <v>97.489946201172557</v>
      </c>
    </row>
    <row r="1259" spans="1:9">
      <c r="A1259" s="19">
        <v>485.3</v>
      </c>
      <c r="B1259" s="43">
        <v>96.126770183360492</v>
      </c>
      <c r="C1259" s="43">
        <v>96.815702869751391</v>
      </c>
      <c r="D1259" s="43">
        <v>97.302831197994863</v>
      </c>
      <c r="E1259" s="43">
        <v>97.611894762612252</v>
      </c>
      <c r="F1259" s="43">
        <v>97.766410740227002</v>
      </c>
      <c r="G1259" s="43">
        <v>97.788341302533951</v>
      </c>
      <c r="H1259" s="43">
        <v>97.697494537164516</v>
      </c>
      <c r="I1259" s="43">
        <v>97.511366419489264</v>
      </c>
    </row>
    <row r="1260" spans="1:9">
      <c r="A1260" s="19">
        <v>485.4</v>
      </c>
      <c r="B1260" s="43">
        <v>96.145535259272435</v>
      </c>
      <c r="C1260" s="43">
        <v>96.834888562533365</v>
      </c>
      <c r="D1260" s="43">
        <v>97.322440109273202</v>
      </c>
      <c r="E1260" s="43">
        <v>97.631915692526746</v>
      </c>
      <c r="F1260" s="43">
        <v>97.786823230850842</v>
      </c>
      <c r="G1260" s="43">
        <v>97.809119197200914</v>
      </c>
      <c r="H1260" s="43">
        <v>97.718608553478248</v>
      </c>
      <c r="I1260" s="43">
        <v>97.532785903864294</v>
      </c>
    </row>
    <row r="1261" spans="1:9">
      <c r="A1261" s="19">
        <v>485.5</v>
      </c>
      <c r="B1261" s="43">
        <v>96.164299714349312</v>
      </c>
      <c r="C1261" s="43">
        <v>96.85407352887114</v>
      </c>
      <c r="D1261" s="43">
        <v>97.342048224212306</v>
      </c>
      <c r="E1261" s="43">
        <v>97.651935789540062</v>
      </c>
      <c r="F1261" s="43">
        <v>97.807234881072048</v>
      </c>
      <c r="G1261" s="43">
        <v>97.829896268283193</v>
      </c>
      <c r="H1261" s="43">
        <v>97.739721782922146</v>
      </c>
      <c r="I1261" s="43">
        <v>97.55420465423876</v>
      </c>
    </row>
    <row r="1262" spans="1:9">
      <c r="A1262" s="19">
        <v>485.6</v>
      </c>
      <c r="B1262" s="43">
        <v>96.183063548943323</v>
      </c>
      <c r="C1262" s="43">
        <v>96.87325776912067</v>
      </c>
      <c r="D1262" s="43">
        <v>97.361655543095964</v>
      </c>
      <c r="E1262" s="43">
        <v>97.671955053870022</v>
      </c>
      <c r="F1262" s="43">
        <v>97.827645691030511</v>
      </c>
      <c r="G1262" s="43">
        <v>97.850672515849055</v>
      </c>
      <c r="H1262" s="43">
        <v>97.760834225503942</v>
      </c>
      <c r="I1262" s="43">
        <v>97.575622670556015</v>
      </c>
    </row>
    <row r="1263" spans="1:9">
      <c r="A1263" s="19">
        <v>485.7</v>
      </c>
      <c r="B1263" s="43">
        <v>96.201826763512798</v>
      </c>
      <c r="C1263" s="43">
        <v>96.892441283663658</v>
      </c>
      <c r="D1263" s="43">
        <v>97.381262066258245</v>
      </c>
      <c r="E1263" s="43">
        <v>97.691973485771996</v>
      </c>
      <c r="F1263" s="43">
        <v>97.848055660925809</v>
      </c>
      <c r="G1263" s="43">
        <v>97.8714479400154</v>
      </c>
      <c r="H1263" s="43">
        <v>97.781945881253023</v>
      </c>
      <c r="I1263" s="43">
        <v>97.597039952763993</v>
      </c>
    </row>
    <row r="1264" spans="1:9">
      <c r="A1264" s="19">
        <v>485.8</v>
      </c>
      <c r="B1264" s="43">
        <v>96.220589358359177</v>
      </c>
      <c r="C1264" s="43">
        <v>96.911624072793529</v>
      </c>
      <c r="D1264" s="43">
        <v>97.400867793929166</v>
      </c>
      <c r="E1264" s="43">
        <v>97.711991085440928</v>
      </c>
      <c r="F1264" s="43">
        <v>97.868464790871997</v>
      </c>
      <c r="G1264" s="43">
        <v>97.892222540835178</v>
      </c>
      <c r="H1264" s="43">
        <v>97.80305675017047</v>
      </c>
      <c r="I1264" s="43">
        <v>97.618456500807469</v>
      </c>
    </row>
    <row r="1265" spans="1:9">
      <c r="A1265" s="19">
        <v>485.9</v>
      </c>
      <c r="B1265" s="43">
        <v>96.239351333880194</v>
      </c>
      <c r="C1265" s="43">
        <v>96.930806136874509</v>
      </c>
      <c r="D1265" s="43">
        <v>97.420472726431626</v>
      </c>
      <c r="E1265" s="43">
        <v>97.732007853112236</v>
      </c>
      <c r="F1265" s="43">
        <v>97.888873081027128</v>
      </c>
      <c r="G1265" s="43">
        <v>97.91299631839982</v>
      </c>
      <c r="H1265" s="43">
        <v>97.824166832271914</v>
      </c>
      <c r="I1265" s="43">
        <v>97.639872314631759</v>
      </c>
    </row>
    <row r="1266" spans="1:9">
      <c r="A1266" s="19">
        <v>486</v>
      </c>
      <c r="B1266" s="43">
        <v>96.258112690437741</v>
      </c>
      <c r="C1266" s="43">
        <v>96.94998747622293</v>
      </c>
      <c r="D1266" s="43">
        <v>97.440076864013605</v>
      </c>
      <c r="E1266" s="43">
        <v>97.752023788985014</v>
      </c>
      <c r="F1266" s="43">
        <v>97.909280531544908</v>
      </c>
      <c r="G1266" s="43">
        <v>97.933769272782484</v>
      </c>
      <c r="H1266" s="43">
        <v>97.845276127569349</v>
      </c>
      <c r="I1266" s="43">
        <v>97.661287394181983</v>
      </c>
    </row>
    <row r="1267" spans="1:9">
      <c r="A1267" s="19">
        <v>486.1</v>
      </c>
      <c r="B1267" s="43">
        <v>96.276873428396925</v>
      </c>
      <c r="C1267" s="43">
        <v>96.969168091184912</v>
      </c>
      <c r="D1267" s="43">
        <v>97.459680206997035</v>
      </c>
      <c r="E1267" s="43">
        <v>97.772038893292745</v>
      </c>
      <c r="F1267" s="43">
        <v>97.929687142573897</v>
      </c>
      <c r="G1267" s="43">
        <v>97.954541404080544</v>
      </c>
      <c r="H1267" s="43">
        <v>97.866384636077044</v>
      </c>
      <c r="I1267" s="43">
        <v>97.682701739404848</v>
      </c>
    </row>
    <row r="1268" spans="1:9">
      <c r="A1268" s="19">
        <v>486.2</v>
      </c>
      <c r="B1268" s="43">
        <v>96.295633548123135</v>
      </c>
      <c r="C1268" s="43">
        <v>96.988347982074714</v>
      </c>
      <c r="D1268" s="43">
        <v>97.479282755622705</v>
      </c>
      <c r="E1268" s="43">
        <v>97.792053166243051</v>
      </c>
      <c r="F1268" s="43">
        <v>97.950092914270272</v>
      </c>
      <c r="G1268" s="43">
        <v>97.97531271235988</v>
      </c>
      <c r="H1268" s="43">
        <v>97.887492357805542</v>
      </c>
      <c r="I1268" s="43">
        <v>97.704115350243967</v>
      </c>
    </row>
    <row r="1269" spans="1:9">
      <c r="A1269" s="19">
        <v>486.3</v>
      </c>
      <c r="B1269" s="43">
        <v>96.314393050017571</v>
      </c>
      <c r="C1269" s="43">
        <v>97.007527149279241</v>
      </c>
      <c r="D1269" s="43">
        <v>97.498884510222155</v>
      </c>
      <c r="E1269" s="43">
        <v>97.812066608084422</v>
      </c>
      <c r="F1269" s="43">
        <v>97.970497846794785</v>
      </c>
      <c r="G1269" s="43">
        <v>97.99608319771815</v>
      </c>
      <c r="H1269" s="43">
        <v>97.9085992927738</v>
      </c>
      <c r="I1269" s="43">
        <v>97.725528226650056</v>
      </c>
    </row>
    <row r="1270" spans="1:9">
      <c r="A1270" s="19">
        <v>486.4</v>
      </c>
      <c r="B1270" s="43">
        <v>96.333151934400547</v>
      </c>
      <c r="C1270" s="43">
        <v>97.026705593069181</v>
      </c>
      <c r="D1270" s="43">
        <v>97.518485471033785</v>
      </c>
      <c r="E1270" s="43">
        <v>97.832079218995744</v>
      </c>
      <c r="F1270" s="43">
        <v>97.990901940272408</v>
      </c>
      <c r="G1270" s="43">
        <v>98.01685286022294</v>
      </c>
      <c r="H1270" s="43">
        <v>97.929705440987874</v>
      </c>
      <c r="I1270" s="43">
        <v>97.746940368565362</v>
      </c>
    </row>
    <row r="1271" spans="1:9">
      <c r="A1271" s="19">
        <v>486.5</v>
      </c>
      <c r="B1271" s="43">
        <v>96.351910201629096</v>
      </c>
      <c r="C1271" s="43">
        <v>97.045883313790142</v>
      </c>
      <c r="D1271" s="43">
        <v>97.538085638332774</v>
      </c>
      <c r="E1271" s="43">
        <v>97.852090999201749</v>
      </c>
      <c r="F1271" s="43">
        <v>98.011305194859517</v>
      </c>
      <c r="G1271" s="43">
        <v>98.037621699952609</v>
      </c>
      <c r="H1271" s="43">
        <v>97.950810802460751</v>
      </c>
      <c r="I1271" s="43">
        <v>97.768351775937248</v>
      </c>
    </row>
    <row r="1272" spans="1:9">
      <c r="A1272" s="19">
        <v>486.6</v>
      </c>
      <c r="B1272" s="43">
        <v>96.370667852117464</v>
      </c>
      <c r="C1272" s="43">
        <v>97.065060311800551</v>
      </c>
      <c r="D1272" s="43">
        <v>97.557685012423633</v>
      </c>
      <c r="E1272" s="43">
        <v>97.872101948942856</v>
      </c>
      <c r="F1272" s="43">
        <v>98.031707610716722</v>
      </c>
      <c r="G1272" s="43">
        <v>98.058389717000608</v>
      </c>
      <c r="H1272" s="43">
        <v>97.971915377211843</v>
      </c>
      <c r="I1272" s="43">
        <v>97.789762448714583</v>
      </c>
    </row>
    <row r="1273" spans="1:9">
      <c r="A1273" s="19">
        <v>486.7</v>
      </c>
      <c r="B1273" s="43">
        <v>96.38942488623988</v>
      </c>
      <c r="C1273" s="43">
        <v>97.084236587450619</v>
      </c>
      <c r="D1273" s="43">
        <v>97.577283593611867</v>
      </c>
      <c r="E1273" s="43">
        <v>97.892112068439531</v>
      </c>
      <c r="F1273" s="43">
        <v>98.052109188003186</v>
      </c>
      <c r="G1273" s="43">
        <v>98.079156911449047</v>
      </c>
      <c r="H1273" s="43">
        <v>97.993019165254225</v>
      </c>
      <c r="I1273" s="43">
        <v>97.811172386843936</v>
      </c>
    </row>
    <row r="1274" spans="1:9">
      <c r="A1274" s="19">
        <v>486.8</v>
      </c>
      <c r="B1274" s="43">
        <v>96.408181304336409</v>
      </c>
      <c r="C1274" s="43">
        <v>97.103412141041787</v>
      </c>
      <c r="D1274" s="43">
        <v>97.596881382161484</v>
      </c>
      <c r="E1274" s="43">
        <v>97.912121357900219</v>
      </c>
      <c r="F1274" s="43">
        <v>98.072509926855048</v>
      </c>
      <c r="G1274" s="43">
        <v>98.09992328338322</v>
      </c>
      <c r="H1274" s="43">
        <v>98.01412216660151</v>
      </c>
      <c r="I1274" s="43">
        <v>97.832581590273662</v>
      </c>
    </row>
    <row r="1275" spans="1:9">
      <c r="A1275" s="19">
        <v>486.9</v>
      </c>
      <c r="B1275" s="43">
        <v>96.426937106784663</v>
      </c>
      <c r="C1275" s="43">
        <v>97.122586972938763</v>
      </c>
      <c r="D1275" s="43">
        <v>97.616478378344226</v>
      </c>
      <c r="E1275" s="43">
        <v>97.932129817552067</v>
      </c>
      <c r="F1275" s="43">
        <v>98.092909827442639</v>
      </c>
      <c r="G1275" s="43">
        <v>98.120688832878585</v>
      </c>
      <c r="H1275" s="43">
        <v>98.035224381269643</v>
      </c>
      <c r="I1275" s="43">
        <v>97.853990058949847</v>
      </c>
    </row>
    <row r="1276" spans="1:9">
      <c r="A1276" s="19">
        <v>487</v>
      </c>
      <c r="B1276" s="43">
        <v>96.445692293940368</v>
      </c>
      <c r="C1276" s="43">
        <v>97.141761083434858</v>
      </c>
      <c r="D1276" s="43">
        <v>97.636074582451101</v>
      </c>
      <c r="E1276" s="43">
        <v>97.952137447608322</v>
      </c>
      <c r="F1276" s="43">
        <v>98.113308889901958</v>
      </c>
      <c r="G1276" s="43">
        <v>98.141453560013872</v>
      </c>
      <c r="H1276" s="43">
        <v>98.056325809271897</v>
      </c>
      <c r="I1276" s="43">
        <v>97.875397792821389</v>
      </c>
    </row>
    <row r="1277" spans="1:9">
      <c r="A1277" s="19">
        <v>487.1</v>
      </c>
      <c r="B1277" s="43">
        <v>96.464446866205435</v>
      </c>
      <c r="C1277" s="43">
        <v>97.160934472925192</v>
      </c>
      <c r="D1277" s="43">
        <v>97.655669994781732</v>
      </c>
      <c r="E1277" s="43">
        <v>97.972144248295791</v>
      </c>
      <c r="F1277" s="43">
        <v>98.133707114399328</v>
      </c>
      <c r="G1277" s="43">
        <v>98.162217464893359</v>
      </c>
      <c r="H1277" s="43">
        <v>98.077426450625182</v>
      </c>
      <c r="I1277" s="43">
        <v>97.896804791838264</v>
      </c>
    </row>
    <row r="1278" spans="1:9">
      <c r="A1278" s="19">
        <v>487.2</v>
      </c>
      <c r="B1278" s="43">
        <v>96.483200823886108</v>
      </c>
      <c r="C1278" s="43">
        <v>97.180107141679315</v>
      </c>
      <c r="D1278" s="43">
        <v>97.675264615577561</v>
      </c>
      <c r="E1278" s="43">
        <v>97.992150219815102</v>
      </c>
      <c r="F1278" s="43">
        <v>98.154104501061056</v>
      </c>
      <c r="G1278" s="43">
        <v>98.182980547574402</v>
      </c>
      <c r="H1278" s="43">
        <v>98.098526305337771</v>
      </c>
      <c r="I1278" s="43">
        <v>97.918211055944312</v>
      </c>
    </row>
    <row r="1279" spans="1:9">
      <c r="A1279" s="19">
        <v>487.3</v>
      </c>
      <c r="B1279" s="43">
        <v>96.501954167452453</v>
      </c>
      <c r="C1279" s="43">
        <v>97.199279090101641</v>
      </c>
      <c r="D1279" s="43">
        <v>97.694858445183172</v>
      </c>
      <c r="E1279" s="43">
        <v>98.012155362439046</v>
      </c>
      <c r="F1279" s="43">
        <v>98.174501050082597</v>
      </c>
      <c r="G1279" s="43">
        <v>98.203742808170688</v>
      </c>
      <c r="H1279" s="43">
        <v>98.119625373439533</v>
      </c>
      <c r="I1279" s="43">
        <v>97.939616585093972</v>
      </c>
    </row>
    <row r="1280" spans="1:9">
      <c r="A1280" s="19">
        <v>487.4</v>
      </c>
      <c r="B1280" s="43">
        <v>96.52070689714094</v>
      </c>
      <c r="C1280" s="43">
        <v>97.218450318437533</v>
      </c>
      <c r="D1280" s="43">
        <v>97.71445148381278</v>
      </c>
      <c r="E1280" s="43">
        <v>98.032159676310386</v>
      </c>
      <c r="F1280" s="43">
        <v>98.194896761565417</v>
      </c>
      <c r="G1280" s="43">
        <v>98.224504246727321</v>
      </c>
      <c r="H1280" s="43">
        <v>98.140723654927058</v>
      </c>
      <c r="I1280" s="43">
        <v>97.961021379230601</v>
      </c>
    </row>
    <row r="1281" spans="1:9">
      <c r="A1281" s="19">
        <v>487.5</v>
      </c>
      <c r="B1281" s="43">
        <v>96.539459013403444</v>
      </c>
      <c r="C1281" s="43">
        <v>97.237620827097146</v>
      </c>
      <c r="D1281" s="43">
        <v>97.734043731798664</v>
      </c>
      <c r="E1281" s="43">
        <v>98.052163161708961</v>
      </c>
      <c r="F1281" s="43">
        <v>98.215291635699998</v>
      </c>
      <c r="G1281" s="43">
        <v>98.245264863355828</v>
      </c>
      <c r="H1281" s="43">
        <v>98.161821149829791</v>
      </c>
      <c r="I1281" s="43">
        <v>97.982425438307899</v>
      </c>
    </row>
    <row r="1282" spans="1:9">
      <c r="A1282" s="19">
        <v>487.6</v>
      </c>
      <c r="B1282" s="43">
        <v>96.558210516590435</v>
      </c>
      <c r="C1282" s="43">
        <v>97.25679061639218</v>
      </c>
      <c r="D1282" s="43">
        <v>97.753635189414808</v>
      </c>
      <c r="E1282" s="43">
        <v>98.072165818835003</v>
      </c>
      <c r="F1282" s="43">
        <v>98.235685672628307</v>
      </c>
      <c r="G1282" s="43">
        <v>98.266024658137269</v>
      </c>
      <c r="H1282" s="43">
        <v>98.182917858159442</v>
      </c>
      <c r="I1282" s="43">
        <v>98.003828762272633</v>
      </c>
    </row>
    <row r="1283" spans="1:9">
      <c r="A1283" s="19">
        <v>487.7</v>
      </c>
      <c r="B1283" s="43">
        <v>96.576961407074208</v>
      </c>
      <c r="C1283" s="43">
        <v>97.275959686667193</v>
      </c>
      <c r="D1283" s="43">
        <v>97.77322585692292</v>
      </c>
      <c r="E1283" s="43">
        <v>98.092167647926516</v>
      </c>
      <c r="F1283" s="43">
        <v>98.256078872504872</v>
      </c>
      <c r="G1283" s="43">
        <v>98.286783631152019</v>
      </c>
      <c r="H1283" s="43">
        <v>98.204013779933149</v>
      </c>
      <c r="I1283" s="43">
        <v>98.025231351076201</v>
      </c>
    </row>
    <row r="1284" spans="1:9">
      <c r="A1284" s="19">
        <v>487.8</v>
      </c>
      <c r="B1284" s="43">
        <v>96.595711685212564</v>
      </c>
      <c r="C1284" s="43">
        <v>97.295128038234111</v>
      </c>
      <c r="D1284" s="43">
        <v>97.792815734646098</v>
      </c>
      <c r="E1284" s="43">
        <v>98.112168649169121</v>
      </c>
      <c r="F1284" s="43">
        <v>98.276471235479903</v>
      </c>
      <c r="G1284" s="43">
        <v>98.307541782483241</v>
      </c>
      <c r="H1284" s="43">
        <v>98.225108915167596</v>
      </c>
      <c r="I1284" s="43">
        <v>98.046633204667927</v>
      </c>
    </row>
    <row r="1285" spans="1:9">
      <c r="A1285" s="19">
        <v>487.9</v>
      </c>
      <c r="B1285" s="43">
        <v>96.614461351378054</v>
      </c>
      <c r="C1285" s="43">
        <v>97.314295671451248</v>
      </c>
      <c r="D1285" s="43">
        <v>97.8124048228307</v>
      </c>
      <c r="E1285" s="43">
        <v>98.132168822818642</v>
      </c>
      <c r="F1285" s="43">
        <v>98.296862761707871</v>
      </c>
      <c r="G1285" s="43">
        <v>98.328299112218815</v>
      </c>
      <c r="H1285" s="43">
        <v>98.246203263877788</v>
      </c>
      <c r="I1285" s="43">
        <v>98.06803432299705</v>
      </c>
    </row>
    <row r="1286" spans="1:9">
      <c r="A1286" s="19">
        <v>488</v>
      </c>
      <c r="B1286" s="43">
        <v>96.633210405948546</v>
      </c>
      <c r="C1286" s="43">
        <v>97.333462586645197</v>
      </c>
      <c r="D1286" s="43">
        <v>97.831993121777941</v>
      </c>
      <c r="E1286" s="43">
        <v>98.152168169083325</v>
      </c>
      <c r="F1286" s="43">
        <v>98.317253451352514</v>
      </c>
      <c r="G1286" s="43">
        <v>98.349055620441533</v>
      </c>
      <c r="H1286" s="43">
        <v>98.267296826081463</v>
      </c>
      <c r="I1286" s="43">
        <v>98.089434706014998</v>
      </c>
    </row>
    <row r="1287" spans="1:9">
      <c r="A1287" s="19">
        <v>488.1</v>
      </c>
      <c r="B1287" s="43">
        <v>96.651958849254953</v>
      </c>
      <c r="C1287" s="43">
        <v>97.352628784132179</v>
      </c>
      <c r="D1287" s="43">
        <v>97.851580631763142</v>
      </c>
      <c r="E1287" s="43">
        <v>98.172166688172723</v>
      </c>
      <c r="F1287" s="43">
        <v>98.337643304541132</v>
      </c>
      <c r="G1287" s="43">
        <v>98.369811307236347</v>
      </c>
      <c r="H1287" s="43">
        <v>98.288389601793796</v>
      </c>
      <c r="I1287" s="43">
        <v>98.110834353671066</v>
      </c>
    </row>
    <row r="1288" spans="1:9">
      <c r="A1288" s="19">
        <v>488.2</v>
      </c>
      <c r="B1288" s="43">
        <v>96.670706681725562</v>
      </c>
      <c r="C1288" s="43">
        <v>97.371794264316208</v>
      </c>
      <c r="D1288" s="43">
        <v>97.871167353103658</v>
      </c>
      <c r="E1288" s="43">
        <v>98.192164380338596</v>
      </c>
      <c r="F1288" s="43">
        <v>98.358032321464208</v>
      </c>
      <c r="G1288" s="43">
        <v>98.390566172701085</v>
      </c>
      <c r="H1288" s="43">
        <v>98.309481591042072</v>
      </c>
      <c r="I1288" s="43">
        <v>98.132233265919837</v>
      </c>
    </row>
    <row r="1289" spans="1:9">
      <c r="A1289" s="19">
        <v>488.3</v>
      </c>
      <c r="B1289" s="43">
        <v>96.689453903643198</v>
      </c>
      <c r="C1289" s="43">
        <v>97.390959027412009</v>
      </c>
      <c r="D1289" s="43">
        <v>97.890753286006998</v>
      </c>
      <c r="E1289" s="43">
        <v>98.212161245754231</v>
      </c>
      <c r="F1289" s="43">
        <v>98.378420502230142</v>
      </c>
      <c r="G1289" s="43">
        <v>98.411320216886793</v>
      </c>
      <c r="H1289" s="43">
        <v>98.33057279382416</v>
      </c>
      <c r="I1289" s="43">
        <v>98.153631442706597</v>
      </c>
    </row>
    <row r="1290" spans="1:9">
      <c r="A1290" s="19">
        <v>488.4</v>
      </c>
      <c r="B1290" s="43">
        <v>96.708200515450045</v>
      </c>
      <c r="C1290" s="43">
        <v>97.410123073864526</v>
      </c>
      <c r="D1290" s="43">
        <v>97.910338430824936</v>
      </c>
      <c r="E1290" s="43">
        <v>98.232157284680596</v>
      </c>
      <c r="F1290" s="43">
        <v>98.398807847040104</v>
      </c>
      <c r="G1290" s="43">
        <v>98.432073439914319</v>
      </c>
      <c r="H1290" s="43">
        <v>98.351663210175872</v>
      </c>
      <c r="I1290" s="43">
        <v>98.175028883985618</v>
      </c>
    </row>
    <row r="1291" spans="1:9">
      <c r="A1291" s="19">
        <v>488.5</v>
      </c>
      <c r="B1291" s="43">
        <v>96.726946517472328</v>
      </c>
      <c r="C1291" s="43">
        <v>97.429286403946179</v>
      </c>
      <c r="D1291" s="43">
        <v>97.929922787814405</v>
      </c>
      <c r="E1291" s="43">
        <v>98.252152497327302</v>
      </c>
      <c r="F1291" s="43">
        <v>98.41919435601244</v>
      </c>
      <c r="G1291" s="43">
        <v>98.452825841853411</v>
      </c>
      <c r="H1291" s="43">
        <v>98.3727528401038</v>
      </c>
      <c r="I1291" s="43">
        <v>98.19642558971023</v>
      </c>
    </row>
    <row r="1292" spans="1:9">
      <c r="A1292" s="19">
        <v>488.6</v>
      </c>
      <c r="B1292" s="43">
        <v>96.745691910094166</v>
      </c>
      <c r="C1292" s="43">
        <v>97.448449018020142</v>
      </c>
      <c r="D1292" s="43">
        <v>97.949506357278125</v>
      </c>
      <c r="E1292" s="43">
        <v>98.272146883922716</v>
      </c>
      <c r="F1292" s="43">
        <v>98.439580029322457</v>
      </c>
      <c r="G1292" s="43">
        <v>98.473577422793824</v>
      </c>
      <c r="H1292" s="43">
        <v>98.393841683633838</v>
      </c>
      <c r="I1292" s="43">
        <v>98.217821559829957</v>
      </c>
    </row>
    <row r="1293" spans="1:9">
      <c r="A1293" s="19">
        <v>488.7</v>
      </c>
      <c r="B1293" s="43">
        <v>96.764436693677055</v>
      </c>
      <c r="C1293" s="43">
        <v>97.467610916419062</v>
      </c>
      <c r="D1293" s="43">
        <v>97.96908913946919</v>
      </c>
      <c r="E1293" s="43">
        <v>98.292140444664312</v>
      </c>
      <c r="F1293" s="43">
        <v>98.459964867115957</v>
      </c>
      <c r="G1293" s="43">
        <v>98.494328182820453</v>
      </c>
      <c r="H1293" s="43">
        <v>98.414929740777808</v>
      </c>
      <c r="I1293" s="43">
        <v>98.2392167942958</v>
      </c>
    </row>
    <row r="1294" spans="1:9">
      <c r="A1294" s="19">
        <v>488.8</v>
      </c>
      <c r="B1294" s="43">
        <v>96.783180868593604</v>
      </c>
      <c r="C1294" s="43">
        <v>97.486772099477832</v>
      </c>
      <c r="D1294" s="43">
        <v>97.988671134699246</v>
      </c>
      <c r="E1294" s="43">
        <v>98.312133179813543</v>
      </c>
      <c r="F1294" s="43">
        <v>98.480348869551847</v>
      </c>
      <c r="G1294" s="43">
        <v>98.515078122019048</v>
      </c>
      <c r="H1294" s="43">
        <v>98.436017011558874</v>
      </c>
      <c r="I1294" s="43">
        <v>98.260611293063477</v>
      </c>
    </row>
    <row r="1295" spans="1:9">
      <c r="A1295" s="19">
        <v>488.9</v>
      </c>
      <c r="B1295" s="43">
        <v>96.801924435212356</v>
      </c>
      <c r="C1295" s="43">
        <v>97.505932567533137</v>
      </c>
      <c r="D1295" s="43">
        <v>98.008252343251456</v>
      </c>
      <c r="E1295" s="43">
        <v>98.332125089572344</v>
      </c>
      <c r="F1295" s="43">
        <v>98.500732036786928</v>
      </c>
      <c r="G1295" s="43">
        <v>98.535827240479591</v>
      </c>
      <c r="H1295" s="43">
        <v>98.457103495998979</v>
      </c>
      <c r="I1295" s="43">
        <v>98.282005056083079</v>
      </c>
    </row>
    <row r="1296" spans="1:9">
      <c r="A1296" s="19">
        <v>489</v>
      </c>
      <c r="B1296" s="43">
        <v>96.820667393874942</v>
      </c>
      <c r="C1296" s="43">
        <v>97.525092320898295</v>
      </c>
      <c r="D1296" s="43">
        <v>98.027832765388553</v>
      </c>
      <c r="E1296" s="43">
        <v>98.352116174133897</v>
      </c>
      <c r="F1296" s="43">
        <v>98.5211143689653</v>
      </c>
      <c r="G1296" s="43">
        <v>98.55657553828317</v>
      </c>
      <c r="H1296" s="43">
        <v>98.478189194105425</v>
      </c>
      <c r="I1296" s="43">
        <v>98.30339808330757</v>
      </c>
    </row>
    <row r="1297" spans="1:9">
      <c r="A1297" s="19">
        <v>489.1</v>
      </c>
      <c r="B1297" s="43">
        <v>96.839409745009903</v>
      </c>
      <c r="C1297" s="43">
        <v>97.544251359968968</v>
      </c>
      <c r="D1297" s="43">
        <v>98.047412401445911</v>
      </c>
      <c r="E1297" s="43">
        <v>98.372106433790236</v>
      </c>
      <c r="F1297" s="43">
        <v>98.541495866268434</v>
      </c>
      <c r="G1297" s="43">
        <v>98.577323015530681</v>
      </c>
      <c r="H1297" s="43">
        <v>98.499274105914139</v>
      </c>
      <c r="I1297" s="43">
        <v>98.324790374693634</v>
      </c>
    </row>
    <row r="1298" spans="1:9">
      <c r="A1298" s="19">
        <v>489.2</v>
      </c>
      <c r="B1298" s="43">
        <v>96.858151488862489</v>
      </c>
      <c r="C1298" s="43">
        <v>97.563409684952518</v>
      </c>
      <c r="D1298" s="43">
        <v>98.066991251610858</v>
      </c>
      <c r="E1298" s="43">
        <v>98.392095868668576</v>
      </c>
      <c r="F1298" s="43">
        <v>98.561876528797853</v>
      </c>
      <c r="G1298" s="43">
        <v>98.598069672276324</v>
      </c>
      <c r="H1298" s="43">
        <v>98.520358231419863</v>
      </c>
      <c r="I1298" s="43">
        <v>98.346181930185139</v>
      </c>
    </row>
    <row r="1299" spans="1:9">
      <c r="A1299" s="19">
        <v>489.3</v>
      </c>
      <c r="B1299" s="43">
        <v>96.876892625931788</v>
      </c>
      <c r="C1299" s="43">
        <v>97.582567296325806</v>
      </c>
      <c r="D1299" s="43">
        <v>98.086569316244805</v>
      </c>
      <c r="E1299" s="43">
        <v>98.412084479076242</v>
      </c>
      <c r="F1299" s="43">
        <v>98.5822563567651</v>
      </c>
      <c r="G1299" s="43">
        <v>98.618815508640495</v>
      </c>
      <c r="H1299" s="43">
        <v>98.541441570664034</v>
      </c>
      <c r="I1299" s="43">
        <v>98.367572749744937</v>
      </c>
    </row>
    <row r="1300" spans="1:9">
      <c r="A1300" s="19">
        <v>489.4</v>
      </c>
      <c r="B1300" s="43">
        <v>96.895633156495251</v>
      </c>
      <c r="C1300" s="43">
        <v>97.601724194344285</v>
      </c>
      <c r="D1300" s="43">
        <v>98.106146595617872</v>
      </c>
      <c r="E1300" s="43">
        <v>98.432072265190271</v>
      </c>
      <c r="F1300" s="43">
        <v>98.602635350294804</v>
      </c>
      <c r="G1300" s="43">
        <v>98.639560524693962</v>
      </c>
      <c r="H1300" s="43">
        <v>98.562524123656317</v>
      </c>
      <c r="I1300" s="43">
        <v>98.388962833321216</v>
      </c>
    </row>
    <row r="1301" spans="1:9">
      <c r="A1301" s="19">
        <v>489.5</v>
      </c>
      <c r="B1301" s="43">
        <v>96.914373080975793</v>
      </c>
      <c r="C1301" s="43">
        <v>97.62088037937113</v>
      </c>
      <c r="D1301" s="43">
        <v>98.125723090005579</v>
      </c>
      <c r="E1301" s="43">
        <v>98.452059227252448</v>
      </c>
      <c r="F1301" s="43">
        <v>98.623013509562355</v>
      </c>
      <c r="G1301" s="43">
        <v>98.660304720533475</v>
      </c>
      <c r="H1301" s="43">
        <v>98.583605890422177</v>
      </c>
      <c r="I1301" s="43">
        <v>98.410352180871911</v>
      </c>
    </row>
    <row r="1302" spans="1:9">
      <c r="A1302" s="19">
        <v>489.6</v>
      </c>
      <c r="B1302" s="43">
        <v>96.933112399687928</v>
      </c>
      <c r="C1302" s="43">
        <v>97.640035851716561</v>
      </c>
      <c r="D1302" s="43">
        <v>98.145298799694416</v>
      </c>
      <c r="E1302" s="43">
        <v>98.472045365474514</v>
      </c>
      <c r="F1302" s="43">
        <v>98.643390834700483</v>
      </c>
      <c r="G1302" s="43">
        <v>98.681048096235315</v>
      </c>
      <c r="H1302" s="43">
        <v>98.604686870973779</v>
      </c>
      <c r="I1302" s="43">
        <v>98.431740792346375</v>
      </c>
    </row>
    <row r="1303" spans="1:9">
      <c r="A1303" s="19">
        <v>489.7</v>
      </c>
      <c r="B1303" s="43">
        <v>96.95185111304184</v>
      </c>
      <c r="C1303" s="43">
        <v>97.65919061174742</v>
      </c>
      <c r="D1303" s="43">
        <v>98.164873724975536</v>
      </c>
      <c r="E1303" s="43">
        <v>98.49203068008984</v>
      </c>
      <c r="F1303" s="43">
        <v>98.663767325882816</v>
      </c>
      <c r="G1303" s="43">
        <v>98.701790651896829</v>
      </c>
      <c r="H1303" s="43">
        <v>98.625767065340511</v>
      </c>
      <c r="I1303" s="43">
        <v>98.453128667704732</v>
      </c>
    </row>
    <row r="1304" spans="1:9">
      <c r="A1304" s="19">
        <v>489.8</v>
      </c>
      <c r="B1304" s="43">
        <v>96.97058922138703</v>
      </c>
      <c r="C1304" s="43">
        <v>97.678344659782255</v>
      </c>
      <c r="D1304" s="43">
        <v>98.18444786611829</v>
      </c>
      <c r="E1304" s="43">
        <v>98.512015171305308</v>
      </c>
      <c r="F1304" s="43">
        <v>98.68414298325726</v>
      </c>
      <c r="G1304" s="43">
        <v>98.722532387601177</v>
      </c>
      <c r="H1304" s="43">
        <v>98.64684647353792</v>
      </c>
      <c r="I1304" s="43">
        <v>98.474515806896704</v>
      </c>
    </row>
    <row r="1305" spans="1:9">
      <c r="A1305" s="19">
        <v>489.9</v>
      </c>
      <c r="B1305" s="43">
        <v>96.989326725073312</v>
      </c>
      <c r="C1305" s="43">
        <v>97.697497996147689</v>
      </c>
      <c r="D1305" s="43">
        <v>98.204021223428015</v>
      </c>
      <c r="E1305" s="43">
        <v>98.531998839354713</v>
      </c>
      <c r="F1305" s="43">
        <v>98.704517806988491</v>
      </c>
      <c r="G1305" s="43">
        <v>98.743273303437945</v>
      </c>
      <c r="H1305" s="43">
        <v>98.667925095584849</v>
      </c>
      <c r="I1305" s="43">
        <v>98.495902209878864</v>
      </c>
    </row>
    <row r="1306" spans="1:9">
      <c r="A1306" s="19">
        <v>490</v>
      </c>
      <c r="B1306" s="43">
        <v>96.978890573514946</v>
      </c>
      <c r="C1306" s="43">
        <v>97.690407866090084</v>
      </c>
      <c r="D1306" s="43">
        <v>98.200682746989685</v>
      </c>
      <c r="E1306" s="43">
        <v>98.532716015077085</v>
      </c>
      <c r="F1306" s="43">
        <v>98.70950765369335</v>
      </c>
      <c r="G1306" s="43">
        <v>98.7526814737964</v>
      </c>
      <c r="H1306" s="43">
        <v>98.681839901386269</v>
      </c>
      <c r="I1306" s="43">
        <v>98.514366160736017</v>
      </c>
    </row>
    <row r="1307" spans="1:9">
      <c r="A1307" s="19">
        <v>490.1</v>
      </c>
      <c r="B1307" s="43">
        <v>96.968380354835006</v>
      </c>
      <c r="C1307" s="43">
        <v>97.683240376422702</v>
      </c>
      <c r="D1307" s="43">
        <v>98.197264209417426</v>
      </c>
      <c r="E1307" s="43">
        <v>98.53335115590238</v>
      </c>
      <c r="F1307" s="43">
        <v>98.714414169300085</v>
      </c>
      <c r="G1307" s="43">
        <v>98.762005538190579</v>
      </c>
      <c r="H1307" s="43">
        <v>98.695670145474537</v>
      </c>
      <c r="I1307" s="43">
        <v>98.532745204666298</v>
      </c>
    </row>
    <row r="1308" spans="1:9">
      <c r="A1308" s="19">
        <v>490.2</v>
      </c>
      <c r="B1308" s="43">
        <v>96.987062662633122</v>
      </c>
      <c r="C1308" s="43">
        <v>97.702332118178077</v>
      </c>
      <c r="D1308" s="43">
        <v>98.216769527640452</v>
      </c>
      <c r="E1308" s="43">
        <v>98.553260557447771</v>
      </c>
      <c r="F1308" s="43">
        <v>98.734708880354106</v>
      </c>
      <c r="G1308" s="43">
        <v>98.782660971754979</v>
      </c>
      <c r="H1308" s="43">
        <v>98.716658443257103</v>
      </c>
      <c r="I1308" s="43">
        <v>98.554036993450779</v>
      </c>
    </row>
    <row r="1309" spans="1:9">
      <c r="A1309" s="19">
        <v>490.3</v>
      </c>
      <c r="B1309" s="43">
        <v>97.005744365255566</v>
      </c>
      <c r="C1309" s="43">
        <v>97.721423149179827</v>
      </c>
      <c r="D1309" s="43">
        <v>98.23627406309339</v>
      </c>
      <c r="E1309" s="43">
        <v>98.573169136018265</v>
      </c>
      <c r="F1309" s="43">
        <v>98.755002756184666</v>
      </c>
      <c r="G1309" s="43">
        <v>98.803315581439193</v>
      </c>
      <c r="H1309" s="43">
        <v>98.737645947912227</v>
      </c>
      <c r="I1309" s="43">
        <v>98.575328035651921</v>
      </c>
    </row>
    <row r="1310" spans="1:9">
      <c r="A1310" s="19">
        <v>490.4</v>
      </c>
      <c r="B1310" s="43">
        <v>97.024425462987807</v>
      </c>
      <c r="C1310" s="43">
        <v>97.740513469708446</v>
      </c>
      <c r="D1310" s="43">
        <v>98.25577781602027</v>
      </c>
      <c r="E1310" s="43">
        <v>98.593076891803605</v>
      </c>
      <c r="F1310" s="43">
        <v>98.775295796938622</v>
      </c>
      <c r="G1310" s="43">
        <v>98.823969367330534</v>
      </c>
      <c r="H1310" s="43">
        <v>98.758632659460062</v>
      </c>
      <c r="I1310" s="43">
        <v>98.596618331233202</v>
      </c>
    </row>
    <row r="1311" spans="1:9">
      <c r="A1311" s="19">
        <v>490.5</v>
      </c>
      <c r="B1311" s="43">
        <v>97.043105956302838</v>
      </c>
      <c r="C1311" s="43">
        <v>97.759603080164283</v>
      </c>
      <c r="D1311" s="43">
        <v>98.275280786778524</v>
      </c>
      <c r="E1311" s="43">
        <v>98.612983825059871</v>
      </c>
      <c r="F1311" s="43">
        <v>98.795588002795256</v>
      </c>
      <c r="G1311" s="43">
        <v>98.844622329539277</v>
      </c>
      <c r="H1311" s="43">
        <v>98.77961857794503</v>
      </c>
      <c r="I1311" s="43">
        <v>98.617907880166712</v>
      </c>
    </row>
    <row r="1312" spans="1:9">
      <c r="A1312" s="19">
        <v>490.6</v>
      </c>
      <c r="B1312" s="43">
        <v>97.061785845518045</v>
      </c>
      <c r="C1312" s="43">
        <v>97.778691980871969</v>
      </c>
      <c r="D1312" s="43">
        <v>98.294782975635059</v>
      </c>
      <c r="E1312" s="43">
        <v>98.632889936029301</v>
      </c>
      <c r="F1312" s="43">
        <v>98.815879373923309</v>
      </c>
      <c r="G1312" s="43">
        <v>98.86527446816325</v>
      </c>
      <c r="H1312" s="43">
        <v>98.800603703400753</v>
      </c>
      <c r="I1312" s="43">
        <v>98.639196682419623</v>
      </c>
    </row>
    <row r="1313" spans="1:9">
      <c r="A1313" s="19">
        <v>490.7</v>
      </c>
      <c r="B1313" s="43">
        <v>97.080465130888598</v>
      </c>
      <c r="C1313" s="43">
        <v>97.797780172045947</v>
      </c>
      <c r="D1313" s="43">
        <v>98.314284382781608</v>
      </c>
      <c r="E1313" s="43">
        <v>98.652795224848887</v>
      </c>
      <c r="F1313" s="43">
        <v>98.83616991043084</v>
      </c>
      <c r="G1313" s="43">
        <v>98.885925783260575</v>
      </c>
      <c r="H1313" s="43">
        <v>98.821588035831837</v>
      </c>
      <c r="I1313" s="43">
        <v>98.660484737948195</v>
      </c>
    </row>
    <row r="1314" spans="1:9">
      <c r="A1314" s="19">
        <v>490.8</v>
      </c>
      <c r="B1314" s="43">
        <v>97.099143812912473</v>
      </c>
      <c r="C1314" s="43">
        <v>97.816867654156368</v>
      </c>
      <c r="D1314" s="43">
        <v>98.333785008610334</v>
      </c>
      <c r="E1314" s="43">
        <v>98.672699691830786</v>
      </c>
      <c r="F1314" s="43">
        <v>98.856459612533314</v>
      </c>
      <c r="G1314" s="43">
        <v>98.906576274970774</v>
      </c>
      <c r="H1314" s="43">
        <v>98.842571575292595</v>
      </c>
      <c r="I1314" s="43">
        <v>98.681772046733244</v>
      </c>
    </row>
    <row r="1315" spans="1:9">
      <c r="A1315" s="19">
        <v>490.9</v>
      </c>
      <c r="B1315" s="43">
        <v>97.117821891815936</v>
      </c>
      <c r="C1315" s="43">
        <v>97.835954427437912</v>
      </c>
      <c r="D1315" s="43">
        <v>98.35328485332326</v>
      </c>
      <c r="E1315" s="43">
        <v>98.692603337153429</v>
      </c>
      <c r="F1315" s="43">
        <v>98.876748480355644</v>
      </c>
      <c r="G1315" s="43">
        <v>98.927225943359701</v>
      </c>
      <c r="H1315" s="43">
        <v>98.863554321803406</v>
      </c>
      <c r="I1315" s="43">
        <v>98.703058608733244</v>
      </c>
    </row>
    <row r="1316" spans="1:9">
      <c r="A1316" s="19">
        <v>491</v>
      </c>
      <c r="B1316" s="43">
        <v>97.13649936805416</v>
      </c>
      <c r="C1316" s="43">
        <v>97.855040492265715</v>
      </c>
      <c r="D1316" s="43">
        <v>98.372783917259369</v>
      </c>
      <c r="E1316" s="43">
        <v>98.712506161050271</v>
      </c>
      <c r="F1316" s="43">
        <v>98.897036514076547</v>
      </c>
      <c r="G1316" s="43">
        <v>98.947874788532118</v>
      </c>
      <c r="H1316" s="43">
        <v>98.884536275399427</v>
      </c>
      <c r="I1316" s="43">
        <v>98.724344423921082</v>
      </c>
    </row>
    <row r="1317" spans="1:9">
      <c r="A1317" s="19">
        <v>491.1</v>
      </c>
      <c r="B1317" s="43">
        <v>97.155176241997481</v>
      </c>
      <c r="C1317" s="43">
        <v>97.874125848995845</v>
      </c>
      <c r="D1317" s="43">
        <v>98.39228220070197</v>
      </c>
      <c r="E1317" s="43">
        <v>98.732408163782623</v>
      </c>
      <c r="F1317" s="43">
        <v>98.917323713876556</v>
      </c>
      <c r="G1317" s="43">
        <v>98.968522810605606</v>
      </c>
      <c r="H1317" s="43">
        <v>98.905517436119226</v>
      </c>
      <c r="I1317" s="43">
        <v>98.745629492266318</v>
      </c>
    </row>
    <row r="1318" spans="1:9">
      <c r="A1318" s="19">
        <v>491.2</v>
      </c>
      <c r="B1318" s="43">
        <v>97.173852513879183</v>
      </c>
      <c r="C1318" s="43">
        <v>97.893210497861162</v>
      </c>
      <c r="D1318" s="43">
        <v>98.411779703858457</v>
      </c>
      <c r="E1318" s="43">
        <v>98.752309345500919</v>
      </c>
      <c r="F1318" s="43">
        <v>98.937610079858189</v>
      </c>
      <c r="G1318" s="43">
        <v>98.989170009632346</v>
      </c>
      <c r="H1318" s="43">
        <v>98.926497803973405</v>
      </c>
      <c r="I1318" s="43">
        <v>98.76691381372774</v>
      </c>
    </row>
    <row r="1319" spans="1:9">
      <c r="A1319" s="19">
        <v>491.3</v>
      </c>
      <c r="B1319" s="43">
        <v>97.192528184129259</v>
      </c>
      <c r="C1319" s="43">
        <v>97.912294439234557</v>
      </c>
      <c r="D1319" s="43">
        <v>98.431276427066422</v>
      </c>
      <c r="E1319" s="43">
        <v>98.772209706463144</v>
      </c>
      <c r="F1319" s="43">
        <v>98.957895612223922</v>
      </c>
      <c r="G1319" s="43">
        <v>99.009816385731114</v>
      </c>
      <c r="H1319" s="43">
        <v>98.947477379003573</v>
      </c>
      <c r="I1319" s="43">
        <v>98.788197388281077</v>
      </c>
    </row>
    <row r="1320" spans="1:9">
      <c r="A1320" s="19">
        <v>491.4</v>
      </c>
      <c r="B1320" s="43">
        <v>97.21120325312836</v>
      </c>
      <c r="C1320" s="43">
        <v>97.931377673488754</v>
      </c>
      <c r="D1320" s="43">
        <v>98.450772370611645</v>
      </c>
      <c r="E1320" s="43">
        <v>98.792109246919807</v>
      </c>
      <c r="F1320" s="43">
        <v>98.978180311127318</v>
      </c>
      <c r="G1320" s="43">
        <v>99.030461939008177</v>
      </c>
      <c r="H1320" s="43">
        <v>98.968456161248952</v>
      </c>
      <c r="I1320" s="43">
        <v>98.809480215894013</v>
      </c>
    </row>
    <row r="1321" spans="1:9">
      <c r="A1321" s="19">
        <v>491.5</v>
      </c>
      <c r="B1321" s="43">
        <v>97.229877721117191</v>
      </c>
      <c r="C1321" s="43">
        <v>97.950460200841121</v>
      </c>
      <c r="D1321" s="43">
        <v>98.470267534718829</v>
      </c>
      <c r="E1321" s="43">
        <v>98.812007967021742</v>
      </c>
      <c r="F1321" s="43">
        <v>98.998464176705539</v>
      </c>
      <c r="G1321" s="43">
        <v>99.051106669525211</v>
      </c>
      <c r="H1321" s="43">
        <v>98.989434150722332</v>
      </c>
      <c r="I1321" s="43">
        <v>98.83076229652977</v>
      </c>
    </row>
    <row r="1322" spans="1:9">
      <c r="A1322" s="19">
        <v>491.6</v>
      </c>
      <c r="B1322" s="43">
        <v>97.248551588579971</v>
      </c>
      <c r="C1322" s="43">
        <v>97.969542021724465</v>
      </c>
      <c r="D1322" s="43">
        <v>98.489761919732928</v>
      </c>
      <c r="E1322" s="43">
        <v>98.831905867059106</v>
      </c>
      <c r="F1322" s="43">
        <v>99.018747209151712</v>
      </c>
      <c r="G1322" s="43">
        <v>99.071750577412359</v>
      </c>
      <c r="H1322" s="43">
        <v>99.010411347474928</v>
      </c>
      <c r="I1322" s="43">
        <v>98.85204363016652</v>
      </c>
    </row>
    <row r="1323" spans="1:9">
      <c r="A1323" s="19">
        <v>491.7</v>
      </c>
      <c r="B1323" s="43">
        <v>97.267224855842358</v>
      </c>
      <c r="C1323" s="43">
        <v>97.988623136454351</v>
      </c>
      <c r="D1323" s="43">
        <v>98.509255525926534</v>
      </c>
      <c r="E1323" s="43">
        <v>98.85180294725123</v>
      </c>
      <c r="F1323" s="43">
        <v>99.039029408616926</v>
      </c>
      <c r="G1323" s="43">
        <v>99.09239366275466</v>
      </c>
      <c r="H1323" s="43">
        <v>99.031387751532492</v>
      </c>
      <c r="I1323" s="43">
        <v>98.873324216768594</v>
      </c>
    </row>
    <row r="1324" spans="1:9">
      <c r="A1324" s="19">
        <v>491.8</v>
      </c>
      <c r="B1324" s="43">
        <v>97.285897523176658</v>
      </c>
      <c r="C1324" s="43">
        <v>98.007703545269578</v>
      </c>
      <c r="D1324" s="43">
        <v>98.528748353536116</v>
      </c>
      <c r="E1324" s="43">
        <v>98.871699207785042</v>
      </c>
      <c r="F1324" s="43">
        <v>99.059310775246814</v>
      </c>
      <c r="G1324" s="43">
        <v>99.113035925639394</v>
      </c>
      <c r="H1324" s="43">
        <v>99.052363362921113</v>
      </c>
      <c r="I1324" s="43">
        <v>98.894604056301603</v>
      </c>
    </row>
    <row r="1325" spans="1:9">
      <c r="A1325" s="19">
        <v>491.9</v>
      </c>
      <c r="B1325" s="43">
        <v>97.304569591065757</v>
      </c>
      <c r="C1325" s="43">
        <v>98.026783248623531</v>
      </c>
      <c r="D1325" s="43">
        <v>98.548240402898301</v>
      </c>
      <c r="E1325" s="43">
        <v>98.891594648922847</v>
      </c>
      <c r="F1325" s="43">
        <v>99.079591309235099</v>
      </c>
      <c r="G1325" s="43">
        <v>99.133677366187129</v>
      </c>
      <c r="H1325" s="43">
        <v>99.073338181686381</v>
      </c>
      <c r="I1325" s="43">
        <v>98.915883148745166</v>
      </c>
    </row>
    <row r="1326" spans="1:9">
      <c r="A1326" s="19">
        <v>492</v>
      </c>
      <c r="B1326" s="43">
        <v>97.323241059688314</v>
      </c>
      <c r="C1326" s="43">
        <v>98.045862246703223</v>
      </c>
      <c r="D1326" s="43">
        <v>98.567731674218663</v>
      </c>
      <c r="E1326" s="43">
        <v>98.911489270833897</v>
      </c>
      <c r="F1326" s="43">
        <v>99.09987101068819</v>
      </c>
      <c r="G1326" s="43">
        <v>99.154317984454337</v>
      </c>
      <c r="H1326" s="43">
        <v>99.094312207837078</v>
      </c>
      <c r="I1326" s="43">
        <v>98.937161494055744</v>
      </c>
    </row>
    <row r="1327" spans="1:9">
      <c r="A1327" s="19">
        <v>492.1</v>
      </c>
      <c r="B1327" s="43">
        <v>97.341911929556915</v>
      </c>
      <c r="C1327" s="43">
        <v>98.064940539952033</v>
      </c>
      <c r="D1327" s="43">
        <v>98.587222167852957</v>
      </c>
      <c r="E1327" s="43">
        <v>98.931383073788197</v>
      </c>
      <c r="F1327" s="43">
        <v>99.120149879814335</v>
      </c>
      <c r="G1327" s="43">
        <v>99.174957780566018</v>
      </c>
      <c r="H1327" s="43">
        <v>99.115285441427233</v>
      </c>
      <c r="I1327" s="43">
        <v>98.958439092212302</v>
      </c>
    </row>
    <row r="1328" spans="1:9">
      <c r="A1328" s="19">
        <v>492.2</v>
      </c>
      <c r="B1328" s="43">
        <v>97.360582200996248</v>
      </c>
      <c r="C1328" s="43">
        <v>98.084018128664866</v>
      </c>
      <c r="D1328" s="43">
        <v>98.60671188405928</v>
      </c>
      <c r="E1328" s="43">
        <v>98.951276058011672</v>
      </c>
      <c r="F1328" s="43">
        <v>99.140427916770108</v>
      </c>
      <c r="G1328" s="43">
        <v>99.195596754624404</v>
      </c>
      <c r="H1328" s="43">
        <v>99.136257882489303</v>
      </c>
      <c r="I1328" s="43">
        <v>98.979715943185056</v>
      </c>
    </row>
    <row r="1329" spans="1:9">
      <c r="A1329" s="19">
        <v>492.3</v>
      </c>
      <c r="B1329" s="43">
        <v>97.379251874253214</v>
      </c>
      <c r="C1329" s="43">
        <v>98.103095013099107</v>
      </c>
      <c r="D1329" s="43">
        <v>98.626200823081831</v>
      </c>
      <c r="E1329" s="43">
        <v>98.971168223686419</v>
      </c>
      <c r="F1329" s="43">
        <v>99.160705121675704</v>
      </c>
      <c r="G1329" s="43">
        <v>99.216234906699441</v>
      </c>
      <c r="H1329" s="43">
        <v>99.157229531037586</v>
      </c>
      <c r="I1329" s="43">
        <v>99.000992046938904</v>
      </c>
    </row>
    <row r="1330" spans="1:9">
      <c r="A1330" s="19">
        <v>492.4</v>
      </c>
      <c r="B1330" s="43">
        <v>97.397920949800493</v>
      </c>
      <c r="C1330" s="43">
        <v>98.122171193667356</v>
      </c>
      <c r="D1330" s="43">
        <v>98.645688985250587</v>
      </c>
      <c r="E1330" s="43">
        <v>98.991059571072867</v>
      </c>
      <c r="F1330" s="43">
        <v>99.180981494736471</v>
      </c>
      <c r="G1330" s="43">
        <v>99.236872236916128</v>
      </c>
      <c r="H1330" s="43">
        <v>99.178200387122615</v>
      </c>
      <c r="I1330" s="43">
        <v>99.022267403449717</v>
      </c>
    </row>
    <row r="1331" spans="1:9">
      <c r="A1331" s="19">
        <v>492.5</v>
      </c>
      <c r="B1331" s="43">
        <v>97.41658942798702</v>
      </c>
      <c r="C1331" s="43">
        <v>98.141246670710728</v>
      </c>
      <c r="D1331" s="43">
        <v>98.665176370858887</v>
      </c>
      <c r="E1331" s="43">
        <v>99.010950100419223</v>
      </c>
      <c r="F1331" s="43">
        <v>99.201257036132347</v>
      </c>
      <c r="G1331" s="43">
        <v>99.257508745366835</v>
      </c>
      <c r="H1331" s="43">
        <v>99.199170450783441</v>
      </c>
      <c r="I1331" s="43">
        <v>99.043542012689016</v>
      </c>
    </row>
    <row r="1332" spans="1:9">
      <c r="A1332" s="19">
        <v>492.6</v>
      </c>
      <c r="B1332" s="43">
        <v>97.435257309047955</v>
      </c>
      <c r="C1332" s="43">
        <v>98.160321444445344</v>
      </c>
      <c r="D1332" s="43">
        <v>98.684662980100143</v>
      </c>
      <c r="E1332" s="43">
        <v>99.030839811864723</v>
      </c>
      <c r="F1332" s="43">
        <v>99.221531745948027</v>
      </c>
      <c r="G1332" s="43">
        <v>99.278144432124293</v>
      </c>
      <c r="H1332" s="43">
        <v>99.220139722026715</v>
      </c>
      <c r="I1332" s="43">
        <v>99.064815874620194</v>
      </c>
    </row>
    <row r="1333" spans="1:9">
      <c r="A1333" s="19">
        <v>492.7</v>
      </c>
      <c r="B1333" s="43">
        <v>97.453924593448164</v>
      </c>
      <c r="C1333" s="43">
        <v>98.179395515302247</v>
      </c>
      <c r="D1333" s="43">
        <v>98.704148813332495</v>
      </c>
      <c r="E1333" s="43">
        <v>99.050728705713112</v>
      </c>
      <c r="F1333" s="43">
        <v>99.241805624411484</v>
      </c>
      <c r="G1333" s="43">
        <v>99.298779297316031</v>
      </c>
      <c r="H1333" s="43">
        <v>99.241108200914567</v>
      </c>
      <c r="I1333" s="43">
        <v>99.086088989223043</v>
      </c>
    </row>
    <row r="1334" spans="1:9">
      <c r="A1334" s="19">
        <v>492.8</v>
      </c>
      <c r="B1334" s="43">
        <v>97.472591281542293</v>
      </c>
      <c r="C1334" s="43">
        <v>98.198468883580489</v>
      </c>
      <c r="D1334" s="43">
        <v>98.723633870846811</v>
      </c>
      <c r="E1334" s="43">
        <v>99.070616782177723</v>
      </c>
      <c r="F1334" s="43">
        <v>99.262078671673976</v>
      </c>
      <c r="G1334" s="43">
        <v>99.319413341033822</v>
      </c>
      <c r="H1334" s="43">
        <v>99.262075887473998</v>
      </c>
      <c r="I1334" s="43">
        <v>99.107361356468687</v>
      </c>
    </row>
    <row r="1335" spans="1:9">
      <c r="A1335" s="19">
        <v>492.9</v>
      </c>
      <c r="B1335" s="43">
        <v>97.491257373584801</v>
      </c>
      <c r="C1335" s="43">
        <v>98.217541549554028</v>
      </c>
      <c r="D1335" s="43">
        <v>98.743118152849405</v>
      </c>
      <c r="E1335" s="43">
        <v>99.090504041427749</v>
      </c>
      <c r="F1335" s="43">
        <v>99.282350887859224</v>
      </c>
      <c r="G1335" s="43">
        <v>99.340046563350427</v>
      </c>
      <c r="H1335" s="43">
        <v>99.283042781718848</v>
      </c>
      <c r="I1335" s="43">
        <v>99.128632976318556</v>
      </c>
    </row>
    <row r="1336" spans="1:9">
      <c r="A1336" s="19">
        <v>493</v>
      </c>
      <c r="B1336" s="43">
        <v>97.509922870037599</v>
      </c>
      <c r="C1336" s="43">
        <v>98.236613513612525</v>
      </c>
      <c r="D1336" s="43">
        <v>98.762601659694496</v>
      </c>
      <c r="E1336" s="43">
        <v>99.110390483739138</v>
      </c>
      <c r="F1336" s="43">
        <v>99.302622273174563</v>
      </c>
      <c r="G1336" s="43">
        <v>99.360678964396385</v>
      </c>
      <c r="H1336" s="43">
        <v>99.304008883707354</v>
      </c>
      <c r="I1336" s="43">
        <v>99.149903848755372</v>
      </c>
    </row>
    <row r="1337" spans="1:9">
      <c r="A1337" s="19">
        <v>493.1</v>
      </c>
      <c r="B1337" s="43">
        <v>97.528587771227706</v>
      </c>
      <c r="C1337" s="43">
        <v>98.255684776092295</v>
      </c>
      <c r="D1337" s="43">
        <v>98.782084391644958</v>
      </c>
      <c r="E1337" s="43">
        <v>99.13027610934455</v>
      </c>
      <c r="F1337" s="43">
        <v>99.322892827775831</v>
      </c>
      <c r="G1337" s="43">
        <v>99.381310544261424</v>
      </c>
      <c r="H1337" s="43">
        <v>99.324974193471235</v>
      </c>
      <c r="I1337" s="43">
        <v>99.171173973751621</v>
      </c>
    </row>
    <row r="1338" spans="1:9">
      <c r="A1338" s="19">
        <v>493.2</v>
      </c>
      <c r="B1338" s="43">
        <v>97.547252077410064</v>
      </c>
      <c r="C1338" s="43">
        <v>98.274755337225258</v>
      </c>
      <c r="D1338" s="43">
        <v>98.801566348922819</v>
      </c>
      <c r="E1338" s="43">
        <v>99.15016091840144</v>
      </c>
      <c r="F1338" s="43">
        <v>99.343162551781518</v>
      </c>
      <c r="G1338" s="43">
        <v>99.401941303018162</v>
      </c>
      <c r="H1338" s="43">
        <v>99.345938711026008</v>
      </c>
      <c r="I1338" s="43">
        <v>99.192443351268167</v>
      </c>
    </row>
    <row r="1339" spans="1:9">
      <c r="A1339" s="19">
        <v>493.3</v>
      </c>
      <c r="B1339" s="43">
        <v>97.565915789053122</v>
      </c>
      <c r="C1339" s="43">
        <v>98.293825197434643</v>
      </c>
      <c r="D1339" s="43">
        <v>98.821047531889064</v>
      </c>
      <c r="E1339" s="43">
        <v>99.170044911205991</v>
      </c>
      <c r="F1339" s="43">
        <v>99.363431445400039</v>
      </c>
      <c r="G1339" s="43">
        <v>99.422571240804729</v>
      </c>
      <c r="H1339" s="43">
        <v>99.366902436427267</v>
      </c>
      <c r="I1339" s="43">
        <v>99.21371198128918</v>
      </c>
    </row>
    <row r="1340" spans="1:9">
      <c r="A1340" s="19">
        <v>493.4</v>
      </c>
      <c r="B1340" s="43">
        <v>97.584578906441095</v>
      </c>
      <c r="C1340" s="43">
        <v>98.312894356992388</v>
      </c>
      <c r="D1340" s="43">
        <v>98.840527940781101</v>
      </c>
      <c r="E1340" s="43">
        <v>99.189928087941496</v>
      </c>
      <c r="F1340" s="43">
        <v>99.383699508774669</v>
      </c>
      <c r="G1340" s="43">
        <v>99.443200357690159</v>
      </c>
      <c r="H1340" s="43">
        <v>99.387865369701387</v>
      </c>
      <c r="I1340" s="43">
        <v>99.234979863781774</v>
      </c>
    </row>
    <row r="1341" spans="1:9">
      <c r="A1341" s="19">
        <v>493.5</v>
      </c>
      <c r="B1341" s="43">
        <v>97.603241429983456</v>
      </c>
      <c r="C1341" s="43">
        <v>98.331962816261012</v>
      </c>
      <c r="D1341" s="43">
        <v>98.860007575894628</v>
      </c>
      <c r="E1341" s="43">
        <v>99.209810448858349</v>
      </c>
      <c r="F1341" s="43">
        <v>99.403966742085174</v>
      </c>
      <c r="G1341" s="43">
        <v>99.463828653784986</v>
      </c>
      <c r="H1341" s="43">
        <v>99.408827510882929</v>
      </c>
      <c r="I1341" s="43">
        <v>99.256246998720172</v>
      </c>
    </row>
    <row r="1342" spans="1:9">
      <c r="A1342" s="19">
        <v>493.6</v>
      </c>
      <c r="B1342" s="43">
        <v>97.621903360042438</v>
      </c>
      <c r="C1342" s="43">
        <v>98.351030575579586</v>
      </c>
      <c r="D1342" s="43">
        <v>98.879486437531881</v>
      </c>
      <c r="E1342" s="43">
        <v>99.229691994191313</v>
      </c>
      <c r="F1342" s="43">
        <v>99.424233145497112</v>
      </c>
      <c r="G1342" s="43">
        <v>99.484456129200794</v>
      </c>
      <c r="H1342" s="43">
        <v>99.429788860022086</v>
      </c>
      <c r="I1342" s="43">
        <v>99.277513386081921</v>
      </c>
    </row>
    <row r="1343" spans="1:9">
      <c r="A1343" s="19">
        <v>493.7</v>
      </c>
      <c r="B1343" s="43">
        <v>97.640564696847576</v>
      </c>
      <c r="C1343" s="43">
        <v>98.370097635194753</v>
      </c>
      <c r="D1343" s="43">
        <v>98.898964525917279</v>
      </c>
      <c r="E1343" s="43">
        <v>99.249572724103331</v>
      </c>
      <c r="F1343" s="43">
        <v>99.444498719132298</v>
      </c>
      <c r="G1343" s="43">
        <v>99.505082784009204</v>
      </c>
      <c r="H1343" s="43">
        <v>99.450749417128463</v>
      </c>
      <c r="I1343" s="43">
        <v>99.298779025830498</v>
      </c>
    </row>
    <row r="1344" spans="1:9">
      <c r="A1344" s="19">
        <v>493.8</v>
      </c>
      <c r="B1344" s="43">
        <v>97.659225440859274</v>
      </c>
      <c r="C1344" s="43">
        <v>98.389163995503878</v>
      </c>
      <c r="D1344" s="43">
        <v>98.918441841376108</v>
      </c>
      <c r="E1344" s="43">
        <v>99.269452638875947</v>
      </c>
      <c r="F1344" s="43">
        <v>99.46476346318687</v>
      </c>
      <c r="G1344" s="43">
        <v>99.525708618325808</v>
      </c>
      <c r="H1344" s="43">
        <v>99.471709182250407</v>
      </c>
      <c r="I1344" s="43">
        <v>99.320043917947771</v>
      </c>
    </row>
    <row r="1345" spans="1:9">
      <c r="A1345" s="19">
        <v>493.9</v>
      </c>
      <c r="B1345" s="43">
        <v>97.677885592437292</v>
      </c>
      <c r="C1345" s="43">
        <v>98.408229656824119</v>
      </c>
      <c r="D1345" s="43">
        <v>98.93791838419898</v>
      </c>
      <c r="E1345" s="43">
        <v>99.289331738715816</v>
      </c>
      <c r="F1345" s="43">
        <v>99.485027377827947</v>
      </c>
      <c r="G1345" s="43">
        <v>99.54633363225372</v>
      </c>
      <c r="H1345" s="43">
        <v>99.492668155437855</v>
      </c>
      <c r="I1345" s="43">
        <v>99.341308062406284</v>
      </c>
    </row>
    <row r="1346" spans="1:9">
      <c r="A1346" s="19">
        <v>494</v>
      </c>
      <c r="B1346" s="43">
        <v>97.696545151846607</v>
      </c>
      <c r="C1346" s="43">
        <v>98.427294619418973</v>
      </c>
      <c r="D1346" s="43">
        <v>98.957394154590986</v>
      </c>
      <c r="E1346" s="43">
        <v>99.309210023840905</v>
      </c>
      <c r="F1346" s="43">
        <v>99.505290463183599</v>
      </c>
      <c r="G1346" s="43">
        <v>99.566957825866609</v>
      </c>
      <c r="H1346" s="43">
        <v>99.513626336695609</v>
      </c>
      <c r="I1346" s="43">
        <v>99.362571459172358</v>
      </c>
    </row>
    <row r="1347" spans="1:9">
      <c r="A1347" s="19">
        <v>494.1</v>
      </c>
      <c r="B1347" s="43">
        <v>97.715204119523605</v>
      </c>
      <c r="C1347" s="43">
        <v>98.446358883711554</v>
      </c>
      <c r="D1347" s="43">
        <v>98.976869152932892</v>
      </c>
      <c r="E1347" s="43">
        <v>99.329087494493706</v>
      </c>
      <c r="F1347" s="43">
        <v>99.525552719456243</v>
      </c>
      <c r="G1347" s="43">
        <v>99.587581199300473</v>
      </c>
      <c r="H1347" s="43">
        <v>99.534583726091626</v>
      </c>
      <c r="I1347" s="43">
        <v>99.383834108232634</v>
      </c>
    </row>
    <row r="1348" spans="1:9">
      <c r="A1348" s="19">
        <v>494.2</v>
      </c>
      <c r="B1348" s="43">
        <v>97.733862495803095</v>
      </c>
      <c r="C1348" s="43">
        <v>98.465422449976614</v>
      </c>
      <c r="D1348" s="43">
        <v>98.996343379465287</v>
      </c>
      <c r="E1348" s="43">
        <v>99.348964150897842</v>
      </c>
      <c r="F1348" s="43">
        <v>99.545814146803508</v>
      </c>
      <c r="G1348" s="43">
        <v>99.608203752638872</v>
      </c>
      <c r="H1348" s="43">
        <v>99.555540323648984</v>
      </c>
      <c r="I1348" s="43">
        <v>99.4050960095542</v>
      </c>
    </row>
    <row r="1349" spans="1:9">
      <c r="A1349" s="19">
        <v>494.3</v>
      </c>
      <c r="B1349" s="43">
        <v>97.752520280968895</v>
      </c>
      <c r="C1349" s="43">
        <v>98.484485318528982</v>
      </c>
      <c r="D1349" s="43">
        <v>99.015816834441495</v>
      </c>
      <c r="E1349" s="43">
        <v>99.368839993254767</v>
      </c>
      <c r="F1349" s="43">
        <v>99.566074745367388</v>
      </c>
      <c r="G1349" s="43">
        <v>99.628825485973437</v>
      </c>
      <c r="H1349" s="43">
        <v>99.576496129396617</v>
      </c>
      <c r="I1349" s="43">
        <v>99.426357163109543</v>
      </c>
    </row>
    <row r="1350" spans="1:9">
      <c r="A1350" s="19">
        <v>494.4</v>
      </c>
      <c r="B1350" s="43">
        <v>97.771177475496756</v>
      </c>
      <c r="C1350" s="43">
        <v>98.503547489752066</v>
      </c>
      <c r="D1350" s="43">
        <v>99.03528951821076</v>
      </c>
      <c r="E1350" s="43">
        <v>99.388715021851283</v>
      </c>
      <c r="F1350" s="43">
        <v>99.586334515347971</v>
      </c>
      <c r="G1350" s="43">
        <v>99.649446399433003</v>
      </c>
      <c r="H1350" s="43">
        <v>99.59745114338952</v>
      </c>
      <c r="I1350" s="43">
        <v>99.447617568884141</v>
      </c>
    </row>
    <row r="1351" spans="1:9">
      <c r="A1351" s="19">
        <v>494.5</v>
      </c>
      <c r="B1351" s="43">
        <v>97.789834079597739</v>
      </c>
      <c r="C1351" s="43">
        <v>98.522608963875939</v>
      </c>
      <c r="D1351" s="43">
        <v>99.054761430961975</v>
      </c>
      <c r="E1351" s="43">
        <v>99.408589236811281</v>
      </c>
      <c r="F1351" s="43">
        <v>99.606593456853659</v>
      </c>
      <c r="G1351" s="43">
        <v>99.670066493070067</v>
      </c>
      <c r="H1351" s="43">
        <v>99.618405365644605</v>
      </c>
      <c r="I1351" s="43">
        <v>99.468877226838458</v>
      </c>
    </row>
    <row r="1352" spans="1:9">
      <c r="A1352" s="19">
        <v>494.6</v>
      </c>
      <c r="B1352" s="43">
        <v>97.808490093704819</v>
      </c>
      <c r="C1352" s="43">
        <v>98.541669741286171</v>
      </c>
      <c r="D1352" s="43">
        <v>99.074232573040604</v>
      </c>
      <c r="E1352" s="43">
        <v>99.42846263844163</v>
      </c>
      <c r="F1352" s="43">
        <v>99.626851570092896</v>
      </c>
      <c r="G1352" s="43">
        <v>99.690685767019289</v>
      </c>
      <c r="H1352" s="43">
        <v>99.639358796212179</v>
      </c>
      <c r="I1352" s="43">
        <v>99.49013613695584</v>
      </c>
    </row>
    <row r="1353" spans="1:9">
      <c r="A1353" s="19">
        <v>494.7</v>
      </c>
      <c r="B1353" s="43">
        <v>97.827145518195977</v>
      </c>
      <c r="C1353" s="43">
        <v>98.560729822348577</v>
      </c>
      <c r="D1353" s="43">
        <v>99.093702944734815</v>
      </c>
      <c r="E1353" s="43">
        <v>99.448335226953986</v>
      </c>
      <c r="F1353" s="43">
        <v>99.647108855228424</v>
      </c>
      <c r="G1353" s="43">
        <v>99.7113042213835</v>
      </c>
      <c r="H1353" s="43">
        <v>99.660311435132229</v>
      </c>
      <c r="I1353" s="43">
        <v>99.511394299214913</v>
      </c>
    </row>
    <row r="1354" spans="1:9">
      <c r="A1354" s="19">
        <v>494.8</v>
      </c>
      <c r="B1354" s="43">
        <v>97.845800353315951</v>
      </c>
      <c r="C1354" s="43">
        <v>98.579789207273109</v>
      </c>
      <c r="D1354" s="43">
        <v>99.113172546269993</v>
      </c>
      <c r="E1354" s="43">
        <v>99.468207002526924</v>
      </c>
      <c r="F1354" s="43">
        <v>99.667365312385328</v>
      </c>
      <c r="G1354" s="43">
        <v>99.731921856236482</v>
      </c>
      <c r="H1354" s="43">
        <v>99.681263282420446</v>
      </c>
      <c r="I1354" s="43">
        <v>99.532651713581032</v>
      </c>
    </row>
    <row r="1355" spans="1:9">
      <c r="A1355" s="19">
        <v>494.9</v>
      </c>
      <c r="B1355" s="43">
        <v>97.864454599500846</v>
      </c>
      <c r="C1355" s="43">
        <v>98.598847896497176</v>
      </c>
      <c r="D1355" s="43">
        <v>99.132641377963637</v>
      </c>
      <c r="E1355" s="43">
        <v>99.488077965444376</v>
      </c>
      <c r="F1355" s="43">
        <v>99.687620941766738</v>
      </c>
      <c r="G1355" s="43">
        <v>99.752538671703149</v>
      </c>
      <c r="H1355" s="43">
        <v>99.702214338139612</v>
      </c>
      <c r="I1355" s="43">
        <v>99.553908380037569</v>
      </c>
    </row>
    <row r="1356" spans="1:9">
      <c r="A1356" s="19">
        <v>495</v>
      </c>
      <c r="B1356" s="43">
        <v>97.883108257153339</v>
      </c>
      <c r="C1356" s="43">
        <v>98.617905890334839</v>
      </c>
      <c r="D1356" s="43">
        <v>99.152109440161894</v>
      </c>
      <c r="E1356" s="43">
        <v>99.507948115941844</v>
      </c>
      <c r="F1356" s="43">
        <v>99.707875743547191</v>
      </c>
      <c r="G1356" s="43">
        <v>99.773154667894943</v>
      </c>
      <c r="H1356" s="43">
        <v>99.723164602327188</v>
      </c>
      <c r="I1356" s="43">
        <v>99.575164298565397</v>
      </c>
    </row>
    <row r="1357" spans="1:9">
      <c r="A1357" s="19">
        <v>495.1</v>
      </c>
      <c r="B1357" s="43">
        <v>97.901761326439072</v>
      </c>
      <c r="C1357" s="43">
        <v>98.636963189023476</v>
      </c>
      <c r="D1357" s="43">
        <v>99.171576732994708</v>
      </c>
      <c r="E1357" s="43">
        <v>99.527817454157145</v>
      </c>
      <c r="F1357" s="43">
        <v>99.728129717838215</v>
      </c>
      <c r="G1357" s="43">
        <v>99.79376984487277</v>
      </c>
      <c r="H1357" s="43">
        <v>99.74411407499619</v>
      </c>
      <c r="I1357" s="43">
        <v>99.596419469126204</v>
      </c>
    </row>
    <row r="1358" spans="1:9">
      <c r="A1358" s="19">
        <v>495.2</v>
      </c>
      <c r="B1358" s="43">
        <v>97.920413807876798</v>
      </c>
      <c r="C1358" s="43">
        <v>98.656019792968721</v>
      </c>
      <c r="D1358" s="43">
        <v>99.191043256875616</v>
      </c>
      <c r="E1358" s="43">
        <v>99.547685980404424</v>
      </c>
      <c r="F1358" s="43">
        <v>99.748382864848338</v>
      </c>
      <c r="G1358" s="43">
        <v>99.814384202768906</v>
      </c>
      <c r="H1358" s="43">
        <v>99.765062756214661</v>
      </c>
      <c r="I1358" s="43">
        <v>99.617673891711007</v>
      </c>
    </row>
    <row r="1359" spans="1:9">
      <c r="A1359" s="19">
        <v>495.3</v>
      </c>
      <c r="B1359" s="43">
        <v>97.939065701792231</v>
      </c>
      <c r="C1359" s="43">
        <v>98.675075702515556</v>
      </c>
      <c r="D1359" s="43">
        <v>99.21050901205524</v>
      </c>
      <c r="E1359" s="43">
        <v>99.567553694885561</v>
      </c>
      <c r="F1359" s="43">
        <v>99.768635184742209</v>
      </c>
      <c r="G1359" s="43">
        <v>99.834997741687346</v>
      </c>
      <c r="H1359" s="43">
        <v>99.786010646004257</v>
      </c>
      <c r="I1359" s="43">
        <v>99.638927566291215</v>
      </c>
    </row>
    <row r="1360" spans="1:9">
      <c r="A1360" s="19">
        <v>495.4</v>
      </c>
      <c r="B1360" s="43">
        <v>97.957717008438152</v>
      </c>
      <c r="C1360" s="43">
        <v>98.694130917894455</v>
      </c>
      <c r="D1360" s="43">
        <v>99.229973998758169</v>
      </c>
      <c r="E1360" s="43">
        <v>99.587420597792089</v>
      </c>
      <c r="F1360" s="43">
        <v>99.788886677647724</v>
      </c>
      <c r="G1360" s="43">
        <v>99.855610461698404</v>
      </c>
      <c r="H1360" s="43">
        <v>99.806957744399966</v>
      </c>
      <c r="I1360" s="43">
        <v>99.660180492836844</v>
      </c>
    </row>
    <row r="1361" spans="1:9">
      <c r="A1361" s="19">
        <v>495.5</v>
      </c>
      <c r="B1361" s="43">
        <v>97.976367728284316</v>
      </c>
      <c r="C1361" s="43">
        <v>98.713185439509601</v>
      </c>
      <c r="D1361" s="43">
        <v>99.249438217333989</v>
      </c>
      <c r="E1361" s="43">
        <v>99.607286689397682</v>
      </c>
      <c r="F1361" s="43">
        <v>99.809137343770288</v>
      </c>
      <c r="G1361" s="43">
        <v>99.876222362940524</v>
      </c>
      <c r="H1361" s="43">
        <v>99.827904051455221</v>
      </c>
      <c r="I1361" s="43">
        <v>99.6814326713355</v>
      </c>
    </row>
    <row r="1362" spans="1:9">
      <c r="A1362" s="19">
        <v>495.6</v>
      </c>
      <c r="B1362" s="43">
        <v>97.995017861633556</v>
      </c>
      <c r="C1362" s="43">
        <v>98.732239267692876</v>
      </c>
      <c r="D1362" s="43">
        <v>99.268901668046539</v>
      </c>
      <c r="E1362" s="43">
        <v>99.627151969914109</v>
      </c>
      <c r="F1362" s="43">
        <v>99.829387183270853</v>
      </c>
      <c r="G1362" s="43">
        <v>99.896833445503631</v>
      </c>
      <c r="H1362" s="43">
        <v>99.848849567204667</v>
      </c>
      <c r="I1362" s="43">
        <v>99.702684101762145</v>
      </c>
    </row>
    <row r="1363" spans="1:9">
      <c r="A1363" s="19">
        <v>495.7</v>
      </c>
      <c r="B1363" s="43">
        <v>98.013667408765912</v>
      </c>
      <c r="C1363" s="43">
        <v>98.751292402663637</v>
      </c>
      <c r="D1363" s="43">
        <v>99.288364351127456</v>
      </c>
      <c r="E1363" s="43">
        <v>99.647016439527732</v>
      </c>
      <c r="F1363" s="43">
        <v>99.849636196268619</v>
      </c>
      <c r="G1363" s="43">
        <v>99.917443709465033</v>
      </c>
      <c r="H1363" s="43">
        <v>99.869794291673543</v>
      </c>
      <c r="I1363" s="43">
        <v>99.723934784084207</v>
      </c>
    </row>
    <row r="1364" spans="1:9">
      <c r="A1364" s="19">
        <v>495.8</v>
      </c>
      <c r="B1364" s="43">
        <v>98.032316370152557</v>
      </c>
      <c r="C1364" s="43">
        <v>98.770344844870777</v>
      </c>
      <c r="D1364" s="43">
        <v>99.307826266928288</v>
      </c>
      <c r="E1364" s="43">
        <v>99.666880098516543</v>
      </c>
      <c r="F1364" s="43">
        <v>99.869884382980985</v>
      </c>
      <c r="G1364" s="43">
        <v>99.938053154959391</v>
      </c>
      <c r="H1364" s="43">
        <v>99.890738224916078</v>
      </c>
      <c r="I1364" s="43">
        <v>99.745184718294098</v>
      </c>
    </row>
    <row r="1365" spans="1:9">
      <c r="A1365" s="19">
        <v>495.9</v>
      </c>
      <c r="B1365" s="43">
        <v>98.050964746061567</v>
      </c>
      <c r="C1365" s="43">
        <v>98.789396594578903</v>
      </c>
      <c r="D1365" s="43">
        <v>99.327287415695992</v>
      </c>
      <c r="E1365" s="43">
        <v>99.686742947088533</v>
      </c>
      <c r="F1365" s="43">
        <v>99.890131743544629</v>
      </c>
      <c r="G1365" s="43">
        <v>99.958661782074898</v>
      </c>
      <c r="H1365" s="43">
        <v>99.911681366967855</v>
      </c>
      <c r="I1365" s="43">
        <v>99.766433904358877</v>
      </c>
    </row>
    <row r="1366" spans="1:9">
      <c r="A1366" s="19">
        <v>496</v>
      </c>
      <c r="B1366" s="43">
        <v>98.069612536878537</v>
      </c>
      <c r="C1366" s="43">
        <v>98.808447652129274</v>
      </c>
      <c r="D1366" s="43">
        <v>99.34674779771828</v>
      </c>
      <c r="E1366" s="43">
        <v>99.706604985468601</v>
      </c>
      <c r="F1366" s="43">
        <v>99.910378278134573</v>
      </c>
      <c r="G1366" s="43">
        <v>99.979269590916743</v>
      </c>
      <c r="H1366" s="43">
        <v>99.932623717867102</v>
      </c>
      <c r="I1366" s="43">
        <v>99.787682342261093</v>
      </c>
    </row>
    <row r="1367" spans="1:9">
      <c r="A1367" s="19">
        <v>496.1</v>
      </c>
      <c r="B1367" s="43">
        <v>98.088259742987901</v>
      </c>
      <c r="C1367" s="43">
        <v>98.827498017883755</v>
      </c>
      <c r="D1367" s="43">
        <v>99.366207413314214</v>
      </c>
      <c r="E1367" s="43">
        <v>99.726466213910385</v>
      </c>
      <c r="F1367" s="43">
        <v>99.930623986946586</v>
      </c>
      <c r="G1367" s="43">
        <v>99.999876581600176</v>
      </c>
      <c r="H1367" s="43">
        <v>99.95356527766512</v>
      </c>
      <c r="I1367" s="43">
        <v>99.808930031985767</v>
      </c>
    </row>
    <row r="1368" spans="1:9">
      <c r="A1368" s="19">
        <v>496.2</v>
      </c>
      <c r="B1368" s="43">
        <v>98.106906364622546</v>
      </c>
      <c r="C1368" s="43">
        <v>98.846547692062273</v>
      </c>
      <c r="D1368" s="43">
        <v>99.385666262664046</v>
      </c>
      <c r="E1368" s="43">
        <v>99.746326632576086</v>
      </c>
      <c r="F1368" s="43">
        <v>99.950868870084264</v>
      </c>
      <c r="G1368" s="43">
        <v>100.02048275419673</v>
      </c>
      <c r="H1368" s="43">
        <v>99.974506046374728</v>
      </c>
      <c r="I1368" s="43">
        <v>99.830176973496151</v>
      </c>
    </row>
    <row r="1369" spans="1:9">
      <c r="A1369" s="19">
        <v>496.3</v>
      </c>
      <c r="B1369" s="43">
        <v>98.125552402238384</v>
      </c>
      <c r="C1369" s="43">
        <v>98.865596675094451</v>
      </c>
      <c r="D1369" s="43">
        <v>99.405124346151354</v>
      </c>
      <c r="E1369" s="43">
        <v>99.766186241747874</v>
      </c>
      <c r="F1369" s="43">
        <v>99.97111292775287</v>
      </c>
      <c r="G1369" s="43">
        <v>100.04108810883434</v>
      </c>
      <c r="H1369" s="43">
        <v>99.995446024064421</v>
      </c>
      <c r="I1369" s="43">
        <v>99.851423166781814</v>
      </c>
    </row>
    <row r="1370" spans="1:9">
      <c r="A1370" s="19">
        <v>496.4</v>
      </c>
      <c r="B1370" s="43">
        <v>98.144197856177527</v>
      </c>
      <c r="C1370" s="43">
        <v>98.884644967287301</v>
      </c>
      <c r="D1370" s="43">
        <v>99.424581664028807</v>
      </c>
      <c r="E1370" s="43">
        <v>99.786045041654631</v>
      </c>
      <c r="F1370" s="43">
        <v>99.991356160127822</v>
      </c>
      <c r="G1370" s="43">
        <v>100.06169264561782</v>
      </c>
      <c r="H1370" s="43">
        <v>100.01638521076592</v>
      </c>
      <c r="I1370" s="43">
        <v>99.872668611823599</v>
      </c>
    </row>
    <row r="1371" spans="1:9">
      <c r="A1371" s="19">
        <v>496.5</v>
      </c>
      <c r="B1371" s="43">
        <v>98.162842726691451</v>
      </c>
      <c r="C1371" s="43">
        <v>98.90369256887584</v>
      </c>
      <c r="D1371" s="43">
        <v>99.444038216529009</v>
      </c>
      <c r="E1371" s="43">
        <v>99.805903032460151</v>
      </c>
      <c r="F1371" s="43">
        <v>100.01159856732198</v>
      </c>
      <c r="G1371" s="43">
        <v>100.08229636461672</v>
      </c>
      <c r="H1371" s="43">
        <v>100.03732360650119</v>
      </c>
      <c r="I1371" s="43">
        <v>99.893913308585979</v>
      </c>
    </row>
    <row r="1372" spans="1:9">
      <c r="A1372" s="19">
        <v>496.6</v>
      </c>
      <c r="B1372" s="43">
        <v>98.181487014243089</v>
      </c>
      <c r="C1372" s="43">
        <v>98.922739480308906</v>
      </c>
      <c r="D1372" s="43">
        <v>99.463494004011352</v>
      </c>
      <c r="E1372" s="43">
        <v>99.825760214464964</v>
      </c>
      <c r="F1372" s="43">
        <v>100.03184014956457</v>
      </c>
      <c r="G1372" s="43">
        <v>100.10289926598284</v>
      </c>
      <c r="H1372" s="43">
        <v>100.05826121134186</v>
      </c>
      <c r="I1372" s="43">
        <v>99.91515725706688</v>
      </c>
    </row>
    <row r="1373" spans="1:9">
      <c r="A1373" s="19">
        <v>496.7</v>
      </c>
      <c r="B1373" s="43">
        <v>98.200130719174865</v>
      </c>
      <c r="C1373" s="43">
        <v>98.941785701873613</v>
      </c>
      <c r="D1373" s="43">
        <v>99.482949026734872</v>
      </c>
      <c r="E1373" s="43">
        <v>99.845616587875668</v>
      </c>
      <c r="F1373" s="43">
        <v>100.05208090699819</v>
      </c>
      <c r="G1373" s="43">
        <v>100.12350134979536</v>
      </c>
      <c r="H1373" s="43">
        <v>100.07919802531299</v>
      </c>
      <c r="I1373" s="43">
        <v>99.936400457236999</v>
      </c>
    </row>
    <row r="1374" spans="1:9">
      <c r="A1374" s="19">
        <v>496.8</v>
      </c>
      <c r="B1374" s="43">
        <v>98.218773841757667</v>
      </c>
      <c r="C1374" s="43">
        <v>98.960831233851934</v>
      </c>
      <c r="D1374" s="43">
        <v>99.502403284929386</v>
      </c>
      <c r="E1374" s="43">
        <v>99.865472152891897</v>
      </c>
      <c r="F1374" s="43">
        <v>100.07232083977485</v>
      </c>
      <c r="G1374" s="43">
        <v>100.14410261614691</v>
      </c>
      <c r="H1374" s="43">
        <v>100.10013404845208</v>
      </c>
      <c r="I1374" s="43">
        <v>99.957642909073655</v>
      </c>
    </row>
    <row r="1375" spans="1:9">
      <c r="A1375" s="19">
        <v>496.9</v>
      </c>
      <c r="B1375" s="43">
        <v>98.237416382434958</v>
      </c>
      <c r="C1375" s="43">
        <v>98.979876076631001</v>
      </c>
      <c r="D1375" s="43">
        <v>99.52185677896145</v>
      </c>
      <c r="E1375" s="43">
        <v>99.88532690978181</v>
      </c>
      <c r="F1375" s="43">
        <v>100.09255994808632</v>
      </c>
      <c r="G1375" s="43">
        <v>100.16470306516732</v>
      </c>
      <c r="H1375" s="43">
        <v>100.12106928081226</v>
      </c>
      <c r="I1375" s="43">
        <v>99.978884612564912</v>
      </c>
    </row>
    <row r="1376" spans="1:9">
      <c r="A1376" s="19">
        <v>497</v>
      </c>
      <c r="B1376" s="43">
        <v>98.256058341432123</v>
      </c>
      <c r="C1376" s="43">
        <v>98.998920230450665</v>
      </c>
      <c r="D1376" s="43">
        <v>99.541309509019982</v>
      </c>
      <c r="E1376" s="43">
        <v>99.905180858725828</v>
      </c>
      <c r="F1376" s="43">
        <v>100.11279823205692</v>
      </c>
      <c r="G1376" s="43">
        <v>100.18530269693235</v>
      </c>
      <c r="H1376" s="43">
        <v>100.14200372241675</v>
      </c>
      <c r="I1376" s="43">
        <v>100.00012556767993</v>
      </c>
    </row>
    <row r="1377" spans="1:9">
      <c r="A1377" s="19">
        <v>497.1</v>
      </c>
      <c r="B1377" s="43">
        <v>98.274699719201436</v>
      </c>
      <c r="C1377" s="43">
        <v>99.01796369570593</v>
      </c>
      <c r="D1377" s="43">
        <v>99.560761475448942</v>
      </c>
      <c r="E1377" s="43">
        <v>99.925033999975511</v>
      </c>
      <c r="F1377" s="43">
        <v>100.13303569189873</v>
      </c>
      <c r="G1377" s="43">
        <v>100.20590151156065</v>
      </c>
      <c r="H1377" s="43">
        <v>100.16293737332362</v>
      </c>
      <c r="I1377" s="43">
        <v>100.02136577440578</v>
      </c>
    </row>
    <row r="1378" spans="1:9">
      <c r="A1378" s="19">
        <v>497.2</v>
      </c>
      <c r="B1378" s="43">
        <v>98.293340516080633</v>
      </c>
      <c r="C1378" s="43">
        <v>99.037006472733651</v>
      </c>
      <c r="D1378" s="43">
        <v>99.580212678541102</v>
      </c>
      <c r="E1378" s="43">
        <v>99.944886333780744</v>
      </c>
      <c r="F1378" s="43">
        <v>100.15327232776232</v>
      </c>
      <c r="G1378" s="43">
        <v>100.22649950917008</v>
      </c>
      <c r="H1378" s="43">
        <v>100.18387023357181</v>
      </c>
      <c r="I1378" s="43">
        <v>100.04260523272615</v>
      </c>
    </row>
    <row r="1379" spans="1:9">
      <c r="A1379" s="19">
        <v>497.3</v>
      </c>
      <c r="B1379" s="43">
        <v>98.311980732362713</v>
      </c>
      <c r="C1379" s="43">
        <v>99.056048561792409</v>
      </c>
      <c r="D1379" s="43">
        <v>99.599663118516958</v>
      </c>
      <c r="E1379" s="43">
        <v>99.964737860318309</v>
      </c>
      <c r="F1379" s="43">
        <v>100.17350813980255</v>
      </c>
      <c r="G1379" s="43">
        <v>100.24709668983166</v>
      </c>
      <c r="H1379" s="43">
        <v>100.20480230319106</v>
      </c>
      <c r="I1379" s="43">
        <v>100.06384394261275</v>
      </c>
    </row>
    <row r="1380" spans="1:9">
      <c r="A1380" s="19">
        <v>497.4</v>
      </c>
      <c r="B1380" s="43">
        <v>98.330620368455783</v>
      </c>
      <c r="C1380" s="43">
        <v>99.075089963256488</v>
      </c>
      <c r="D1380" s="43">
        <v>99.619112795702932</v>
      </c>
      <c r="E1380" s="43">
        <v>99.984588579849657</v>
      </c>
      <c r="F1380" s="43">
        <v>100.19374312820469</v>
      </c>
      <c r="G1380" s="43">
        <v>100.26769305367145</v>
      </c>
      <c r="H1380" s="43">
        <v>100.22573358224048</v>
      </c>
      <c r="I1380" s="43">
        <v>100.085081904052</v>
      </c>
    </row>
    <row r="1381" spans="1:9">
      <c r="A1381" s="19">
        <v>497.5</v>
      </c>
      <c r="B1381" s="43">
        <v>98.34925942472529</v>
      </c>
      <c r="C1381" s="43">
        <v>99.09413067746658</v>
      </c>
      <c r="D1381" s="43">
        <v>99.638561710407288</v>
      </c>
      <c r="E1381" s="43">
        <v>100.00443849263081</v>
      </c>
      <c r="F1381" s="43">
        <v>100.21397729314913</v>
      </c>
      <c r="G1381" s="43">
        <v>100.28828860081461</v>
      </c>
      <c r="H1381" s="43">
        <v>100.24666407076296</v>
      </c>
      <c r="I1381" s="43">
        <v>100.10631911703328</v>
      </c>
    </row>
    <row r="1382" spans="1:9">
      <c r="A1382" s="19">
        <v>497.6</v>
      </c>
      <c r="B1382" s="43">
        <v>98.367897901408639</v>
      </c>
      <c r="C1382" s="43">
        <v>99.113170704662508</v>
      </c>
      <c r="D1382" s="43">
        <v>99.658009862826958</v>
      </c>
      <c r="E1382" s="43">
        <v>100.02428759880229</v>
      </c>
      <c r="F1382" s="43">
        <v>100.23421063473751</v>
      </c>
      <c r="G1382" s="43">
        <v>100.30888333131148</v>
      </c>
      <c r="H1382" s="43">
        <v>100.26759376877388</v>
      </c>
      <c r="I1382" s="43">
        <v>100.12755558151784</v>
      </c>
    </row>
    <row r="1383" spans="1:9">
      <c r="A1383" s="19">
        <v>497.7</v>
      </c>
      <c r="B1383" s="43">
        <v>98.3865357989541</v>
      </c>
      <c r="C1383" s="43">
        <v>99.132210045262326</v>
      </c>
      <c r="D1383" s="43">
        <v>99.677457253319346</v>
      </c>
      <c r="E1383" s="43">
        <v>100.04413589867141</v>
      </c>
      <c r="F1383" s="43">
        <v>100.25444315321064</v>
      </c>
      <c r="G1383" s="43">
        <v>100.32947724531428</v>
      </c>
      <c r="H1383" s="43">
        <v>100.28852267634977</v>
      </c>
      <c r="I1383" s="43">
        <v>100.14879129750577</v>
      </c>
    </row>
    <row r="1384" spans="1:9">
      <c r="A1384" s="19">
        <v>497.8</v>
      </c>
      <c r="B1384" s="43">
        <v>98.405173117727514</v>
      </c>
      <c r="C1384" s="43">
        <v>99.151248699584585</v>
      </c>
      <c r="D1384" s="43">
        <v>99.696903882171881</v>
      </c>
      <c r="E1384" s="43">
        <v>100.06398339245033</v>
      </c>
      <c r="F1384" s="43">
        <v>100.2746748487136</v>
      </c>
      <c r="G1384" s="43">
        <v>100.35007034292443</v>
      </c>
      <c r="H1384" s="43">
        <v>100.30945079352108</v>
      </c>
      <c r="I1384" s="43">
        <v>100.17002626497353</v>
      </c>
    </row>
    <row r="1385" spans="1:9">
      <c r="A1385" s="19">
        <v>497.9</v>
      </c>
      <c r="B1385" s="43">
        <v>98.423809857962027</v>
      </c>
      <c r="C1385" s="43">
        <v>99.170286667860495</v>
      </c>
      <c r="D1385" s="43">
        <v>99.71634974958431</v>
      </c>
      <c r="E1385" s="43">
        <v>100.08383008032442</v>
      </c>
      <c r="F1385" s="43">
        <v>100.29490572138539</v>
      </c>
      <c r="G1385" s="43">
        <v>100.37066262420984</v>
      </c>
      <c r="H1385" s="43">
        <v>100.33037812031446</v>
      </c>
      <c r="I1385" s="43">
        <v>100.19126048389637</v>
      </c>
    </row>
    <row r="1386" spans="1:9">
      <c r="A1386" s="19">
        <v>498</v>
      </c>
      <c r="B1386" s="43">
        <v>98.442446020109912</v>
      </c>
      <c r="C1386" s="43">
        <v>99.189323950515188</v>
      </c>
      <c r="D1386" s="43">
        <v>99.735794855918215</v>
      </c>
      <c r="E1386" s="43">
        <v>100.10367596257635</v>
      </c>
      <c r="F1386" s="43">
        <v>100.31513577143124</v>
      </c>
      <c r="G1386" s="43">
        <v>100.39125408931611</v>
      </c>
      <c r="H1386" s="43">
        <v>100.35130465679654</v>
      </c>
      <c r="I1386" s="43">
        <v>100.21249395426389</v>
      </c>
    </row>
    <row r="1387" spans="1:9">
      <c r="A1387" s="19">
        <v>498.1</v>
      </c>
      <c r="B1387" s="43">
        <v>98.461081604524935</v>
      </c>
      <c r="C1387" s="43">
        <v>99.208360547865027</v>
      </c>
      <c r="D1387" s="43">
        <v>99.755239201453492</v>
      </c>
      <c r="E1387" s="43">
        <v>100.12352103942882</v>
      </c>
      <c r="F1387" s="43">
        <v>100.33536499901311</v>
      </c>
      <c r="G1387" s="43">
        <v>100.41184473834107</v>
      </c>
      <c r="H1387" s="43">
        <v>100.37223040300927</v>
      </c>
      <c r="I1387" s="43">
        <v>100.23372667606097</v>
      </c>
    </row>
    <row r="1388" spans="1:9">
      <c r="A1388" s="19">
        <v>498.2</v>
      </c>
      <c r="B1388" s="43">
        <v>98.479716611423584</v>
      </c>
      <c r="C1388" s="43">
        <v>99.227396460137555</v>
      </c>
      <c r="D1388" s="43">
        <v>99.774682786390485</v>
      </c>
      <c r="E1388" s="43">
        <v>100.14336531103595</v>
      </c>
      <c r="F1388" s="43">
        <v>100.35559340424751</v>
      </c>
      <c r="G1388" s="43">
        <v>100.43243457135401</v>
      </c>
      <c r="H1388" s="43">
        <v>100.39315535896776</v>
      </c>
      <c r="I1388" s="43">
        <v>100.25495864925531</v>
      </c>
    </row>
    <row r="1389" spans="1:9">
      <c r="A1389" s="19">
        <v>498.3</v>
      </c>
      <c r="B1389" s="43">
        <v>98.498351041323161</v>
      </c>
      <c r="C1389" s="43">
        <v>99.246431687781637</v>
      </c>
      <c r="D1389" s="43">
        <v>99.79412561111539</v>
      </c>
      <c r="E1389" s="43">
        <v>100.16320877771432</v>
      </c>
      <c r="F1389" s="43">
        <v>100.37582098738091</v>
      </c>
      <c r="G1389" s="43">
        <v>100.45302358851092</v>
      </c>
      <c r="H1389" s="43">
        <v>100.41407952474995</v>
      </c>
      <c r="I1389" s="43">
        <v>100.27618987384594</v>
      </c>
    </row>
    <row r="1390" spans="1:9">
      <c r="A1390" s="19">
        <v>498.4</v>
      </c>
      <c r="B1390" s="43">
        <v>98.516984894429612</v>
      </c>
      <c r="C1390" s="43">
        <v>99.265466231025641</v>
      </c>
      <c r="D1390" s="43">
        <v>99.813567675832957</v>
      </c>
      <c r="E1390" s="43">
        <v>100.18305143964201</v>
      </c>
      <c r="F1390" s="43">
        <v>100.3960477485235</v>
      </c>
      <c r="G1390" s="43">
        <v>100.47361178988638</v>
      </c>
      <c r="H1390" s="43">
        <v>100.43500290038062</v>
      </c>
      <c r="I1390" s="43">
        <v>100.29742034980677</v>
      </c>
    </row>
    <row r="1391" spans="1:9">
      <c r="A1391" s="19">
        <v>498.5</v>
      </c>
      <c r="B1391" s="43">
        <v>98.535618171181937</v>
      </c>
      <c r="C1391" s="43">
        <v>99.284500090242176</v>
      </c>
      <c r="D1391" s="43">
        <v>99.833008980857841</v>
      </c>
      <c r="E1391" s="43">
        <v>100.20289329706515</v>
      </c>
      <c r="F1391" s="43">
        <v>100.4162736878647</v>
      </c>
      <c r="G1391" s="43">
        <v>100.49419917559703</v>
      </c>
      <c r="H1391" s="43">
        <v>100.45592548590898</v>
      </c>
      <c r="I1391" s="43">
        <v>100.31865007712503</v>
      </c>
    </row>
    <row r="1392" spans="1:9">
      <c r="A1392" s="19">
        <v>498.6</v>
      </c>
      <c r="B1392" s="43">
        <v>98.554250871952974</v>
      </c>
      <c r="C1392" s="43">
        <v>99.303533265806806</v>
      </c>
      <c r="D1392" s="43">
        <v>99.852449526518541</v>
      </c>
      <c r="E1392" s="43">
        <v>100.22273435025039</v>
      </c>
      <c r="F1392" s="43">
        <v>100.43649880560318</v>
      </c>
      <c r="G1392" s="43">
        <v>100.51478574577237</v>
      </c>
      <c r="H1392" s="43">
        <v>100.47684728139163</v>
      </c>
      <c r="I1392" s="43">
        <v>100.33987905579104</v>
      </c>
    </row>
    <row r="1393" spans="1:9">
      <c r="A1393" s="19">
        <v>498.7</v>
      </c>
      <c r="B1393" s="43">
        <v>98.572882996967394</v>
      </c>
      <c r="C1393" s="43">
        <v>99.322565757941476</v>
      </c>
      <c r="D1393" s="43">
        <v>99.871889313000025</v>
      </c>
      <c r="E1393" s="43">
        <v>100.24257459933941</v>
      </c>
      <c r="F1393" s="43">
        <v>100.45672310184534</v>
      </c>
      <c r="G1393" s="43">
        <v>100.535371500465</v>
      </c>
      <c r="H1393" s="43">
        <v>100.49776828684563</v>
      </c>
      <c r="I1393" s="43">
        <v>100.36110728577137</v>
      </c>
    </row>
    <row r="1394" spans="1:9">
      <c r="A1394" s="19">
        <v>498.8</v>
      </c>
      <c r="B1394" s="43">
        <v>98.591514546675342</v>
      </c>
      <c r="C1394" s="43">
        <v>99.341597567008222</v>
      </c>
      <c r="D1394" s="43">
        <v>99.891328340648897</v>
      </c>
      <c r="E1394" s="43">
        <v>100.26241404462058</v>
      </c>
      <c r="F1394" s="43">
        <v>100.4769465767919</v>
      </c>
      <c r="G1394" s="43">
        <v>100.55595643981431</v>
      </c>
      <c r="H1394" s="43">
        <v>100.51868850233666</v>
      </c>
      <c r="I1394" s="43">
        <v>100.38233476705969</v>
      </c>
    </row>
    <row r="1395" spans="1:9">
      <c r="A1395" s="19">
        <v>498.9</v>
      </c>
      <c r="B1395" s="43">
        <v>98.6101455214108</v>
      </c>
      <c r="C1395" s="43">
        <v>99.360628693371467</v>
      </c>
      <c r="D1395" s="43">
        <v>99.910766609746815</v>
      </c>
      <c r="E1395" s="43">
        <v>100.28225268632019</v>
      </c>
      <c r="F1395" s="43">
        <v>100.49716923062741</v>
      </c>
      <c r="G1395" s="43">
        <v>100.57654056393747</v>
      </c>
      <c r="H1395" s="43">
        <v>100.53960792790522</v>
      </c>
      <c r="I1395" s="43">
        <v>100.40356149964336</v>
      </c>
    </row>
    <row r="1396" spans="1:9">
      <c r="A1396" s="19">
        <v>499</v>
      </c>
      <c r="B1396" s="43">
        <v>98.628775921427831</v>
      </c>
      <c r="C1396" s="43">
        <v>99.37965913725418</v>
      </c>
      <c r="D1396" s="43">
        <v>99.930204120516663</v>
      </c>
      <c r="E1396" s="43">
        <v>100.30209052462027</v>
      </c>
      <c r="F1396" s="43">
        <v>100.5173910634696</v>
      </c>
      <c r="G1396" s="43">
        <v>100.59712387290358</v>
      </c>
      <c r="H1396" s="43">
        <v>100.5605265635825</v>
      </c>
      <c r="I1396" s="43">
        <v>100.42478748349328</v>
      </c>
    </row>
    <row r="1397" spans="1:9">
      <c r="A1397" s="19">
        <v>499.1</v>
      </c>
      <c r="B1397" s="43">
        <v>98.647405747223871</v>
      </c>
      <c r="C1397" s="43">
        <v>99.398688899120373</v>
      </c>
      <c r="D1397" s="43">
        <v>99.949640873326672</v>
      </c>
      <c r="E1397" s="43">
        <v>100.32192755982578</v>
      </c>
      <c r="F1397" s="43">
        <v>100.53761207555877</v>
      </c>
      <c r="G1397" s="43">
        <v>100.6177063668701</v>
      </c>
      <c r="H1397" s="43">
        <v>100.58144440944201</v>
      </c>
      <c r="I1397" s="43">
        <v>100.44601271861251</v>
      </c>
    </row>
    <row r="1398" spans="1:9">
      <c r="A1398" s="19">
        <v>499.2</v>
      </c>
      <c r="B1398" s="43">
        <v>98.666034999061679</v>
      </c>
      <c r="C1398" s="43">
        <v>99.417717979225444</v>
      </c>
      <c r="D1398" s="43">
        <v>99.969076868426924</v>
      </c>
      <c r="E1398" s="43">
        <v>100.34176379211536</v>
      </c>
      <c r="F1398" s="43">
        <v>100.55783226701547</v>
      </c>
      <c r="G1398" s="43">
        <v>100.63828804590881</v>
      </c>
      <c r="H1398" s="43">
        <v>100.60236146550591</v>
      </c>
      <c r="I1398" s="43">
        <v>100.46723720497428</v>
      </c>
    </row>
    <row r="1399" spans="1:9">
      <c r="A1399" s="19">
        <v>499.3</v>
      </c>
      <c r="B1399" s="43">
        <v>98.684663677268986</v>
      </c>
      <c r="C1399" s="43">
        <v>99.436746377850056</v>
      </c>
      <c r="D1399" s="43">
        <v>99.988512106061023</v>
      </c>
      <c r="E1399" s="43">
        <v>100.36159922170469</v>
      </c>
      <c r="F1399" s="43">
        <v>100.57805163800327</v>
      </c>
      <c r="G1399" s="43">
        <v>100.65886891012551</v>
      </c>
      <c r="H1399" s="43">
        <v>100.62327773182344</v>
      </c>
      <c r="I1399" s="43">
        <v>100.48846094256095</v>
      </c>
    </row>
    <row r="1400" spans="1:9">
      <c r="A1400" s="19">
        <v>499.4</v>
      </c>
      <c r="B1400" s="43">
        <v>98.703291782265154</v>
      </c>
      <c r="C1400" s="43">
        <v>99.455774095422953</v>
      </c>
      <c r="D1400" s="43">
        <v>100.00794658659726</v>
      </c>
      <c r="E1400" s="43">
        <v>100.38143384888994</v>
      </c>
      <c r="F1400" s="43">
        <v>100.59827018874773</v>
      </c>
      <c r="G1400" s="43">
        <v>100.67944895966173</v>
      </c>
      <c r="H1400" s="43">
        <v>100.64419320845428</v>
      </c>
      <c r="I1400" s="43">
        <v>100.50968393136998</v>
      </c>
    </row>
    <row r="1401" spans="1:9">
      <c r="A1401" s="19">
        <v>499.5</v>
      </c>
      <c r="B1401" s="43">
        <v>98.721919314302852</v>
      </c>
      <c r="C1401" s="43">
        <v>99.474801132133535</v>
      </c>
      <c r="D1401" s="43">
        <v>100.02738031019925</v>
      </c>
      <c r="E1401" s="43">
        <v>100.40126767379795</v>
      </c>
      <c r="F1401" s="43">
        <v>100.61848791932869</v>
      </c>
      <c r="G1401" s="43">
        <v>100.70002819457144</v>
      </c>
      <c r="H1401" s="43">
        <v>100.66510789541613</v>
      </c>
      <c r="I1401" s="43">
        <v>100.53090617137005</v>
      </c>
    </row>
    <row r="1402" spans="1:9">
      <c r="A1402" s="19">
        <v>499.6</v>
      </c>
      <c r="B1402" s="43">
        <v>98.740546273797634</v>
      </c>
      <c r="C1402" s="43">
        <v>99.493827488405088</v>
      </c>
      <c r="D1402" s="43">
        <v>100.04681327723131</v>
      </c>
      <c r="E1402" s="43">
        <v>100.42110069674879</v>
      </c>
      <c r="F1402" s="43">
        <v>100.6387048299805</v>
      </c>
      <c r="G1402" s="43">
        <v>100.72060661499947</v>
      </c>
      <c r="H1402" s="43">
        <v>100.68602179278162</v>
      </c>
      <c r="I1402" s="43">
        <v>100.55212766255696</v>
      </c>
    </row>
    <row r="1403" spans="1:9">
      <c r="A1403" s="19">
        <v>499.7</v>
      </c>
      <c r="B1403" s="43">
        <v>98.759172661101275</v>
      </c>
      <c r="C1403" s="43">
        <v>99.512853164572419</v>
      </c>
      <c r="D1403" s="43">
        <v>100.06624548798018</v>
      </c>
      <c r="E1403" s="43">
        <v>100.44093291792899</v>
      </c>
      <c r="F1403" s="43">
        <v>100.65892092086818</v>
      </c>
      <c r="G1403" s="43">
        <v>100.7411842210592</v>
      </c>
      <c r="H1403" s="43">
        <v>100.70693490058773</v>
      </c>
      <c r="I1403" s="43">
        <v>100.57334840491663</v>
      </c>
    </row>
    <row r="1404" spans="1:9">
      <c r="A1404" s="19">
        <v>499.8</v>
      </c>
      <c r="B1404" s="43">
        <v>98.777798476491768</v>
      </c>
      <c r="C1404" s="43">
        <v>99.531878160866484</v>
      </c>
      <c r="D1404" s="43">
        <v>100.08567694267416</v>
      </c>
      <c r="E1404" s="43">
        <v>100.46076433756096</v>
      </c>
      <c r="F1404" s="43">
        <v>100.67913619213479</v>
      </c>
      <c r="G1404" s="43">
        <v>100.76176101282482</v>
      </c>
      <c r="H1404" s="43">
        <v>100.72784721887143</v>
      </c>
      <c r="I1404" s="43">
        <v>100.59456839842784</v>
      </c>
    </row>
    <row r="1405" spans="1:9">
      <c r="A1405" s="19">
        <v>499.9</v>
      </c>
      <c r="B1405" s="43">
        <v>98.796423720373468</v>
      </c>
      <c r="C1405" s="43">
        <v>99.550902477679472</v>
      </c>
      <c r="D1405" s="43">
        <v>100.10510764163558</v>
      </c>
      <c r="E1405" s="43">
        <v>100.48059495589797</v>
      </c>
      <c r="F1405" s="43">
        <v>100.69935064396756</v>
      </c>
      <c r="G1405" s="43">
        <v>100.78233699042877</v>
      </c>
      <c r="H1405" s="43">
        <v>100.74875874769009</v>
      </c>
      <c r="I1405" s="43">
        <v>100.61578764308226</v>
      </c>
    </row>
    <row r="1406" spans="1:9">
      <c r="A1406" s="19">
        <v>500</v>
      </c>
      <c r="B1406" s="43">
        <v>98.78397734701656</v>
      </c>
      <c r="C1406" s="43">
        <v>99.541842662705164</v>
      </c>
      <c r="D1406" s="43">
        <v>100.09981016774915</v>
      </c>
      <c r="E1406" s="43">
        <v>100.47934029741279</v>
      </c>
      <c r="F1406" s="43">
        <v>100.70233756252421</v>
      </c>
      <c r="G1406" s="43">
        <v>100.78969714861486</v>
      </c>
      <c r="H1406" s="43">
        <v>100.76056994735617</v>
      </c>
      <c r="I1406" s="43">
        <v>100.63208479837991</v>
      </c>
    </row>
    <row r="1407" spans="1:9">
      <c r="A1407" s="19">
        <v>500.1</v>
      </c>
      <c r="B1407" s="43">
        <v>98.771467005099197</v>
      </c>
      <c r="C1407" s="43">
        <v>99.532715674781912</v>
      </c>
      <c r="D1407" s="43">
        <v>100.09444268681148</v>
      </c>
      <c r="E1407" s="43">
        <v>100.47801333863322</v>
      </c>
      <c r="F1407" s="43">
        <v>100.70525042479017</v>
      </c>
      <c r="G1407" s="43">
        <v>100.79698192446338</v>
      </c>
      <c r="H1407" s="43">
        <v>100.77230471158214</v>
      </c>
      <c r="I1407" s="43">
        <v>100.64830456802886</v>
      </c>
    </row>
    <row r="1408" spans="1:9">
      <c r="A1408" s="19">
        <v>500.2</v>
      </c>
      <c r="B1408" s="43">
        <v>98.790042295023284</v>
      </c>
      <c r="C1408" s="43">
        <v>99.55168440851844</v>
      </c>
      <c r="D1408" s="43">
        <v>100.1138120863686</v>
      </c>
      <c r="E1408" s="43">
        <v>100.49777709539467</v>
      </c>
      <c r="F1408" s="43">
        <v>100.72539276142447</v>
      </c>
      <c r="G1408" s="43">
        <v>100.81748093390425</v>
      </c>
      <c r="H1408" s="43">
        <v>100.79313487106538</v>
      </c>
      <c r="I1408" s="43">
        <v>100.66943851989643</v>
      </c>
    </row>
    <row r="1409" spans="1:9">
      <c r="A1409" s="19">
        <v>500.3</v>
      </c>
      <c r="B1409" s="43">
        <v>98.808617013215525</v>
      </c>
      <c r="C1409" s="43">
        <v>99.570652464059805</v>
      </c>
      <c r="D1409" s="43">
        <v>100.1331807318779</v>
      </c>
      <c r="E1409" s="43">
        <v>100.5175400519995</v>
      </c>
      <c r="F1409" s="43">
        <v>100.74553427845791</v>
      </c>
      <c r="G1409" s="43">
        <v>100.83797912706837</v>
      </c>
      <c r="H1409" s="43">
        <v>100.81396423653786</v>
      </c>
      <c r="I1409" s="43">
        <v>100.6905717155359</v>
      </c>
    </row>
    <row r="1410" spans="1:9">
      <c r="A1410" s="19">
        <v>500.4</v>
      </c>
      <c r="B1410" s="43">
        <v>98.82719115992353</v>
      </c>
      <c r="C1410" s="43">
        <v>99.589619841638097</v>
      </c>
      <c r="D1410" s="43">
        <v>100.15254862354686</v>
      </c>
      <c r="E1410" s="43">
        <v>100.53730220862627</v>
      </c>
      <c r="F1410" s="43">
        <v>100.76567497599697</v>
      </c>
      <c r="G1410" s="43">
        <v>100.85847650403105</v>
      </c>
      <c r="H1410" s="43">
        <v>100.83479280802925</v>
      </c>
      <c r="I1410" s="43">
        <v>100.71170415493509</v>
      </c>
    </row>
    <row r="1411" spans="1:9">
      <c r="A1411" s="19">
        <v>500.5</v>
      </c>
      <c r="B1411" s="43">
        <v>98.845764735509647</v>
      </c>
      <c r="C1411" s="43">
        <v>99.608586541593866</v>
      </c>
      <c r="D1411" s="43">
        <v>100.17191576169256</v>
      </c>
      <c r="E1411" s="43">
        <v>100.55706356551485</v>
      </c>
      <c r="F1411" s="43">
        <v>100.78581485423828</v>
      </c>
      <c r="G1411" s="43">
        <v>100.87897306491627</v>
      </c>
      <c r="H1411" s="43">
        <v>100.85562058559768</v>
      </c>
      <c r="I1411" s="43">
        <v>100.73283583808734</v>
      </c>
    </row>
    <row r="1412" spans="1:9">
      <c r="A1412" s="19">
        <v>500.6</v>
      </c>
      <c r="B1412" s="43">
        <v>98.864337740341398</v>
      </c>
      <c r="C1412" s="43">
        <v>99.627552564278119</v>
      </c>
      <c r="D1412" s="43">
        <v>100.1912821466031</v>
      </c>
      <c r="E1412" s="43">
        <v>100.57682412290617</v>
      </c>
      <c r="F1412" s="43">
        <v>100.80595391338287</v>
      </c>
      <c r="G1412" s="43">
        <v>100.89946880984672</v>
      </c>
      <c r="H1412" s="43">
        <v>100.87644756930501</v>
      </c>
      <c r="I1412" s="43">
        <v>100.75396676499818</v>
      </c>
    </row>
    <row r="1413" spans="1:9">
      <c r="A1413" s="19">
        <v>500.7</v>
      </c>
      <c r="B1413" s="43">
        <v>98.882910174720934</v>
      </c>
      <c r="C1413" s="43">
        <v>99.646517909969504</v>
      </c>
      <c r="D1413" s="43">
        <v>100.21064777853593</v>
      </c>
      <c r="E1413" s="43">
        <v>100.59658388101823</v>
      </c>
      <c r="F1413" s="43">
        <v>100.82609215355842</v>
      </c>
      <c r="G1413" s="43">
        <v>100.91996373892303</v>
      </c>
      <c r="H1413" s="43">
        <v>100.89727375919679</v>
      </c>
      <c r="I1413" s="43">
        <v>100.77509693565253</v>
      </c>
    </row>
    <row r="1414" spans="1:9">
      <c r="A1414" s="19">
        <v>500.8</v>
      </c>
      <c r="B1414" s="43">
        <v>98.901482038969306</v>
      </c>
      <c r="C1414" s="43">
        <v>99.665482578979294</v>
      </c>
      <c r="D1414" s="43">
        <v>100.23001265774175</v>
      </c>
      <c r="E1414" s="43">
        <v>100.61634284007189</v>
      </c>
      <c r="F1414" s="43">
        <v>100.84622957494528</v>
      </c>
      <c r="G1414" s="43">
        <v>100.94045785224876</v>
      </c>
      <c r="H1414" s="43">
        <v>100.91809915532417</v>
      </c>
      <c r="I1414" s="43">
        <v>100.79622635004668</v>
      </c>
    </row>
    <row r="1415" spans="1:9">
      <c r="A1415" s="19">
        <v>500.9</v>
      </c>
      <c r="B1415" s="43">
        <v>98.920053333499311</v>
      </c>
      <c r="C1415" s="43">
        <v>99.684446571670804</v>
      </c>
      <c r="D1415" s="43">
        <v>100.24937678457769</v>
      </c>
      <c r="E1415" s="43">
        <v>100.63610100031738</v>
      </c>
      <c r="F1415" s="43">
        <v>100.86636617774508</v>
      </c>
      <c r="G1415" s="43">
        <v>100.96095114996487</v>
      </c>
      <c r="H1415" s="43">
        <v>100.9389237577567</v>
      </c>
      <c r="I1415" s="43">
        <v>100.81735500818658</v>
      </c>
    </row>
    <row r="1416" spans="1:9">
      <c r="A1416" s="19">
        <v>501</v>
      </c>
      <c r="B1416" s="43">
        <v>98.938624058581638</v>
      </c>
      <c r="C1416" s="43">
        <v>99.703409888322255</v>
      </c>
      <c r="D1416" s="43">
        <v>100.2687401592726</v>
      </c>
      <c r="E1416" s="43">
        <v>100.6558583619688</v>
      </c>
      <c r="F1416" s="43">
        <v>100.88650196210534</v>
      </c>
      <c r="G1416" s="43">
        <v>100.98144363216451</v>
      </c>
      <c r="H1416" s="43">
        <v>100.95974756653692</v>
      </c>
      <c r="I1416" s="43">
        <v>100.83848291005785</v>
      </c>
    </row>
    <row r="1417" spans="1:9">
      <c r="A1417" s="19">
        <v>501.1</v>
      </c>
      <c r="B1417" s="43">
        <v>98.957194214576987</v>
      </c>
      <c r="C1417" s="43">
        <v>99.722372529278942</v>
      </c>
      <c r="D1417" s="43">
        <v>100.28810278210321</v>
      </c>
      <c r="E1417" s="43">
        <v>100.675614925258</v>
      </c>
      <c r="F1417" s="43">
        <v>100.90663692820104</v>
      </c>
      <c r="G1417" s="43">
        <v>101.0019352989753</v>
      </c>
      <c r="H1417" s="43">
        <v>100.98057058171923</v>
      </c>
      <c r="I1417" s="43">
        <v>100.85961005566472</v>
      </c>
    </row>
    <row r="1418" spans="1:9">
      <c r="A1418" s="19">
        <v>501.2</v>
      </c>
      <c r="B1418" s="43">
        <v>98.975763801834859</v>
      </c>
      <c r="C1418" s="43">
        <v>99.741334494843585</v>
      </c>
      <c r="D1418" s="43">
        <v>100.30746465336671</v>
      </c>
      <c r="E1418" s="43">
        <v>100.69537069041129</v>
      </c>
      <c r="F1418" s="43">
        <v>100.92677107621546</v>
      </c>
      <c r="G1418" s="43">
        <v>101.02242615049298</v>
      </c>
      <c r="H1418" s="43">
        <v>101.00139280336447</v>
      </c>
      <c r="I1418" s="43">
        <v>100.88073644500125</v>
      </c>
    </row>
    <row r="1419" spans="1:9">
      <c r="A1419" s="19">
        <v>501.3</v>
      </c>
      <c r="B1419" s="43">
        <v>98.994332820674487</v>
      </c>
      <c r="C1419" s="43">
        <v>99.76029578534397</v>
      </c>
      <c r="D1419" s="43">
        <v>100.32682577333779</v>
      </c>
      <c r="E1419" s="43">
        <v>100.71512565768228</v>
      </c>
      <c r="F1419" s="43">
        <v>100.94690440631902</v>
      </c>
      <c r="G1419" s="43">
        <v>101.04291618685437</v>
      </c>
      <c r="H1419" s="43">
        <v>101.02221423152906</v>
      </c>
      <c r="I1419" s="43">
        <v>100.90186207806684</v>
      </c>
    </row>
    <row r="1420" spans="1:9">
      <c r="A1420" s="19">
        <v>501.4</v>
      </c>
      <c r="B1420" s="43">
        <v>99.012901271397936</v>
      </c>
      <c r="C1420" s="43">
        <v>99.779256401046439</v>
      </c>
      <c r="D1420" s="43">
        <v>100.34618614226929</v>
      </c>
      <c r="E1420" s="43">
        <v>100.73487982725189</v>
      </c>
      <c r="F1420" s="43">
        <v>100.96703691865284</v>
      </c>
      <c r="G1420" s="43">
        <v>101.06340540814298</v>
      </c>
      <c r="H1420" s="43">
        <v>101.04303486624687</v>
      </c>
      <c r="I1420" s="43">
        <v>100.92298695484669</v>
      </c>
    </row>
    <row r="1421" spans="1:9">
      <c r="A1421" s="19">
        <v>501.5</v>
      </c>
      <c r="B1421" s="43">
        <v>99.031469154376708</v>
      </c>
      <c r="C1421" s="43">
        <v>99.79821634232195</v>
      </c>
      <c r="D1421" s="43">
        <v>100.36554576046092</v>
      </c>
      <c r="E1421" s="43">
        <v>100.75463319936802</v>
      </c>
      <c r="F1421" s="43">
        <v>100.98716861342334</v>
      </c>
      <c r="G1421" s="43">
        <v>101.08389381449163</v>
      </c>
      <c r="H1421" s="43">
        <v>101.06385470759639</v>
      </c>
      <c r="I1421" s="43">
        <v>100.94411107535089</v>
      </c>
    </row>
    <row r="1422" spans="1:9">
      <c r="A1422" s="19">
        <v>501.6</v>
      </c>
      <c r="B1422" s="43">
        <v>99.050036469940324</v>
      </c>
      <c r="C1422" s="43">
        <v>99.817175609465863</v>
      </c>
      <c r="D1422" s="43">
        <v>100.38490462818086</v>
      </c>
      <c r="E1422" s="43">
        <v>100.77438577427108</v>
      </c>
      <c r="F1422" s="43">
        <v>101.00729949079323</v>
      </c>
      <c r="G1422" s="43">
        <v>101.10438140601059</v>
      </c>
      <c r="H1422" s="43">
        <v>101.08467375562168</v>
      </c>
      <c r="I1422" s="43">
        <v>100.96523443957236</v>
      </c>
    </row>
    <row r="1423" spans="1:9">
      <c r="A1423" s="19">
        <v>501.7</v>
      </c>
      <c r="B1423" s="43">
        <v>99.068603218425125</v>
      </c>
      <c r="C1423" s="43">
        <v>99.836134202782858</v>
      </c>
      <c r="D1423" s="43">
        <v>100.40426274571271</v>
      </c>
      <c r="E1423" s="43">
        <v>100.79413755216956</v>
      </c>
      <c r="F1423" s="43">
        <v>101.02742955092509</v>
      </c>
      <c r="G1423" s="43">
        <v>101.12486818280752</v>
      </c>
      <c r="H1423" s="43">
        <v>101.10549201037443</v>
      </c>
      <c r="I1423" s="43">
        <v>100.98635704750413</v>
      </c>
    </row>
    <row r="1424" spans="1:9">
      <c r="A1424" s="19">
        <v>501.8</v>
      </c>
      <c r="B1424" s="43">
        <v>99.087169400111748</v>
      </c>
      <c r="C1424" s="43">
        <v>99.855092122567982</v>
      </c>
      <c r="D1424" s="43">
        <v>100.42362011330678</v>
      </c>
      <c r="E1424" s="43">
        <v>100.81388853329597</v>
      </c>
      <c r="F1424" s="43">
        <v>101.04755879398692</v>
      </c>
      <c r="G1424" s="43">
        <v>101.14535414498911</v>
      </c>
      <c r="H1424" s="43">
        <v>101.12630947191892</v>
      </c>
      <c r="I1424" s="43">
        <v>101.007478899147</v>
      </c>
    </row>
    <row r="1425" spans="1:9">
      <c r="A1425" s="19">
        <v>501.9</v>
      </c>
      <c r="B1425" s="43">
        <v>99.105735015418077</v>
      </c>
      <c r="C1425" s="43">
        <v>99.874049369199383</v>
      </c>
      <c r="D1425" s="43">
        <v>100.44297673128682</v>
      </c>
      <c r="E1425" s="43">
        <v>100.83363871788973</v>
      </c>
      <c r="F1425" s="43">
        <v>101.06768722016986</v>
      </c>
      <c r="G1425" s="43">
        <v>101.165839292692</v>
      </c>
      <c r="H1425" s="43">
        <v>101.1471261403002</v>
      </c>
      <c r="I1425" s="43">
        <v>101.02859999449885</v>
      </c>
    </row>
    <row r="1426" spans="1:9">
      <c r="A1426" s="19">
        <v>502</v>
      </c>
      <c r="B1426" s="43">
        <v>99.124300064656182</v>
      </c>
      <c r="C1426" s="43">
        <v>99.893005942972167</v>
      </c>
      <c r="D1426" s="43">
        <v>100.46233259991251</v>
      </c>
      <c r="E1426" s="43">
        <v>100.85338810617174</v>
      </c>
      <c r="F1426" s="43">
        <v>101.0878148296361</v>
      </c>
      <c r="G1426" s="43">
        <v>101.18632362602131</v>
      </c>
      <c r="H1426" s="43">
        <v>101.16794201558756</v>
      </c>
      <c r="I1426" s="43">
        <v>101.04972033356154</v>
      </c>
    </row>
    <row r="1427" spans="1:9">
      <c r="A1427" s="19">
        <v>502.1</v>
      </c>
      <c r="B1427" s="43">
        <v>99.142864548174117</v>
      </c>
      <c r="C1427" s="43">
        <v>99.911961844213891</v>
      </c>
      <c r="D1427" s="43">
        <v>100.48168771948619</v>
      </c>
      <c r="E1427" s="43">
        <v>100.87313669838991</v>
      </c>
      <c r="F1427" s="43">
        <v>101.10794162257784</v>
      </c>
      <c r="G1427" s="43">
        <v>101.20680714510152</v>
      </c>
      <c r="H1427" s="43">
        <v>101.18875709783688</v>
      </c>
      <c r="I1427" s="43">
        <v>101.07083991633183</v>
      </c>
    </row>
    <row r="1428" spans="1:9">
      <c r="A1428" s="19">
        <v>502.2</v>
      </c>
      <c r="B1428" s="43">
        <v>99.1614284662258</v>
      </c>
      <c r="C1428" s="43">
        <v>99.93091707316745</v>
      </c>
      <c r="D1428" s="43">
        <v>100.5010420902164</v>
      </c>
      <c r="E1428" s="43">
        <v>100.89288449472784</v>
      </c>
      <c r="F1428" s="43">
        <v>101.12806759912806</v>
      </c>
      <c r="G1428" s="43">
        <v>101.22728985001575</v>
      </c>
      <c r="H1428" s="43">
        <v>101.20957138708482</v>
      </c>
      <c r="I1428" s="43">
        <v>101.09195874280366</v>
      </c>
    </row>
    <row r="1429" spans="1:9">
      <c r="A1429" s="19">
        <v>502.3</v>
      </c>
      <c r="B1429" s="43">
        <v>99.179991819283259</v>
      </c>
      <c r="C1429" s="43">
        <v>99.94987163027281</v>
      </c>
      <c r="D1429" s="43">
        <v>100.52039571248099</v>
      </c>
      <c r="E1429" s="43">
        <v>100.91263149548971</v>
      </c>
      <c r="F1429" s="43">
        <v>101.14819275952544</v>
      </c>
      <c r="G1429" s="43">
        <v>101.24777174092884</v>
      </c>
      <c r="H1429" s="43">
        <v>101.23038488341476</v>
      </c>
      <c r="I1429" s="43">
        <v>101.11307681298305</v>
      </c>
    </row>
    <row r="1430" spans="1:9">
      <c r="A1430" s="19">
        <v>502.4</v>
      </c>
      <c r="B1430" s="43">
        <v>99.198554607555508</v>
      </c>
      <c r="C1430" s="43">
        <v>99.968825515730487</v>
      </c>
      <c r="D1430" s="43">
        <v>100.53974858648357</v>
      </c>
      <c r="E1430" s="43">
        <v>100.93237770082905</v>
      </c>
      <c r="F1430" s="43">
        <v>101.16831710387316</v>
      </c>
      <c r="G1430" s="43">
        <v>101.26825281790443</v>
      </c>
      <c r="H1430" s="43">
        <v>101.25119758686253</v>
      </c>
      <c r="I1430" s="43">
        <v>101.13419412686105</v>
      </c>
    </row>
    <row r="1431" spans="1:9">
      <c r="A1431" s="19">
        <v>502.5</v>
      </c>
      <c r="B1431" s="43">
        <v>99.217116831421578</v>
      </c>
      <c r="C1431" s="43">
        <v>99.987778729898167</v>
      </c>
      <c r="D1431" s="43">
        <v>100.55910071251358</v>
      </c>
      <c r="E1431" s="43">
        <v>100.95212311098987</v>
      </c>
      <c r="F1431" s="43">
        <v>101.18844063237427</v>
      </c>
      <c r="G1431" s="43">
        <v>101.2887330810841</v>
      </c>
      <c r="H1431" s="43">
        <v>101.27200949748612</v>
      </c>
      <c r="I1431" s="43">
        <v>101.15531068444034</v>
      </c>
    </row>
    <row r="1432" spans="1:9">
      <c r="A1432" s="19">
        <v>502.6</v>
      </c>
      <c r="B1432" s="43">
        <v>99.235678491202691</v>
      </c>
      <c r="C1432" s="43">
        <v>100.00673127309719</v>
      </c>
      <c r="D1432" s="43">
        <v>100.57845209084974</v>
      </c>
      <c r="E1432" s="43">
        <v>100.9718677262255</v>
      </c>
      <c r="F1432" s="43">
        <v>101.20856334519615</v>
      </c>
      <c r="G1432" s="43">
        <v>101.3092125305713</v>
      </c>
      <c r="H1432" s="43">
        <v>101.2928206153467</v>
      </c>
      <c r="I1432" s="43">
        <v>101.17642648571652</v>
      </c>
    </row>
    <row r="1433" spans="1:9">
      <c r="A1433" s="19">
        <v>502.7</v>
      </c>
      <c r="B1433" s="43">
        <v>99.254239587263783</v>
      </c>
      <c r="C1433" s="43">
        <v>100.02568314563973</v>
      </c>
      <c r="D1433" s="43">
        <v>100.59780272179694</v>
      </c>
      <c r="E1433" s="43">
        <v>100.99161154676585</v>
      </c>
      <c r="F1433" s="43">
        <v>101.22868524252172</v>
      </c>
      <c r="G1433" s="43">
        <v>101.32969116649102</v>
      </c>
      <c r="H1433" s="43">
        <v>101.31363094050286</v>
      </c>
      <c r="I1433" s="43">
        <v>101.1975415306936</v>
      </c>
    </row>
    <row r="1434" spans="1:9">
      <c r="A1434" s="19">
        <v>502.8</v>
      </c>
      <c r="B1434" s="43">
        <v>99.272800119866133</v>
      </c>
      <c r="C1434" s="43">
        <v>100.04463434781715</v>
      </c>
      <c r="D1434" s="43">
        <v>100.61715260557244</v>
      </c>
      <c r="E1434" s="43">
        <v>101.01135457278644</v>
      </c>
      <c r="F1434" s="43">
        <v>101.24880632449413</v>
      </c>
      <c r="G1434" s="43">
        <v>101.35016898893804</v>
      </c>
      <c r="H1434" s="43">
        <v>101.33444047300054</v>
      </c>
      <c r="I1434" s="43">
        <v>101.21865581936314</v>
      </c>
    </row>
    <row r="1435" spans="1:9">
      <c r="A1435" s="19">
        <v>502.9</v>
      </c>
      <c r="B1435" s="43">
        <v>99.29136008945369</v>
      </c>
      <c r="C1435" s="43">
        <v>100.06358487999344</v>
      </c>
      <c r="D1435" s="43">
        <v>100.63650174254127</v>
      </c>
      <c r="E1435" s="43">
        <v>101.03109680459167</v>
      </c>
      <c r="F1435" s="43">
        <v>101.26892659133799</v>
      </c>
      <c r="G1435" s="43">
        <v>101.37064599806249</v>
      </c>
      <c r="H1435" s="43">
        <v>101.35524921291321</v>
      </c>
      <c r="I1435" s="43">
        <v>101.23976935173738</v>
      </c>
    </row>
    <row r="1436" spans="1:9">
      <c r="A1436" s="19">
        <v>503</v>
      </c>
      <c r="B1436" s="43">
        <v>99.309919496303195</v>
      </c>
      <c r="C1436" s="43">
        <v>100.08253474245876</v>
      </c>
      <c r="D1436" s="43">
        <v>100.6558501329244</v>
      </c>
      <c r="E1436" s="43">
        <v>101.0508382423653</v>
      </c>
      <c r="F1436" s="43">
        <v>101.28904604319317</v>
      </c>
      <c r="G1436" s="43">
        <v>101.39112219395918</v>
      </c>
      <c r="H1436" s="43">
        <v>101.37605716029171</v>
      </c>
      <c r="I1436" s="43">
        <v>101.26088212780746</v>
      </c>
    </row>
    <row r="1437" spans="1:9">
      <c r="A1437" s="19">
        <v>503.1</v>
      </c>
      <c r="B1437" s="43">
        <v>99.328478340749484</v>
      </c>
      <c r="C1437" s="43">
        <v>100.10148393553939</v>
      </c>
      <c r="D1437" s="43">
        <v>100.67519777702091</v>
      </c>
      <c r="E1437" s="43">
        <v>101.07057888634023</v>
      </c>
      <c r="F1437" s="43">
        <v>101.30916468023935</v>
      </c>
      <c r="G1437" s="43">
        <v>101.41159757674515</v>
      </c>
      <c r="H1437" s="43">
        <v>101.39686431519718</v>
      </c>
      <c r="I1437" s="43">
        <v>101.28199414757481</v>
      </c>
    </row>
    <row r="1438" spans="1:9">
      <c r="A1438" s="19">
        <v>503.2</v>
      </c>
      <c r="B1438" s="43">
        <v>99.347036623110711</v>
      </c>
      <c r="C1438" s="43">
        <v>100.12043245951114</v>
      </c>
      <c r="D1438" s="43">
        <v>100.69454467508055</v>
      </c>
      <c r="E1438" s="43">
        <v>101.09031873675528</v>
      </c>
      <c r="F1438" s="43">
        <v>101.32928250264308</v>
      </c>
      <c r="G1438" s="43">
        <v>101.43207214653336</v>
      </c>
      <c r="H1438" s="43">
        <v>101.41767067766835</v>
      </c>
      <c r="I1438" s="43">
        <v>101.30310541104089</v>
      </c>
    </row>
    <row r="1439" spans="1:9">
      <c r="A1439" s="19">
        <v>503.3</v>
      </c>
      <c r="B1439" s="43">
        <v>99.365594343797341</v>
      </c>
      <c r="C1439" s="43">
        <v>100.13938031479191</v>
      </c>
      <c r="D1439" s="43">
        <v>100.71389082745455</v>
      </c>
      <c r="E1439" s="43">
        <v>101.11005779387588</v>
      </c>
      <c r="F1439" s="43">
        <v>101.34939951062458</v>
      </c>
      <c r="G1439" s="43">
        <v>101.45254590347233</v>
      </c>
      <c r="H1439" s="43">
        <v>101.43847624779892</v>
      </c>
      <c r="I1439" s="43">
        <v>101.32421591821245</v>
      </c>
    </row>
    <row r="1440" spans="1:9">
      <c r="A1440" s="19">
        <v>503.4</v>
      </c>
      <c r="B1440" s="43">
        <v>99.384151503020604</v>
      </c>
      <c r="C1440" s="43">
        <v>100.15832750155704</v>
      </c>
      <c r="D1440" s="43">
        <v>100.73323623431912</v>
      </c>
      <c r="E1440" s="43">
        <v>101.12979605784616</v>
      </c>
      <c r="F1440" s="43">
        <v>101.36951570427823</v>
      </c>
      <c r="G1440" s="43">
        <v>101.47301884761012</v>
      </c>
      <c r="H1440" s="43">
        <v>101.45928102560055</v>
      </c>
      <c r="I1440" s="43">
        <v>101.34532566907211</v>
      </c>
    </row>
    <row r="1441" spans="1:9">
      <c r="A1441" s="19">
        <v>503.5</v>
      </c>
      <c r="B1441" s="43">
        <v>99.402708101197618</v>
      </c>
      <c r="C1441" s="43">
        <v>100.17727402020668</v>
      </c>
      <c r="D1441" s="43">
        <v>100.75258089601067</v>
      </c>
      <c r="E1441" s="43">
        <v>101.14953352894744</v>
      </c>
      <c r="F1441" s="43">
        <v>101.38963108382828</v>
      </c>
      <c r="G1441" s="43">
        <v>101.49349097911886</v>
      </c>
      <c r="H1441" s="43">
        <v>101.48008501116959</v>
      </c>
      <c r="I1441" s="43">
        <v>101.36643466363529</v>
      </c>
    </row>
    <row r="1442" spans="1:9">
      <c r="A1442" s="19">
        <v>503.6</v>
      </c>
      <c r="B1442" s="43">
        <v>99.421264138615868</v>
      </c>
      <c r="C1442" s="43">
        <v>100.1962198710371</v>
      </c>
      <c r="D1442" s="43">
        <v>100.77192481280525</v>
      </c>
      <c r="E1442" s="43">
        <v>101.16927020741042</v>
      </c>
      <c r="F1442" s="43">
        <v>101.40974564943934</v>
      </c>
      <c r="G1442" s="43">
        <v>101.51396229809333</v>
      </c>
      <c r="H1442" s="43">
        <v>101.50088820453988</v>
      </c>
      <c r="I1442" s="43">
        <v>101.3875429018963</v>
      </c>
    </row>
    <row r="1443" spans="1:9">
      <c r="A1443" s="19">
        <v>503.7</v>
      </c>
      <c r="B1443" s="43">
        <v>99.439819615655665</v>
      </c>
      <c r="C1443" s="43">
        <v>100.21516505435838</v>
      </c>
      <c r="D1443" s="43">
        <v>100.79126798496037</v>
      </c>
      <c r="E1443" s="43">
        <v>101.18900609343851</v>
      </c>
      <c r="F1443" s="43">
        <v>101.42985940127838</v>
      </c>
      <c r="G1443" s="43">
        <v>101.53443280465501</v>
      </c>
      <c r="H1443" s="43">
        <v>101.52169060578461</v>
      </c>
      <c r="I1443" s="43">
        <v>101.40865038386158</v>
      </c>
    </row>
    <row r="1444" spans="1:9">
      <c r="A1444" s="19">
        <v>503.8</v>
      </c>
      <c r="B1444" s="43">
        <v>99.458374532593439</v>
      </c>
      <c r="C1444" s="43">
        <v>100.23410957046775</v>
      </c>
      <c r="D1444" s="43">
        <v>100.81061041276362</v>
      </c>
      <c r="E1444" s="43">
        <v>101.20874118728602</v>
      </c>
      <c r="F1444" s="43">
        <v>101.4499723395225</v>
      </c>
      <c r="G1444" s="43">
        <v>101.5549024989113</v>
      </c>
      <c r="H1444" s="43">
        <v>101.54249221495047</v>
      </c>
      <c r="I1444" s="43">
        <v>101.42975710952635</v>
      </c>
    </row>
    <row r="1445" spans="1:9">
      <c r="A1445" s="19">
        <v>503.9</v>
      </c>
      <c r="B1445" s="43">
        <v>99.47692888978446</v>
      </c>
      <c r="C1445" s="43">
        <v>100.25305341971824</v>
      </c>
      <c r="D1445" s="43">
        <v>100.82995209650304</v>
      </c>
      <c r="E1445" s="43">
        <v>101.22847548917312</v>
      </c>
      <c r="F1445" s="43">
        <v>101.47008446434469</v>
      </c>
      <c r="G1445" s="43">
        <v>101.57537138098257</v>
      </c>
      <c r="H1445" s="43">
        <v>101.56329303210259</v>
      </c>
      <c r="I1445" s="43">
        <v>101.4508630788927</v>
      </c>
    </row>
    <row r="1446" spans="1:9">
      <c r="A1446" s="19">
        <v>504</v>
      </c>
      <c r="B1446" s="43">
        <v>99.495482687623479</v>
      </c>
      <c r="C1446" s="43">
        <v>100.27199660242024</v>
      </c>
      <c r="D1446" s="43">
        <v>100.84929303646575</v>
      </c>
      <c r="E1446" s="43">
        <v>101.24820899934144</v>
      </c>
      <c r="F1446" s="43">
        <v>101.49019577594331</v>
      </c>
      <c r="G1446" s="43">
        <v>101.59583945100786</v>
      </c>
      <c r="H1446" s="43">
        <v>101.58409305730552</v>
      </c>
      <c r="I1446" s="43">
        <v>101.47196829197222</v>
      </c>
    </row>
    <row r="1447" spans="1:9">
      <c r="A1447" s="19">
        <v>504.1</v>
      </c>
      <c r="B1447" s="43">
        <v>99.514035926375811</v>
      </c>
      <c r="C1447" s="43">
        <v>100.29093911888589</v>
      </c>
      <c r="D1447" s="43">
        <v>100.86863323291047</v>
      </c>
      <c r="E1447" s="43">
        <v>101.26794171800762</v>
      </c>
      <c r="F1447" s="43">
        <v>101.5103062744675</v>
      </c>
      <c r="G1447" s="43">
        <v>101.6163067090836</v>
      </c>
      <c r="H1447" s="43">
        <v>101.60489229061312</v>
      </c>
      <c r="I1447" s="43">
        <v>101.49307274875548</v>
      </c>
    </row>
    <row r="1448" spans="1:9">
      <c r="A1448" s="19">
        <v>504.2</v>
      </c>
      <c r="B1448" s="43">
        <v>99.532588606381125</v>
      </c>
      <c r="C1448" s="43">
        <v>100.30988096942008</v>
      </c>
      <c r="D1448" s="43">
        <v>100.88797268612726</v>
      </c>
      <c r="E1448" s="43">
        <v>101.28767364541744</v>
      </c>
      <c r="F1448" s="43">
        <v>101.53041596010283</v>
      </c>
      <c r="G1448" s="43">
        <v>101.63677315532442</v>
      </c>
      <c r="H1448" s="43">
        <v>101.62569073208141</v>
      </c>
      <c r="I1448" s="43">
        <v>101.51417644924993</v>
      </c>
    </row>
    <row r="1449" spans="1:9">
      <c r="A1449" s="19">
        <v>504.3</v>
      </c>
      <c r="B1449" s="43">
        <v>99.551140728007169</v>
      </c>
      <c r="C1449" s="43">
        <v>100.32882215435382</v>
      </c>
      <c r="D1449" s="43">
        <v>100.90731139639314</v>
      </c>
      <c r="E1449" s="43">
        <v>101.30740478177893</v>
      </c>
      <c r="F1449" s="43">
        <v>101.55052483302163</v>
      </c>
      <c r="G1449" s="43">
        <v>101.65723878985463</v>
      </c>
      <c r="H1449" s="43">
        <v>101.64648838177442</v>
      </c>
      <c r="I1449" s="43">
        <v>101.53527939345565</v>
      </c>
    </row>
    <row r="1450" spans="1:9">
      <c r="A1450" s="19">
        <v>504.4</v>
      </c>
      <c r="B1450" s="43">
        <v>99.569692291557345</v>
      </c>
      <c r="C1450" s="43">
        <v>100.34776267399073</v>
      </c>
      <c r="D1450" s="43">
        <v>100.92664936398663</v>
      </c>
      <c r="E1450" s="43">
        <v>101.32713512733736</v>
      </c>
      <c r="F1450" s="43">
        <v>101.57063289339717</v>
      </c>
      <c r="G1450" s="43">
        <v>101.67770361279779</v>
      </c>
      <c r="H1450" s="43">
        <v>101.66728523975019</v>
      </c>
      <c r="I1450" s="43">
        <v>101.5563815813781</v>
      </c>
    </row>
    <row r="1451" spans="1:9">
      <c r="A1451" s="19">
        <v>504.5</v>
      </c>
      <c r="B1451" s="43">
        <v>99.588243297356712</v>
      </c>
      <c r="C1451" s="43">
        <v>100.3667025286349</v>
      </c>
      <c r="D1451" s="43">
        <v>100.94598658916308</v>
      </c>
      <c r="E1451" s="43">
        <v>101.34686468230296</v>
      </c>
      <c r="F1451" s="43">
        <v>101.59074014139688</v>
      </c>
      <c r="G1451" s="43">
        <v>101.69816762425185</v>
      </c>
      <c r="H1451" s="43">
        <v>101.68808130606391</v>
      </c>
      <c r="I1451" s="43">
        <v>101.57748301301405</v>
      </c>
    </row>
    <row r="1452" spans="1:9">
      <c r="A1452" s="19">
        <v>504.6</v>
      </c>
      <c r="B1452" s="43">
        <v>99.606793745745563</v>
      </c>
      <c r="C1452" s="43">
        <v>100.38564171861503</v>
      </c>
      <c r="D1452" s="43">
        <v>100.9653230722277</v>
      </c>
      <c r="E1452" s="43">
        <v>101.36659344692086</v>
      </c>
      <c r="F1452" s="43">
        <v>101.6108465772075</v>
      </c>
      <c r="G1452" s="43">
        <v>101.71863082434228</v>
      </c>
      <c r="H1452" s="43">
        <v>101.70887658077436</v>
      </c>
      <c r="I1452" s="43">
        <v>101.59858368836859</v>
      </c>
    </row>
    <row r="1453" spans="1:9">
      <c r="A1453" s="19">
        <v>504.7</v>
      </c>
      <c r="B1453" s="43">
        <v>99.625343637026361</v>
      </c>
      <c r="C1453" s="43">
        <v>100.40458024421281</v>
      </c>
      <c r="D1453" s="43">
        <v>100.9846588134221</v>
      </c>
      <c r="E1453" s="43">
        <v>101.38632142140554</v>
      </c>
      <c r="F1453" s="43">
        <v>101.63095220098543</v>
      </c>
      <c r="G1453" s="43">
        <v>101.73909321318428</v>
      </c>
      <c r="H1453" s="43">
        <v>101.72967106394606</v>
      </c>
      <c r="I1453" s="43">
        <v>101.61968360744197</v>
      </c>
    </row>
    <row r="1454" spans="1:9">
      <c r="A1454" s="19">
        <v>504.8</v>
      </c>
      <c r="B1454" s="43">
        <v>99.64389297158192</v>
      </c>
      <c r="C1454" s="43">
        <v>100.42351810578478</v>
      </c>
      <c r="D1454" s="43">
        <v>101.00399381307233</v>
      </c>
      <c r="E1454" s="43">
        <v>101.40604860601988</v>
      </c>
      <c r="F1454" s="43">
        <v>101.65105701291836</v>
      </c>
      <c r="G1454" s="43">
        <v>101.75955479090945</v>
      </c>
      <c r="H1454" s="43">
        <v>101.75046475563911</v>
      </c>
      <c r="I1454" s="43">
        <v>101.64078277024331</v>
      </c>
    </row>
    <row r="1455" spans="1:9">
      <c r="A1455" s="19">
        <v>504.9</v>
      </c>
      <c r="B1455" s="43">
        <v>99.662441749717061</v>
      </c>
      <c r="C1455" s="43">
        <v>100.44245530361889</v>
      </c>
      <c r="D1455" s="43">
        <v>101.02332807141494</v>
      </c>
      <c r="E1455" s="43">
        <v>101.4257750009391</v>
      </c>
      <c r="F1455" s="43">
        <v>101.67116101318459</v>
      </c>
      <c r="G1455" s="43">
        <v>101.78001555761361</v>
      </c>
      <c r="H1455" s="43">
        <v>101.7712576559039</v>
      </c>
      <c r="I1455" s="43">
        <v>101.6618811767672</v>
      </c>
    </row>
    <row r="1456" spans="1:9">
      <c r="A1456" s="19">
        <v>505</v>
      </c>
      <c r="B1456" s="43">
        <v>99.68098997181022</v>
      </c>
      <c r="C1456" s="43">
        <v>100.46139183808245</v>
      </c>
      <c r="D1456" s="43">
        <v>101.04266158879528</v>
      </c>
      <c r="E1456" s="43">
        <v>101.4455006064681</v>
      </c>
      <c r="F1456" s="43">
        <v>101.69126420196693</v>
      </c>
      <c r="G1456" s="43">
        <v>101.80047551345348</v>
      </c>
      <c r="H1456" s="43">
        <v>101.79204976482427</v>
      </c>
      <c r="I1456" s="43">
        <v>101.68297882703291</v>
      </c>
    </row>
    <row r="1457" spans="1:9">
      <c r="A1457" s="19">
        <v>505.1</v>
      </c>
      <c r="B1457" s="43">
        <v>99.699537638115828</v>
      </c>
      <c r="C1457" s="43">
        <v>100.48032770941484</v>
      </c>
      <c r="D1457" s="43">
        <v>101.06199436541357</v>
      </c>
      <c r="E1457" s="43">
        <v>101.46522542277739</v>
      </c>
      <c r="F1457" s="43">
        <v>101.71136657942247</v>
      </c>
      <c r="G1457" s="43">
        <v>101.82093465849366</v>
      </c>
      <c r="H1457" s="43">
        <v>101.81284108243477</v>
      </c>
      <c r="I1457" s="43">
        <v>101.70407572102528</v>
      </c>
    </row>
    <row r="1458" spans="1:9">
      <c r="A1458" s="19">
        <v>505.2</v>
      </c>
      <c r="B1458" s="43">
        <v>99.71808474904239</v>
      </c>
      <c r="C1458" s="43">
        <v>100.49926291799974</v>
      </c>
      <c r="D1458" s="43">
        <v>101.08132640160204</v>
      </c>
      <c r="E1458" s="43">
        <v>101.48494945012075</v>
      </c>
      <c r="F1458" s="43">
        <v>101.73146814575043</v>
      </c>
      <c r="G1458" s="43">
        <v>101.84139299290166</v>
      </c>
      <c r="H1458" s="43">
        <v>101.83363160881342</v>
      </c>
      <c r="I1458" s="43">
        <v>101.72517185876382</v>
      </c>
    </row>
    <row r="1459" spans="1:9">
      <c r="A1459" s="19">
        <v>505.3</v>
      </c>
      <c r="B1459" s="43">
        <v>99.736631304895099</v>
      </c>
      <c r="C1459" s="43">
        <v>100.51819746411849</v>
      </c>
      <c r="D1459" s="43">
        <v>101.10065769760777</v>
      </c>
      <c r="E1459" s="43">
        <v>101.50467268873646</v>
      </c>
      <c r="F1459" s="43">
        <v>101.75156890110975</v>
      </c>
      <c r="G1459" s="43">
        <v>101.86185051676628</v>
      </c>
      <c r="H1459" s="43">
        <v>101.85442134401282</v>
      </c>
      <c r="I1459" s="43">
        <v>101.74626724024066</v>
      </c>
    </row>
    <row r="1460" spans="1:9">
      <c r="A1460" s="19">
        <v>505.4</v>
      </c>
      <c r="B1460" s="43">
        <v>99.755177305948735</v>
      </c>
      <c r="C1460" s="43">
        <v>100.5371313480658</v>
      </c>
      <c r="D1460" s="43">
        <v>101.11998825372658</v>
      </c>
      <c r="E1460" s="43">
        <v>101.52439513882879</v>
      </c>
      <c r="F1460" s="43">
        <v>101.77166884565801</v>
      </c>
      <c r="G1460" s="43">
        <v>101.88230723021312</v>
      </c>
      <c r="H1460" s="43">
        <v>101.87521028809385</v>
      </c>
      <c r="I1460" s="43">
        <v>101.7673618654639</v>
      </c>
    </row>
    <row r="1461" spans="1:9">
      <c r="A1461" s="19">
        <v>505.5</v>
      </c>
      <c r="B1461" s="43">
        <v>99.773722752604101</v>
      </c>
      <c r="C1461" s="43">
        <v>100.55606457017552</v>
      </c>
      <c r="D1461" s="43">
        <v>101.1393180702224</v>
      </c>
      <c r="E1461" s="43">
        <v>101.5441168006341</v>
      </c>
      <c r="F1461" s="43">
        <v>101.79176797960287</v>
      </c>
      <c r="G1461" s="43">
        <v>101.90276313335582</v>
      </c>
      <c r="H1461" s="43">
        <v>101.89599844111592</v>
      </c>
      <c r="I1461" s="43">
        <v>101.78845573443752</v>
      </c>
    </row>
    <row r="1462" spans="1:9">
      <c r="A1462" s="19">
        <v>505.6</v>
      </c>
      <c r="B1462" s="43">
        <v>99.792267645155817</v>
      </c>
      <c r="C1462" s="43">
        <v>100.57499713076518</v>
      </c>
      <c r="D1462" s="43">
        <v>101.15864714737418</v>
      </c>
      <c r="E1462" s="43">
        <v>101.56383767439453</v>
      </c>
      <c r="F1462" s="43">
        <v>101.81186630310313</v>
      </c>
      <c r="G1462" s="43">
        <v>101.9232182263228</v>
      </c>
      <c r="H1462" s="43">
        <v>101.91678580314385</v>
      </c>
      <c r="I1462" s="43">
        <v>101.80954884716917</v>
      </c>
    </row>
    <row r="1463" spans="1:9">
      <c r="A1463" s="19">
        <v>505.7</v>
      </c>
      <c r="B1463" s="43">
        <v>99.810811983957962</v>
      </c>
      <c r="C1463" s="43">
        <v>100.59392903016487</v>
      </c>
      <c r="D1463" s="43">
        <v>101.17797548547006</v>
      </c>
      <c r="E1463" s="43">
        <v>101.58355776034901</v>
      </c>
      <c r="F1463" s="43">
        <v>101.8319638163409</v>
      </c>
      <c r="G1463" s="43">
        <v>101.94367250922795</v>
      </c>
      <c r="H1463" s="43">
        <v>101.93757237424143</v>
      </c>
      <c r="I1463" s="43">
        <v>101.83064120365933</v>
      </c>
    </row>
    <row r="1464" spans="1:9">
      <c r="A1464" s="19">
        <v>505.8</v>
      </c>
      <c r="B1464" s="43">
        <v>99.829355769292476</v>
      </c>
      <c r="C1464" s="43">
        <v>100.61286026860182</v>
      </c>
      <c r="D1464" s="43">
        <v>101.19730308476989</v>
      </c>
      <c r="E1464" s="43">
        <v>101.60327705866825</v>
      </c>
      <c r="F1464" s="43">
        <v>101.85206051947384</v>
      </c>
      <c r="G1464" s="43">
        <v>101.96412598217381</v>
      </c>
      <c r="H1464" s="43">
        <v>101.9583581544529</v>
      </c>
      <c r="I1464" s="43">
        <v>101.85173280390921</v>
      </c>
    </row>
    <row r="1465" spans="1:9">
      <c r="A1465" s="19">
        <v>505.9</v>
      </c>
      <c r="B1465" s="43">
        <v>99.84789900158961</v>
      </c>
      <c r="C1465" s="43">
        <v>100.63179084653345</v>
      </c>
      <c r="D1465" s="43">
        <v>101.21662994558429</v>
      </c>
      <c r="E1465" s="43">
        <v>101.62299556967974</v>
      </c>
      <c r="F1465" s="43">
        <v>101.87215641271723</v>
      </c>
      <c r="G1465" s="43">
        <v>101.98457864532185</v>
      </c>
      <c r="H1465" s="43">
        <v>101.97914314386873</v>
      </c>
      <c r="I1465" s="43">
        <v>101.87282364793492</v>
      </c>
    </row>
    <row r="1466" spans="1:9">
      <c r="A1466" s="19">
        <v>506</v>
      </c>
      <c r="B1466" s="43">
        <v>99.86644168107054</v>
      </c>
      <c r="C1466" s="43">
        <v>100.65072076413989</v>
      </c>
      <c r="D1466" s="43">
        <v>101.23595606816477</v>
      </c>
      <c r="E1466" s="43">
        <v>101.64271329352567</v>
      </c>
      <c r="F1466" s="43">
        <v>101.89225149620074</v>
      </c>
      <c r="G1466" s="43">
        <v>102.00503049874803</v>
      </c>
      <c r="H1466" s="43">
        <v>101.99992734252291</v>
      </c>
      <c r="I1466" s="43">
        <v>101.89391373573045</v>
      </c>
    </row>
    <row r="1467" spans="1:9">
      <c r="A1467" s="19">
        <v>506.1</v>
      </c>
      <c r="B1467" s="43">
        <v>99.884983808136411</v>
      </c>
      <c r="C1467" s="43">
        <v>100.6696500218423</v>
      </c>
      <c r="D1467" s="43">
        <v>101.25528145281353</v>
      </c>
      <c r="E1467" s="43">
        <v>101.66243023049944</v>
      </c>
      <c r="F1467" s="43">
        <v>101.91234577014615</v>
      </c>
      <c r="G1467" s="43">
        <v>102.02548154259307</v>
      </c>
      <c r="H1467" s="43">
        <v>102.02071075049778</v>
      </c>
      <c r="I1467" s="43">
        <v>101.91500306730887</v>
      </c>
    </row>
    <row r="1468" spans="1:9">
      <c r="A1468" s="19">
        <v>506.2</v>
      </c>
      <c r="B1468" s="43">
        <v>99.903525383126947</v>
      </c>
      <c r="C1468" s="43">
        <v>100.68857861989744</v>
      </c>
      <c r="D1468" s="43">
        <v>101.2746060997859</v>
      </c>
      <c r="E1468" s="43">
        <v>101.68214638081395</v>
      </c>
      <c r="F1468" s="43">
        <v>101.93243923470294</v>
      </c>
      <c r="G1468" s="43">
        <v>102.04593177697976</v>
      </c>
      <c r="H1468" s="43">
        <v>102.04149336784894</v>
      </c>
      <c r="I1468" s="43">
        <v>101.93609164267463</v>
      </c>
    </row>
    <row r="1469" spans="1:9">
      <c r="A1469" s="19">
        <v>506.3</v>
      </c>
      <c r="B1469" s="43">
        <v>99.92206640634663</v>
      </c>
      <c r="C1469" s="43">
        <v>100.70750655864518</v>
      </c>
      <c r="D1469" s="43">
        <v>101.29393000938748</v>
      </c>
      <c r="E1469" s="43">
        <v>101.70186174468947</v>
      </c>
      <c r="F1469" s="43">
        <v>101.95253189006507</v>
      </c>
      <c r="G1469" s="43">
        <v>102.06638120202561</v>
      </c>
      <c r="H1469" s="43">
        <v>102.06227519464079</v>
      </c>
      <c r="I1469" s="43">
        <v>101.95717946183288</v>
      </c>
    </row>
    <row r="1470" spans="1:9">
      <c r="A1470" s="19">
        <v>506.4</v>
      </c>
      <c r="B1470" s="43">
        <v>99.940606878081837</v>
      </c>
      <c r="C1470" s="43">
        <v>100.72643383834611</v>
      </c>
      <c r="D1470" s="43">
        <v>101.31325318185171</v>
      </c>
      <c r="E1470" s="43">
        <v>101.72157632233399</v>
      </c>
      <c r="F1470" s="43">
        <v>101.97262373636832</v>
      </c>
      <c r="G1470" s="43">
        <v>102.08682981782314</v>
      </c>
      <c r="H1470" s="43">
        <v>102.08305623092255</v>
      </c>
      <c r="I1470" s="43">
        <v>101.97826652478611</v>
      </c>
    </row>
    <row r="1471" spans="1:9">
      <c r="A1471" s="19">
        <v>506.5</v>
      </c>
      <c r="B1471" s="43">
        <v>99.95914679874943</v>
      </c>
      <c r="C1471" s="43">
        <v>100.74536045939533</v>
      </c>
      <c r="D1471" s="43">
        <v>101.33257561752021</v>
      </c>
      <c r="E1471" s="43">
        <v>101.74129011404503</v>
      </c>
      <c r="F1471" s="43">
        <v>101.99271477385321</v>
      </c>
      <c r="G1471" s="43">
        <v>102.10727762454252</v>
      </c>
      <c r="H1471" s="43">
        <v>102.10383647677833</v>
      </c>
      <c r="I1471" s="43">
        <v>101.99935283154693</v>
      </c>
    </row>
    <row r="1472" spans="1:9">
      <c r="A1472" s="19">
        <v>506.6</v>
      </c>
      <c r="B1472" s="43">
        <v>99.977686168590139</v>
      </c>
      <c r="C1472" s="43">
        <v>100.76428642201333</v>
      </c>
      <c r="D1472" s="43">
        <v>101.35189731659608</v>
      </c>
      <c r="E1472" s="43">
        <v>101.76100311996828</v>
      </c>
      <c r="F1472" s="43">
        <v>102.01280500262308</v>
      </c>
      <c r="G1472" s="43">
        <v>102.12772462223995</v>
      </c>
      <c r="H1472" s="43">
        <v>102.12461593224035</v>
      </c>
      <c r="I1472" s="43">
        <v>102.02043838210591</v>
      </c>
    </row>
    <row r="1473" spans="1:9">
      <c r="A1473" s="19">
        <v>506.7</v>
      </c>
      <c r="B1473" s="43">
        <v>99.996224987993855</v>
      </c>
      <c r="C1473" s="43">
        <v>100.78321172658795</v>
      </c>
      <c r="D1473" s="43">
        <v>101.37121827941311</v>
      </c>
      <c r="E1473" s="43">
        <v>101.78071534039978</v>
      </c>
      <c r="F1473" s="43">
        <v>102.03289442291543</v>
      </c>
      <c r="G1473" s="43">
        <v>102.14817081109533</v>
      </c>
      <c r="H1473" s="43">
        <v>102.14539459740118</v>
      </c>
      <c r="I1473" s="43">
        <v>102.0415231764905</v>
      </c>
    </row>
    <row r="1474" spans="1:9">
      <c r="A1474" s="19">
        <v>506.8</v>
      </c>
      <c r="B1474" s="43">
        <v>100.01476325724079</v>
      </c>
      <c r="C1474" s="43">
        <v>100.80213637337849</v>
      </c>
      <c r="D1474" s="43">
        <v>101.39053850619848</v>
      </c>
      <c r="E1474" s="43">
        <v>101.80042677552476</v>
      </c>
      <c r="F1474" s="43">
        <v>102.05298303484639</v>
      </c>
      <c r="G1474" s="43">
        <v>102.168616191175</v>
      </c>
      <c r="H1474" s="43">
        <v>102.16617247229956</v>
      </c>
      <c r="I1474" s="43">
        <v>102.06260721468598</v>
      </c>
    </row>
    <row r="1475" spans="1:9">
      <c r="A1475" s="19">
        <v>506.9</v>
      </c>
      <c r="B1475" s="43">
        <v>100.03330097673552</v>
      </c>
      <c r="C1475" s="43">
        <v>100.82106036275363</v>
      </c>
      <c r="D1475" s="43">
        <v>101.40985799729467</v>
      </c>
      <c r="E1475" s="43">
        <v>101.82013742561725</v>
      </c>
      <c r="F1475" s="43">
        <v>102.07307083866482</v>
      </c>
      <c r="G1475" s="43">
        <v>102.18906076264577</v>
      </c>
      <c r="H1475" s="43">
        <v>102.18694955701761</v>
      </c>
      <c r="I1475" s="43">
        <v>102.08369049671751</v>
      </c>
    </row>
    <row r="1476" spans="1:9">
      <c r="A1476" s="19">
        <v>507</v>
      </c>
      <c r="B1476" s="43">
        <v>100.05183814675007</v>
      </c>
      <c r="C1476" s="43">
        <v>100.83998369498002</v>
      </c>
      <c r="D1476" s="43">
        <v>101.42917675294368</v>
      </c>
      <c r="E1476" s="43">
        <v>101.83984729087484</v>
      </c>
      <c r="F1476" s="43">
        <v>102.09315783449833</v>
      </c>
      <c r="G1476" s="43">
        <v>102.20950452559759</v>
      </c>
      <c r="H1476" s="43">
        <v>102.20772585160927</v>
      </c>
      <c r="I1476" s="43">
        <v>102.10477302258042</v>
      </c>
    </row>
    <row r="1477" spans="1:9">
      <c r="A1477" s="19">
        <v>507.1</v>
      </c>
      <c r="B1477" s="43">
        <v>100.07037476764759</v>
      </c>
      <c r="C1477" s="43">
        <v>100.85890637042229</v>
      </c>
      <c r="D1477" s="43">
        <v>101.44849477342572</v>
      </c>
      <c r="E1477" s="43">
        <v>101.85955637155678</v>
      </c>
      <c r="F1477" s="43">
        <v>102.11324402254661</v>
      </c>
      <c r="G1477" s="43">
        <v>102.22994748018479</v>
      </c>
      <c r="H1477" s="43">
        <v>102.22850135614704</v>
      </c>
      <c r="I1477" s="43">
        <v>102.12585479229136</v>
      </c>
    </row>
    <row r="1478" spans="1:9">
      <c r="A1478" s="19">
        <v>507.2</v>
      </c>
      <c r="B1478" s="43">
        <v>100.08891083974865</v>
      </c>
      <c r="C1478" s="43">
        <v>100.87782838935667</v>
      </c>
      <c r="D1478" s="43">
        <v>101.46781205903903</v>
      </c>
      <c r="E1478" s="43">
        <v>101.87926466788585</v>
      </c>
      <c r="F1478" s="43">
        <v>102.13332940297454</v>
      </c>
      <c r="G1478" s="43">
        <v>102.25038962649558</v>
      </c>
      <c r="H1478" s="43">
        <v>102.24927607068111</v>
      </c>
      <c r="I1478" s="43">
        <v>102.14693580584782</v>
      </c>
    </row>
    <row r="1479" spans="1:9">
      <c r="A1479" s="19">
        <v>507.3</v>
      </c>
      <c r="B1479" s="43">
        <v>100.10744636339871</v>
      </c>
      <c r="C1479" s="43">
        <v>100.89674975212597</v>
      </c>
      <c r="D1479" s="43">
        <v>101.48712861006749</v>
      </c>
      <c r="E1479" s="43">
        <v>101.89897218009776</v>
      </c>
      <c r="F1479" s="43">
        <v>102.15341397598536</v>
      </c>
      <c r="G1479" s="43">
        <v>102.27083096466515</v>
      </c>
      <c r="H1479" s="43">
        <v>102.27004999529558</v>
      </c>
      <c r="I1479" s="43">
        <v>102.16801606327044</v>
      </c>
    </row>
    <row r="1480" spans="1:9">
      <c r="A1480" s="19">
        <v>507.4</v>
      </c>
      <c r="B1480" s="43">
        <v>100.12598133889836</v>
      </c>
      <c r="C1480" s="43">
        <v>100.91567045901104</v>
      </c>
      <c r="D1480" s="43">
        <v>101.50644442675065</v>
      </c>
      <c r="E1480" s="43">
        <v>101.91867890839998</v>
      </c>
      <c r="F1480" s="43">
        <v>102.17349774172075</v>
      </c>
      <c r="G1480" s="43">
        <v>102.2912714948074</v>
      </c>
      <c r="H1480" s="43">
        <v>102.29082313003022</v>
      </c>
      <c r="I1480" s="43">
        <v>102.18909556455259</v>
      </c>
    </row>
    <row r="1481" spans="1:9">
      <c r="A1481" s="19">
        <v>507.5</v>
      </c>
      <c r="B1481" s="43">
        <v>100.14451576655495</v>
      </c>
      <c r="C1481" s="43">
        <v>100.93459051031931</v>
      </c>
      <c r="D1481" s="43">
        <v>101.52575950936364</v>
      </c>
      <c r="E1481" s="43">
        <v>101.9383848530282</v>
      </c>
      <c r="F1481" s="43">
        <v>102.19358070036026</v>
      </c>
      <c r="G1481" s="43">
        <v>102.31171121703937</v>
      </c>
      <c r="H1481" s="43">
        <v>102.31159547495579</v>
      </c>
      <c r="I1481" s="43">
        <v>102.21017430970281</v>
      </c>
    </row>
    <row r="1482" spans="1:9">
      <c r="A1482" s="19">
        <v>507.6</v>
      </c>
      <c r="B1482" s="43">
        <v>100.16304964675282</v>
      </c>
      <c r="C1482" s="43">
        <v>100.95350990639054</v>
      </c>
      <c r="D1482" s="43">
        <v>101.54507385822512</v>
      </c>
      <c r="E1482" s="43">
        <v>101.95809001423106</v>
      </c>
      <c r="F1482" s="43">
        <v>102.21366285210172</v>
      </c>
      <c r="G1482" s="43">
        <v>102.33215013149814</v>
      </c>
      <c r="H1482" s="43">
        <v>102.33236703013884</v>
      </c>
      <c r="I1482" s="43">
        <v>102.2312522987385</v>
      </c>
    </row>
    <row r="1483" spans="1:9">
      <c r="A1483" s="19">
        <v>507.7</v>
      </c>
      <c r="B1483" s="43">
        <v>100.18158297978539</v>
      </c>
      <c r="C1483" s="43">
        <v>100.97242864752982</v>
      </c>
      <c r="D1483" s="43">
        <v>101.56438747358959</v>
      </c>
      <c r="E1483" s="43">
        <v>101.97779439222987</v>
      </c>
      <c r="F1483" s="43">
        <v>102.233744197112</v>
      </c>
      <c r="G1483" s="43">
        <v>102.35258823828681</v>
      </c>
      <c r="H1483" s="43">
        <v>102.35313779564751</v>
      </c>
      <c r="I1483" s="43">
        <v>102.25232953165855</v>
      </c>
    </row>
    <row r="1484" spans="1:9">
      <c r="A1484" s="19">
        <v>507.8</v>
      </c>
      <c r="B1484" s="43">
        <v>100.20011576597645</v>
      </c>
      <c r="C1484" s="43">
        <v>100.99134673402361</v>
      </c>
      <c r="D1484" s="43">
        <v>101.58370035572338</v>
      </c>
      <c r="E1484" s="43">
        <v>101.99749798723937</v>
      </c>
      <c r="F1484" s="43">
        <v>102.25382473555902</v>
      </c>
      <c r="G1484" s="43">
        <v>102.37302553753429</v>
      </c>
      <c r="H1484" s="43">
        <v>102.37390777153709</v>
      </c>
      <c r="I1484" s="43">
        <v>102.27340600847342</v>
      </c>
    </row>
    <row r="1485" spans="1:9">
      <c r="A1485" s="19">
        <v>507.9</v>
      </c>
      <c r="B1485" s="43">
        <v>100.21864800566124</v>
      </c>
      <c r="C1485" s="43">
        <v>101.01026416622372</v>
      </c>
      <c r="D1485" s="43">
        <v>101.60301250492876</v>
      </c>
      <c r="E1485" s="43">
        <v>102.01720079951232</v>
      </c>
      <c r="F1485" s="43">
        <v>102.27390446763559</v>
      </c>
      <c r="G1485" s="43">
        <v>102.39346202935781</v>
      </c>
      <c r="H1485" s="43">
        <v>102.39467695788005</v>
      </c>
      <c r="I1485" s="43">
        <v>102.29448172919521</v>
      </c>
    </row>
    <row r="1486" spans="1:9">
      <c r="A1486" s="19">
        <v>508</v>
      </c>
      <c r="B1486" s="43">
        <v>100.23717969923794</v>
      </c>
      <c r="C1486" s="43">
        <v>101.02918094445494</v>
      </c>
      <c r="D1486" s="43">
        <v>101.6223239215</v>
      </c>
      <c r="E1486" s="43">
        <v>102.03690282930364</v>
      </c>
      <c r="F1486" s="43">
        <v>102.29398339354114</v>
      </c>
      <c r="G1486" s="43">
        <v>102.41389771389973</v>
      </c>
      <c r="H1486" s="43">
        <v>102.41544535474577</v>
      </c>
      <c r="I1486" s="43">
        <v>102.31555669383536</v>
      </c>
    </row>
    <row r="1487" spans="1:9">
      <c r="A1487" s="19">
        <v>508.1</v>
      </c>
      <c r="B1487" s="43">
        <v>100.25571084691219</v>
      </c>
      <c r="C1487" s="43">
        <v>101.04809706897723</v>
      </c>
      <c r="D1487" s="43">
        <v>101.64163460566189</v>
      </c>
      <c r="E1487" s="43">
        <v>102.05660407678084</v>
      </c>
      <c r="F1487" s="43">
        <v>102.31406151339553</v>
      </c>
      <c r="G1487" s="43">
        <v>102.43433259124978</v>
      </c>
      <c r="H1487" s="43">
        <v>102.4362129621787</v>
      </c>
      <c r="I1487" s="43">
        <v>102.33663090238912</v>
      </c>
    </row>
    <row r="1488" spans="1:9">
      <c r="A1488" s="19">
        <v>508.2</v>
      </c>
      <c r="B1488" s="43">
        <v>100.27424144915284</v>
      </c>
      <c r="C1488" s="43">
        <v>101.06701254018594</v>
      </c>
      <c r="D1488" s="43">
        <v>101.66094455775965</v>
      </c>
      <c r="E1488" s="43">
        <v>102.0763045422608</v>
      </c>
      <c r="F1488" s="43">
        <v>102.3341388274433</v>
      </c>
      <c r="G1488" s="43">
        <v>102.45476666156338</v>
      </c>
      <c r="H1488" s="43">
        <v>102.45697978027491</v>
      </c>
      <c r="I1488" s="43">
        <v>102.35770435488817</v>
      </c>
    </row>
    <row r="1489" spans="1:9">
      <c r="A1489" s="19">
        <v>508.3</v>
      </c>
      <c r="B1489" s="43">
        <v>100.29277150618776</v>
      </c>
      <c r="C1489" s="43">
        <v>101.0859273583132</v>
      </c>
      <c r="D1489" s="43">
        <v>101.68025377803784</v>
      </c>
      <c r="E1489" s="43">
        <v>102.0960042259058</v>
      </c>
      <c r="F1489" s="43">
        <v>102.35421533582317</v>
      </c>
      <c r="G1489" s="43">
        <v>102.47519992493034</v>
      </c>
      <c r="H1489" s="43">
        <v>102.47774580907657</v>
      </c>
      <c r="I1489" s="43">
        <v>102.37877705131939</v>
      </c>
    </row>
    <row r="1490" spans="1:9">
      <c r="A1490" s="19">
        <v>508.4</v>
      </c>
      <c r="B1490" s="43">
        <v>100.31130101838011</v>
      </c>
      <c r="C1490" s="43">
        <v>101.10484152371447</v>
      </c>
      <c r="D1490" s="43">
        <v>101.6995622667655</v>
      </c>
      <c r="E1490" s="43">
        <v>102.11570312797355</v>
      </c>
      <c r="F1490" s="43">
        <v>102.37429103871233</v>
      </c>
      <c r="G1490" s="43">
        <v>102.49563238150364</v>
      </c>
      <c r="H1490" s="43">
        <v>102.4985110486576</v>
      </c>
      <c r="I1490" s="43">
        <v>102.39984899170102</v>
      </c>
    </row>
    <row r="1491" spans="1:9">
      <c r="A1491" s="19">
        <v>508.5</v>
      </c>
      <c r="B1491" s="43">
        <v>100.32982998599351</v>
      </c>
      <c r="C1491" s="43">
        <v>101.12375503662003</v>
      </c>
      <c r="D1491" s="43">
        <v>101.71887002418345</v>
      </c>
      <c r="E1491" s="43">
        <v>102.13540124865483</v>
      </c>
      <c r="F1491" s="43">
        <v>102.39436593627823</v>
      </c>
      <c r="G1491" s="43">
        <v>102.51606403136086</v>
      </c>
      <c r="H1491" s="43">
        <v>102.51927549906281</v>
      </c>
      <c r="I1491" s="43">
        <v>102.42092017603767</v>
      </c>
    </row>
    <row r="1492" spans="1:9">
      <c r="A1492" s="19">
        <v>508.6</v>
      </c>
      <c r="B1492" s="43">
        <v>100.34835840946349</v>
      </c>
      <c r="C1492" s="43">
        <v>101.1426678974845</v>
      </c>
      <c r="D1492" s="43">
        <v>101.73817705066494</v>
      </c>
      <c r="E1492" s="43">
        <v>102.15509858825877</v>
      </c>
      <c r="F1492" s="43">
        <v>102.41444002874542</v>
      </c>
      <c r="G1492" s="43">
        <v>102.53649487467476</v>
      </c>
      <c r="H1492" s="43">
        <v>102.54003916039051</v>
      </c>
      <c r="I1492" s="43">
        <v>102.44199060434937</v>
      </c>
    </row>
    <row r="1493" spans="1:9">
      <c r="A1493" s="19">
        <v>508.7</v>
      </c>
      <c r="B1493" s="43">
        <v>100.36688628904804</v>
      </c>
      <c r="C1493" s="43">
        <v>101.161580106522</v>
      </c>
      <c r="D1493" s="43">
        <v>101.75748334640923</v>
      </c>
      <c r="E1493" s="43">
        <v>102.17479514694355</v>
      </c>
      <c r="F1493" s="43">
        <v>102.43451331624001</v>
      </c>
      <c r="G1493" s="43">
        <v>102.55692491152817</v>
      </c>
      <c r="H1493" s="43">
        <v>102.5608020326774</v>
      </c>
      <c r="I1493" s="43">
        <v>102.46306027663323</v>
      </c>
    </row>
    <row r="1494" spans="1:9">
      <c r="A1494" s="19">
        <v>508.8</v>
      </c>
      <c r="B1494" s="43">
        <v>100.38541362507692</v>
      </c>
      <c r="C1494" s="43">
        <v>101.18049166404262</v>
      </c>
      <c r="D1494" s="43">
        <v>101.77678891171826</v>
      </c>
      <c r="E1494" s="43">
        <v>102.19449092497206</v>
      </c>
      <c r="F1494" s="43">
        <v>102.45458579896669</v>
      </c>
      <c r="G1494" s="43">
        <v>102.57735414206357</v>
      </c>
      <c r="H1494" s="43">
        <v>102.5815641160051</v>
      </c>
      <c r="I1494" s="43">
        <v>102.48412919290274</v>
      </c>
    </row>
    <row r="1495" spans="1:9">
      <c r="A1495" s="19">
        <v>508.9</v>
      </c>
      <c r="B1495" s="43">
        <v>100.40394041791703</v>
      </c>
      <c r="C1495" s="43">
        <v>101.19940257041515</v>
      </c>
      <c r="D1495" s="43">
        <v>101.79609374689696</v>
      </c>
      <c r="E1495" s="43">
        <v>102.21418592259869</v>
      </c>
      <c r="F1495" s="43">
        <v>102.47465747710817</v>
      </c>
      <c r="G1495" s="43">
        <v>102.59778256639672</v>
      </c>
      <c r="H1495" s="43">
        <v>102.602325410443</v>
      </c>
      <c r="I1495" s="43">
        <v>102.50519735317997</v>
      </c>
    </row>
    <row r="1496" spans="1:9">
      <c r="A1496" s="19">
        <v>509</v>
      </c>
      <c r="B1496" s="43">
        <v>100.42246666787435</v>
      </c>
      <c r="C1496" s="43">
        <v>101.21831282591614</v>
      </c>
      <c r="D1496" s="43">
        <v>101.81539785218604</v>
      </c>
      <c r="E1496" s="43">
        <v>102.2338801400175</v>
      </c>
      <c r="F1496" s="43">
        <v>102.4947283508254</v>
      </c>
      <c r="G1496" s="43">
        <v>102.618210184654</v>
      </c>
      <c r="H1496" s="43">
        <v>102.62308591604386</v>
      </c>
      <c r="I1496" s="43">
        <v>102.52626475745998</v>
      </c>
    </row>
    <row r="1497" spans="1:9">
      <c r="A1497" s="19">
        <v>509.1</v>
      </c>
      <c r="B1497" s="43">
        <v>100.44099237530244</v>
      </c>
      <c r="C1497" s="43">
        <v>101.23722243087846</v>
      </c>
      <c r="D1497" s="43">
        <v>101.83470122790317</v>
      </c>
      <c r="E1497" s="43">
        <v>102.25357357748965</v>
      </c>
      <c r="F1497" s="43">
        <v>102.51479842032785</v>
      </c>
      <c r="G1497" s="43">
        <v>102.63863699696552</v>
      </c>
      <c r="H1497" s="43">
        <v>102.64384563289099</v>
      </c>
      <c r="I1497" s="43">
        <v>102.54733140576101</v>
      </c>
    </row>
    <row r="1498" spans="1:9">
      <c r="A1498" s="19">
        <v>509.2</v>
      </c>
      <c r="B1498" s="43">
        <v>100.45951754048025</v>
      </c>
      <c r="C1498" s="43">
        <v>101.25613138560749</v>
      </c>
      <c r="D1498" s="43">
        <v>101.8540038742957</v>
      </c>
      <c r="E1498" s="43">
        <v>102.27326623523456</v>
      </c>
      <c r="F1498" s="43">
        <v>102.53486768576857</v>
      </c>
      <c r="G1498" s="43">
        <v>102.65906300344486</v>
      </c>
      <c r="H1498" s="43">
        <v>102.66460456103053</v>
      </c>
      <c r="I1498" s="43">
        <v>102.56839729809263</v>
      </c>
    </row>
    <row r="1499" spans="1:9">
      <c r="A1499" s="19">
        <v>509.3</v>
      </c>
      <c r="B1499" s="43">
        <v>100.47804216380959</v>
      </c>
      <c r="C1499" s="43">
        <v>101.27503969044733</v>
      </c>
      <c r="D1499" s="43">
        <v>101.87330579167013</v>
      </c>
      <c r="E1499" s="43">
        <v>102.29295811349277</v>
      </c>
      <c r="F1499" s="43">
        <v>102.55493614734831</v>
      </c>
      <c r="G1499" s="43">
        <v>102.67948820422558</v>
      </c>
      <c r="H1499" s="43">
        <v>102.68536270055168</v>
      </c>
      <c r="I1499" s="43">
        <v>102.58946243447161</v>
      </c>
    </row>
    <row r="1500" spans="1:9">
      <c r="A1500" s="19">
        <v>509.4</v>
      </c>
      <c r="B1500" s="43">
        <v>100.49656624553046</v>
      </c>
      <c r="C1500" s="43">
        <v>101.29394734561097</v>
      </c>
      <c r="D1500" s="43">
        <v>101.89260698025842</v>
      </c>
      <c r="E1500" s="43">
        <v>102.31264921247319</v>
      </c>
      <c r="F1500" s="43">
        <v>102.57500380520796</v>
      </c>
      <c r="G1500" s="43">
        <v>102.69991259940772</v>
      </c>
      <c r="H1500" s="43">
        <v>102.70612005149994</v>
      </c>
      <c r="I1500" s="43">
        <v>102.61052681489187</v>
      </c>
    </row>
    <row r="1501" spans="1:9">
      <c r="A1501" s="19">
        <v>509.5</v>
      </c>
      <c r="B1501" s="43">
        <v>100.5150897860124</v>
      </c>
      <c r="C1501" s="43">
        <v>101.31285435151389</v>
      </c>
      <c r="D1501" s="43">
        <v>101.91190744038707</v>
      </c>
      <c r="E1501" s="43">
        <v>102.332339532426</v>
      </c>
      <c r="F1501" s="43">
        <v>102.59507065955793</v>
      </c>
      <c r="G1501" s="43">
        <v>102.72033618913071</v>
      </c>
      <c r="H1501" s="43">
        <v>102.72687661395364</v>
      </c>
      <c r="I1501" s="43">
        <v>102.63159043937904</v>
      </c>
    </row>
    <row r="1502" spans="1:9">
      <c r="A1502" s="19">
        <v>509.6</v>
      </c>
      <c r="B1502" s="43">
        <v>100.53361278558353</v>
      </c>
      <c r="C1502" s="43">
        <v>101.33176070841145</v>
      </c>
      <c r="D1502" s="43">
        <v>101.93120717229218</v>
      </c>
      <c r="E1502" s="43">
        <v>102.35202907357638</v>
      </c>
      <c r="F1502" s="43">
        <v>102.61513671056193</v>
      </c>
      <c r="G1502" s="43">
        <v>102.74075897350821</v>
      </c>
      <c r="H1502" s="43">
        <v>102.74763238797212</v>
      </c>
      <c r="I1502" s="43">
        <v>102.65265330794062</v>
      </c>
    </row>
    <row r="1503" spans="1:9">
      <c r="A1503" s="19">
        <v>509.7</v>
      </c>
      <c r="B1503" s="43">
        <v>100.5521352445854</v>
      </c>
      <c r="C1503" s="43">
        <v>101.35066641665176</v>
      </c>
      <c r="D1503" s="43">
        <v>101.95050617629269</v>
      </c>
      <c r="E1503" s="43">
        <v>102.37171783615727</v>
      </c>
      <c r="F1503" s="43">
        <v>102.6352019584165</v>
      </c>
      <c r="G1503" s="43">
        <v>102.76118095268055</v>
      </c>
      <c r="H1503" s="43">
        <v>102.76838737363542</v>
      </c>
      <c r="I1503" s="43">
        <v>102.67371542058839</v>
      </c>
    </row>
    <row r="1504" spans="1:9">
      <c r="A1504" s="19">
        <v>509.8</v>
      </c>
      <c r="B1504" s="43">
        <v>100.57065716324746</v>
      </c>
      <c r="C1504" s="43">
        <v>101.36957147645816</v>
      </c>
      <c r="D1504" s="43">
        <v>101.96980445259584</v>
      </c>
      <c r="E1504" s="43">
        <v>102.39140582037635</v>
      </c>
      <c r="F1504" s="43">
        <v>102.65526640325945</v>
      </c>
      <c r="G1504" s="43">
        <v>102.78160212673728</v>
      </c>
      <c r="H1504" s="43">
        <v>102.78914157098805</v>
      </c>
      <c r="I1504" s="43">
        <v>102.69477677732357</v>
      </c>
    </row>
    <row r="1505" spans="1:9">
      <c r="A1505" s="19">
        <v>509.9</v>
      </c>
      <c r="B1505" s="43">
        <v>100.58917854206499</v>
      </c>
      <c r="C1505" s="43">
        <v>101.38847588828671</v>
      </c>
      <c r="D1505" s="43">
        <v>101.98910200160032</v>
      </c>
      <c r="E1505" s="43">
        <v>102.41109302653865</v>
      </c>
      <c r="F1505" s="43">
        <v>102.67533004534351</v>
      </c>
      <c r="G1505" s="43">
        <v>102.8020224958623</v>
      </c>
      <c r="H1505" s="43">
        <v>102.80989498013</v>
      </c>
      <c r="I1505" s="43">
        <v>102.71583737818065</v>
      </c>
    </row>
    <row r="1506" spans="1:9">
      <c r="A1506" s="19">
        <v>510</v>
      </c>
      <c r="B1506" s="43">
        <v>100.58316364962616</v>
      </c>
      <c r="C1506" s="43">
        <v>101.38472177879083</v>
      </c>
      <c r="D1506" s="43">
        <v>101.98800580001949</v>
      </c>
      <c r="E1506" s="43">
        <v>102.4129684813812</v>
      </c>
      <c r="F1506" s="43">
        <v>102.68041495540126</v>
      </c>
      <c r="G1506" s="43">
        <v>102.81048947317558</v>
      </c>
      <c r="H1506" s="43">
        <v>102.82186254031907</v>
      </c>
      <c r="I1506" s="43">
        <v>102.73137989919678</v>
      </c>
    </row>
    <row r="1507" spans="1:9">
      <c r="A1507" s="19">
        <v>510.1</v>
      </c>
      <c r="B1507" s="43">
        <v>100.57710282260399</v>
      </c>
      <c r="C1507" s="43">
        <v>101.38091788320685</v>
      </c>
      <c r="D1507" s="43">
        <v>101.98685615529101</v>
      </c>
      <c r="E1507" s="43">
        <v>102.41478729837837</v>
      </c>
      <c r="F1507" s="43">
        <v>102.68544059657916</v>
      </c>
      <c r="G1507" s="43">
        <v>102.81889510187807</v>
      </c>
      <c r="H1507" s="43">
        <v>102.83376714411415</v>
      </c>
      <c r="I1507" s="43">
        <v>102.74685821650101</v>
      </c>
    </row>
    <row r="1508" spans="1:9">
      <c r="A1508" s="19">
        <v>510.2</v>
      </c>
      <c r="B1508" s="43">
        <v>100.595588383706</v>
      </c>
      <c r="C1508" s="43">
        <v>101.39978132287249</v>
      </c>
      <c r="D1508" s="43">
        <v>102.00610736720205</v>
      </c>
      <c r="E1508" s="43">
        <v>102.43442285216068</v>
      </c>
      <c r="F1508" s="43">
        <v>102.70544749368642</v>
      </c>
      <c r="G1508" s="43">
        <v>102.83925396341306</v>
      </c>
      <c r="H1508" s="43">
        <v>102.85445467488083</v>
      </c>
      <c r="I1508" s="43">
        <v>102.76784899236168</v>
      </c>
    </row>
    <row r="1509" spans="1:9">
      <c r="A1509" s="19">
        <v>510.3</v>
      </c>
      <c r="B1509" s="43">
        <v>100.6140734085408</v>
      </c>
      <c r="C1509" s="43">
        <v>101.41864411996551</v>
      </c>
      <c r="D1509" s="43">
        <v>102.02535785800154</v>
      </c>
      <c r="E1509" s="43">
        <v>102.45405763395559</v>
      </c>
      <c r="F1509" s="43">
        <v>102.72545359318809</v>
      </c>
      <c r="G1509" s="43">
        <v>102.8596120236659</v>
      </c>
      <c r="H1509" s="43">
        <v>102.87514141910611</v>
      </c>
      <c r="I1509" s="43">
        <v>102.78883901165636</v>
      </c>
    </row>
    <row r="1510" spans="1:9">
      <c r="A1510" s="19">
        <v>510.4</v>
      </c>
      <c r="B1510" s="43">
        <v>100.63255789731454</v>
      </c>
      <c r="C1510" s="43">
        <v>101.4375062746941</v>
      </c>
      <c r="D1510" s="43">
        <v>102.04460762788486</v>
      </c>
      <c r="E1510" s="43">
        <v>102.47369164392839</v>
      </c>
      <c r="F1510" s="43">
        <v>102.74545889522136</v>
      </c>
      <c r="G1510" s="43">
        <v>102.87996928271795</v>
      </c>
      <c r="H1510" s="43">
        <v>102.89582737684267</v>
      </c>
      <c r="I1510" s="43">
        <v>102.8098282743855</v>
      </c>
    </row>
    <row r="1511" spans="1:9">
      <c r="A1511" s="19">
        <v>510.5</v>
      </c>
      <c r="B1511" s="43">
        <v>100.651041850312</v>
      </c>
      <c r="C1511" s="43">
        <v>101.4563677873447</v>
      </c>
      <c r="D1511" s="43">
        <v>102.06385667710103</v>
      </c>
      <c r="E1511" s="43">
        <v>102.49332488229834</v>
      </c>
      <c r="F1511" s="43">
        <v>102.76546339996401</v>
      </c>
      <c r="G1511" s="43">
        <v>102.90032574070545</v>
      </c>
      <c r="H1511" s="43">
        <v>102.9165125481625</v>
      </c>
      <c r="I1511" s="43">
        <v>102.83081678057147</v>
      </c>
    </row>
    <row r="1512" spans="1:9">
      <c r="A1512" s="19">
        <v>510.6</v>
      </c>
      <c r="B1512" s="43">
        <v>100.66952526796109</v>
      </c>
      <c r="C1512" s="43">
        <v>101.4752286583186</v>
      </c>
      <c r="D1512" s="43">
        <v>102.08310500603687</v>
      </c>
      <c r="E1512" s="43">
        <v>102.51295734934857</v>
      </c>
      <c r="F1512" s="43">
        <v>102.78546710763831</v>
      </c>
      <c r="G1512" s="43">
        <v>102.92068139779224</v>
      </c>
      <c r="H1512" s="43">
        <v>102.93719693316589</v>
      </c>
      <c r="I1512" s="43">
        <v>102.85180453025058</v>
      </c>
    </row>
    <row r="1513" spans="1:9">
      <c r="A1513" s="19">
        <v>510.7</v>
      </c>
      <c r="B1513" s="43">
        <v>100.68800815045478</v>
      </c>
      <c r="C1513" s="43">
        <v>101.49408888781508</v>
      </c>
      <c r="D1513" s="43">
        <v>102.10235261482157</v>
      </c>
      <c r="E1513" s="43">
        <v>102.53258904525225</v>
      </c>
      <c r="F1513" s="43">
        <v>102.80547001837502</v>
      </c>
      <c r="G1513" s="43">
        <v>102.94103625405575</v>
      </c>
      <c r="H1513" s="43">
        <v>102.95788053188761</v>
      </c>
      <c r="I1513" s="43">
        <v>102.87279152342722</v>
      </c>
    </row>
    <row r="1514" spans="1:9">
      <c r="A1514" s="19">
        <v>510.8</v>
      </c>
      <c r="B1514" s="43">
        <v>100.70649049827287</v>
      </c>
      <c r="C1514" s="43">
        <v>101.51294847626184</v>
      </c>
      <c r="D1514" s="43">
        <v>102.12159950388613</v>
      </c>
      <c r="E1514" s="43">
        <v>102.55221997031694</v>
      </c>
      <c r="F1514" s="43">
        <v>102.82547213241048</v>
      </c>
      <c r="G1514" s="43">
        <v>102.96139030967501</v>
      </c>
      <c r="H1514" s="43">
        <v>102.97856334444532</v>
      </c>
      <c r="I1514" s="43">
        <v>102.89377776013959</v>
      </c>
    </row>
    <row r="1515" spans="1:9">
      <c r="A1515" s="19">
        <v>510.9</v>
      </c>
      <c r="B1515" s="43">
        <v>100.72497231157092</v>
      </c>
      <c r="C1515" s="43">
        <v>101.53180742383333</v>
      </c>
      <c r="D1515" s="43">
        <v>102.14084567336852</v>
      </c>
      <c r="E1515" s="43">
        <v>102.5718501246823</v>
      </c>
      <c r="F1515" s="43">
        <v>102.84547344987323</v>
      </c>
      <c r="G1515" s="43">
        <v>102.98174356473388</v>
      </c>
      <c r="H1515" s="43">
        <v>102.99924537088089</v>
      </c>
      <c r="I1515" s="43">
        <v>102.91476324039033</v>
      </c>
    </row>
    <row r="1516" spans="1:9">
      <c r="A1516" s="19">
        <v>511</v>
      </c>
      <c r="B1516" s="43">
        <v>100.74345359078643</v>
      </c>
      <c r="C1516" s="43">
        <v>101.55066573094135</v>
      </c>
      <c r="D1516" s="43">
        <v>102.16009112363471</v>
      </c>
      <c r="E1516" s="43">
        <v>102.5914795086463</v>
      </c>
      <c r="F1516" s="43">
        <v>102.86547397099631</v>
      </c>
      <c r="G1516" s="43">
        <v>103.00209601939687</v>
      </c>
      <c r="H1516" s="43">
        <v>103.01992661129015</v>
      </c>
      <c r="I1516" s="43">
        <v>102.93574796421561</v>
      </c>
    </row>
    <row r="1517" spans="1:9">
      <c r="A1517" s="19">
        <v>511.1</v>
      </c>
      <c r="B1517" s="43">
        <v>100.7619343361622</v>
      </c>
      <c r="C1517" s="43">
        <v>101.56952339782546</v>
      </c>
      <c r="D1517" s="43">
        <v>102.17933585491312</v>
      </c>
      <c r="E1517" s="43">
        <v>102.61110812242478</v>
      </c>
      <c r="F1517" s="43">
        <v>102.88547369591345</v>
      </c>
      <c r="G1517" s="43">
        <v>103.02244767376624</v>
      </c>
      <c r="H1517" s="43">
        <v>103.0406070657387</v>
      </c>
      <c r="I1517" s="43">
        <v>102.95673193163123</v>
      </c>
    </row>
    <row r="1518" spans="1:9">
      <c r="A1518" s="19">
        <v>511.2</v>
      </c>
      <c r="B1518" s="43">
        <v>100.78041454800805</v>
      </c>
      <c r="C1518" s="43">
        <v>101.58838042479479</v>
      </c>
      <c r="D1518" s="43">
        <v>102.19857986744981</v>
      </c>
      <c r="E1518" s="43">
        <v>102.63073596622522</v>
      </c>
      <c r="F1518" s="43">
        <v>102.90547262481894</v>
      </c>
      <c r="G1518" s="43">
        <v>103.0427985279714</v>
      </c>
      <c r="H1518" s="43">
        <v>103.06128673428552</v>
      </c>
      <c r="I1518" s="43">
        <v>102.97771514265415</v>
      </c>
    </row>
    <row r="1519" spans="1:9">
      <c r="A1519" s="19">
        <v>511.3</v>
      </c>
      <c r="B1519" s="43">
        <v>100.79889422672051</v>
      </c>
      <c r="C1519" s="43">
        <v>101.6072368122139</v>
      </c>
      <c r="D1519" s="43">
        <v>102.21782316160298</v>
      </c>
      <c r="E1519" s="43">
        <v>102.65036304031281</v>
      </c>
      <c r="F1519" s="43">
        <v>102.9254707579299</v>
      </c>
      <c r="G1519" s="43">
        <v>103.06314858217422</v>
      </c>
      <c r="H1519" s="43">
        <v>103.08196561703821</v>
      </c>
      <c r="I1519" s="43">
        <v>102.99869759731621</v>
      </c>
    </row>
    <row r="1520" spans="1:9">
      <c r="A1520" s="19">
        <v>511.4</v>
      </c>
      <c r="B1520" s="43">
        <v>100.81737337251838</v>
      </c>
      <c r="C1520" s="43">
        <v>101.62609256030345</v>
      </c>
      <c r="D1520" s="43">
        <v>102.23706573756402</v>
      </c>
      <c r="E1520" s="43">
        <v>102.66998934489195</v>
      </c>
      <c r="F1520" s="43">
        <v>102.94546809537056</v>
      </c>
      <c r="G1520" s="43">
        <v>103.08349783645406</v>
      </c>
      <c r="H1520" s="43">
        <v>103.10264371405154</v>
      </c>
      <c r="I1520" s="43">
        <v>103.01967929563429</v>
      </c>
    </row>
    <row r="1521" spans="1:9">
      <c r="A1521" s="19">
        <v>511.5</v>
      </c>
      <c r="B1521" s="43">
        <v>100.83585198584501</v>
      </c>
      <c r="C1521" s="43">
        <v>101.64494766946859</v>
      </c>
      <c r="D1521" s="43">
        <v>102.25630759571101</v>
      </c>
      <c r="E1521" s="43">
        <v>102.68961488023717</v>
      </c>
      <c r="F1521" s="43">
        <v>102.96546463738895</v>
      </c>
      <c r="G1521" s="43">
        <v>103.10384629099843</v>
      </c>
      <c r="H1521" s="43">
        <v>103.12332102541848</v>
      </c>
      <c r="I1521" s="43">
        <v>103.04066023763917</v>
      </c>
    </row>
    <row r="1522" spans="1:9">
      <c r="A1522" s="19">
        <v>511.6</v>
      </c>
      <c r="B1522" s="43">
        <v>100.85433006688459</v>
      </c>
      <c r="C1522" s="43">
        <v>101.66380213991064</v>
      </c>
      <c r="D1522" s="43">
        <v>102.27554873619195</v>
      </c>
      <c r="E1522" s="43">
        <v>102.70923964652906</v>
      </c>
      <c r="F1522" s="43">
        <v>102.98546038410802</v>
      </c>
      <c r="G1522" s="43">
        <v>103.12419394587414</v>
      </c>
      <c r="H1522" s="43">
        <v>103.14399755118478</v>
      </c>
      <c r="I1522" s="43">
        <v>103.06164042333472</v>
      </c>
    </row>
    <row r="1523" spans="1:9">
      <c r="A1523" s="19">
        <v>511.7</v>
      </c>
      <c r="B1523" s="43">
        <v>100.87280761607749</v>
      </c>
      <c r="C1523" s="43">
        <v>101.68265597204442</v>
      </c>
      <c r="D1523" s="43">
        <v>102.29478915940723</v>
      </c>
      <c r="E1523" s="43">
        <v>102.72886364404749</v>
      </c>
      <c r="F1523" s="43">
        <v>103.00545533575493</v>
      </c>
      <c r="G1523" s="43">
        <v>103.14454080128047</v>
      </c>
      <c r="H1523" s="43">
        <v>103.16467329146442</v>
      </c>
      <c r="I1523" s="43">
        <v>103.08261985277088</v>
      </c>
    </row>
    <row r="1524" spans="1:9">
      <c r="A1524" s="19">
        <v>511.8</v>
      </c>
      <c r="B1524" s="43">
        <v>100.89128463364074</v>
      </c>
      <c r="C1524" s="43">
        <v>101.70150916607611</v>
      </c>
      <c r="D1524" s="43">
        <v>102.31402886554349</v>
      </c>
      <c r="E1524" s="43">
        <v>102.74848687297384</v>
      </c>
      <c r="F1524" s="43">
        <v>103.02544949249108</v>
      </c>
      <c r="G1524" s="43">
        <v>103.16488685728677</v>
      </c>
      <c r="H1524" s="43">
        <v>103.18534824630279</v>
      </c>
      <c r="I1524" s="43">
        <v>103.10359852594425</v>
      </c>
    </row>
    <row r="1525" spans="1:9">
      <c r="A1525" s="19">
        <v>511.9</v>
      </c>
      <c r="B1525" s="43">
        <v>100.90976111986978</v>
      </c>
      <c r="C1525" s="43">
        <v>101.72036172229599</v>
      </c>
      <c r="D1525" s="43">
        <v>102.33326785485536</v>
      </c>
      <c r="E1525" s="43">
        <v>102.76810933354926</v>
      </c>
      <c r="F1525" s="43">
        <v>103.04544285446474</v>
      </c>
      <c r="G1525" s="43">
        <v>103.18523211402328</v>
      </c>
      <c r="H1525" s="43">
        <v>103.20602241577473</v>
      </c>
      <c r="I1525" s="43">
        <v>103.1245764428817</v>
      </c>
    </row>
    <row r="1526" spans="1:9">
      <c r="A1526" s="19">
        <v>512</v>
      </c>
      <c r="B1526" s="43">
        <v>100.92823707527157</v>
      </c>
      <c r="C1526" s="43">
        <v>101.7392136411782</v>
      </c>
      <c r="D1526" s="43">
        <v>102.35250612774257</v>
      </c>
      <c r="E1526" s="43">
        <v>102.78773102608167</v>
      </c>
      <c r="F1526" s="43">
        <v>103.06543542194802</v>
      </c>
      <c r="G1526" s="43">
        <v>103.20557657168226</v>
      </c>
      <c r="H1526" s="43">
        <v>103.2266957999926</v>
      </c>
      <c r="I1526" s="43">
        <v>103.14555360363227</v>
      </c>
    </row>
    <row r="1527" spans="1:9">
      <c r="A1527" s="19">
        <v>512.1</v>
      </c>
      <c r="B1527" s="43">
        <v>100.94671249991853</v>
      </c>
      <c r="C1527" s="43">
        <v>101.7580649228272</v>
      </c>
      <c r="D1527" s="43">
        <v>102.3717436843431</v>
      </c>
      <c r="E1527" s="43">
        <v>102.80735195068715</v>
      </c>
      <c r="F1527" s="43">
        <v>103.08542719502415</v>
      </c>
      <c r="G1527" s="43">
        <v>103.22592023032632</v>
      </c>
      <c r="H1527" s="43">
        <v>103.24736839898455</v>
      </c>
      <c r="I1527" s="43">
        <v>103.16653000818559</v>
      </c>
    </row>
    <row r="1528" spans="1:9">
      <c r="A1528" s="19">
        <v>512.20000000000005</v>
      </c>
      <c r="B1528" s="43">
        <v>100.96518739432904</v>
      </c>
      <c r="C1528" s="43">
        <v>101.77691556767661</v>
      </c>
      <c r="D1528" s="43">
        <v>102.39098052503306</v>
      </c>
      <c r="E1528" s="43">
        <v>102.82697210769109</v>
      </c>
      <c r="F1528" s="43">
        <v>103.10541817394807</v>
      </c>
      <c r="G1528" s="43">
        <v>103.2462630901299</v>
      </c>
      <c r="H1528" s="43">
        <v>103.26804021287339</v>
      </c>
      <c r="I1528" s="43">
        <v>103.18750565658934</v>
      </c>
    </row>
    <row r="1529" spans="1:9">
      <c r="A1529" s="19">
        <v>512.29999999999995</v>
      </c>
      <c r="B1529" s="43">
        <v>100.98366175865212</v>
      </c>
      <c r="C1529" s="43">
        <v>101.79576557595013</v>
      </c>
      <c r="D1529" s="43">
        <v>102.41021664999067</v>
      </c>
      <c r="E1529" s="43">
        <v>102.84659149725388</v>
      </c>
      <c r="F1529" s="43">
        <v>103.12540835885613</v>
      </c>
      <c r="G1529" s="43">
        <v>103.26660515117894</v>
      </c>
      <c r="H1529" s="43">
        <v>103.28871124169336</v>
      </c>
      <c r="I1529" s="43">
        <v>103.20848054885138</v>
      </c>
    </row>
    <row r="1530" spans="1:9">
      <c r="A1530" s="19">
        <v>512.4</v>
      </c>
      <c r="B1530" s="43">
        <v>101.00213559336206</v>
      </c>
      <c r="C1530" s="43">
        <v>101.81461494805001</v>
      </c>
      <c r="D1530" s="43">
        <v>102.42945205961394</v>
      </c>
      <c r="E1530" s="43">
        <v>102.86621011970516</v>
      </c>
      <c r="F1530" s="43">
        <v>103.14539774997218</v>
      </c>
      <c r="G1530" s="43">
        <v>103.28694641366332</v>
      </c>
      <c r="H1530" s="43">
        <v>103.30938148556396</v>
      </c>
      <c r="I1530" s="43">
        <v>103.22945468501109</v>
      </c>
    </row>
    <row r="1531" spans="1:9">
      <c r="A1531" s="19">
        <v>512.5</v>
      </c>
      <c r="B1531" s="43">
        <v>101.02060889867252</v>
      </c>
      <c r="C1531" s="43">
        <v>101.83346368418765</v>
      </c>
      <c r="D1531" s="43">
        <v>102.4486867540613</v>
      </c>
      <c r="E1531" s="43">
        <v>102.88582797517316</v>
      </c>
      <c r="F1531" s="43">
        <v>103.16538634745424</v>
      </c>
      <c r="G1531" s="43">
        <v>103.30728687766131</v>
      </c>
      <c r="H1531" s="43">
        <v>103.33005094453011</v>
      </c>
      <c r="I1531" s="43">
        <v>103.25042806507847</v>
      </c>
    </row>
    <row r="1532" spans="1:9">
      <c r="A1532" s="19">
        <v>512.6</v>
      </c>
      <c r="B1532" s="43">
        <v>101.0390816748716</v>
      </c>
      <c r="C1532" s="43">
        <v>101.8523117846832</v>
      </c>
      <c r="D1532" s="43">
        <v>102.46792073363522</v>
      </c>
      <c r="E1532" s="43">
        <v>102.90544506391407</v>
      </c>
      <c r="F1532" s="43">
        <v>103.18537415146469</v>
      </c>
      <c r="G1532" s="43">
        <v>103.3276265433102</v>
      </c>
      <c r="H1532" s="43">
        <v>103.3507196186678</v>
      </c>
      <c r="I1532" s="43">
        <v>103.27140068907605</v>
      </c>
    </row>
    <row r="1533" spans="1:9">
      <c r="A1533" s="19">
        <v>512.70000000000005</v>
      </c>
      <c r="B1533" s="43">
        <v>101.0575539224125</v>
      </c>
      <c r="C1533" s="43">
        <v>101.87115924990809</v>
      </c>
      <c r="D1533" s="43">
        <v>102.48715399868792</v>
      </c>
      <c r="E1533" s="43">
        <v>102.92506138622983</v>
      </c>
      <c r="F1533" s="43">
        <v>103.2053611622411</v>
      </c>
      <c r="G1533" s="43">
        <v>103.34796541077873</v>
      </c>
      <c r="H1533" s="43">
        <v>103.37138750808523</v>
      </c>
      <c r="I1533" s="43">
        <v>103.29237255704908</v>
      </c>
    </row>
    <row r="1534" spans="1:9">
      <c r="A1534" s="19">
        <v>512.79999999999995</v>
      </c>
      <c r="B1534" s="43">
        <v>101.07602564146615</v>
      </c>
      <c r="C1534" s="43">
        <v>101.89000608007419</v>
      </c>
      <c r="D1534" s="43">
        <v>102.50638654938439</v>
      </c>
      <c r="E1534" s="43">
        <v>102.94467694224875</v>
      </c>
      <c r="F1534" s="43">
        <v>103.22534737991091</v>
      </c>
      <c r="G1534" s="43">
        <v>103.36830348014595</v>
      </c>
      <c r="H1534" s="43">
        <v>103.3920546128183</v>
      </c>
      <c r="I1534" s="43">
        <v>103.31334366899569</v>
      </c>
    </row>
    <row r="1535" spans="1:9">
      <c r="A1535" s="19">
        <v>512.9</v>
      </c>
      <c r="B1535" s="43">
        <v>101.09449683247607</v>
      </c>
      <c r="C1535" s="43">
        <v>101.90885227560335</v>
      </c>
      <c r="D1535" s="43">
        <v>102.52561838610524</v>
      </c>
      <c r="E1535" s="43">
        <v>102.9642917323049</v>
      </c>
      <c r="F1535" s="43">
        <v>103.24533280470993</v>
      </c>
      <c r="G1535" s="43">
        <v>103.38864075159208</v>
      </c>
      <c r="H1535" s="43">
        <v>103.41272093298085</v>
      </c>
      <c r="I1535" s="43">
        <v>103.33431402496566</v>
      </c>
    </row>
    <row r="1536" spans="1:9">
      <c r="A1536" s="19">
        <v>513</v>
      </c>
      <c r="B1536" s="43">
        <v>101.11296749561839</v>
      </c>
      <c r="C1536" s="43">
        <v>101.92769783664292</v>
      </c>
      <c r="D1536" s="43">
        <v>102.54484950899851</v>
      </c>
      <c r="E1536" s="43">
        <v>102.98390575653164</v>
      </c>
      <c r="F1536" s="43">
        <v>103.26531743675903</v>
      </c>
      <c r="G1536" s="43">
        <v>103.40897722519156</v>
      </c>
      <c r="H1536" s="43">
        <v>103.43338646862532</v>
      </c>
      <c r="I1536" s="43">
        <v>103.35528362495666</v>
      </c>
    </row>
    <row r="1537" spans="1:9">
      <c r="A1537" s="19">
        <v>513.1</v>
      </c>
      <c r="B1537" s="43">
        <v>101.13143763136202</v>
      </c>
      <c r="C1537" s="43">
        <v>101.94654276364656</v>
      </c>
      <c r="D1537" s="43">
        <v>102.5640799184809</v>
      </c>
      <c r="E1537" s="43">
        <v>103.00351901526304</v>
      </c>
      <c r="F1537" s="43">
        <v>103.28530127631723</v>
      </c>
      <c r="G1537" s="43">
        <v>103.42931290114524</v>
      </c>
      <c r="H1537" s="43">
        <v>103.45405121984967</v>
      </c>
      <c r="I1537" s="43">
        <v>103.37625246901794</v>
      </c>
    </row>
    <row r="1538" spans="1:9">
      <c r="A1538" s="19">
        <v>513.20000000000005</v>
      </c>
      <c r="B1538" s="43">
        <v>101.14990723991005</v>
      </c>
      <c r="C1538" s="43">
        <v>101.9653870568394</v>
      </c>
      <c r="D1538" s="43">
        <v>102.58330961472134</v>
      </c>
      <c r="E1538" s="43">
        <v>103.02313150866229</v>
      </c>
      <c r="F1538" s="43">
        <v>103.30528432350152</v>
      </c>
      <c r="G1538" s="43">
        <v>103.44964777952512</v>
      </c>
      <c r="H1538" s="43">
        <v>103.47471518671691</v>
      </c>
      <c r="I1538" s="43">
        <v>103.39722055716069</v>
      </c>
    </row>
    <row r="1539" spans="1:9">
      <c r="A1539" s="19">
        <v>513.29999999999995</v>
      </c>
      <c r="B1539" s="43">
        <v>101.16837632160707</v>
      </c>
      <c r="C1539" s="43">
        <v>101.98423071653062</v>
      </c>
      <c r="D1539" s="43">
        <v>102.60253859804658</v>
      </c>
      <c r="E1539" s="43">
        <v>103.04274323696777</v>
      </c>
      <c r="F1539" s="43">
        <v>103.32526657853035</v>
      </c>
      <c r="G1539" s="43">
        <v>103.46998186048822</v>
      </c>
      <c r="H1539" s="43">
        <v>103.49537836930526</v>
      </c>
      <c r="I1539" s="43">
        <v>103.41818788941509</v>
      </c>
    </row>
    <row r="1540" spans="1:9">
      <c r="A1540" s="19">
        <v>513.4</v>
      </c>
      <c r="B1540" s="43">
        <v>101.18684487678368</v>
      </c>
      <c r="C1540" s="43">
        <v>102.00307374304342</v>
      </c>
      <c r="D1540" s="43">
        <v>102.62176686868781</v>
      </c>
      <c r="E1540" s="43">
        <v>103.06235420043771</v>
      </c>
      <c r="F1540" s="43">
        <v>103.34524804156277</v>
      </c>
      <c r="G1540" s="43">
        <v>103.49031514415236</v>
      </c>
      <c r="H1540" s="43">
        <v>103.51604076770406</v>
      </c>
      <c r="I1540" s="43">
        <v>103.43915446580394</v>
      </c>
    </row>
    <row r="1541" spans="1:9">
      <c r="A1541" s="19">
        <v>513.5</v>
      </c>
      <c r="B1541" s="43">
        <v>101.20531290570372</v>
      </c>
      <c r="C1541" s="43">
        <v>102.02191613664579</v>
      </c>
      <c r="D1541" s="43">
        <v>102.64099442694416</v>
      </c>
      <c r="E1541" s="43">
        <v>103.08196439926255</v>
      </c>
      <c r="F1541" s="43">
        <v>103.36522871278461</v>
      </c>
      <c r="G1541" s="43">
        <v>103.51064763064784</v>
      </c>
      <c r="H1541" s="43">
        <v>103.53670238197282</v>
      </c>
      <c r="I1541" s="43">
        <v>103.46012028635184</v>
      </c>
    </row>
    <row r="1542" spans="1:9">
      <c r="A1542" s="19">
        <v>513.6</v>
      </c>
      <c r="B1542" s="43">
        <v>101.22378040881179</v>
      </c>
      <c r="C1542" s="43">
        <v>102.04075789774433</v>
      </c>
      <c r="D1542" s="43">
        <v>102.66022127312948</v>
      </c>
      <c r="E1542" s="43">
        <v>103.10157383374391</v>
      </c>
      <c r="F1542" s="43">
        <v>103.38520859243869</v>
      </c>
      <c r="G1542" s="43">
        <v>103.53097932015334</v>
      </c>
      <c r="H1542" s="43">
        <v>103.55736321221767</v>
      </c>
      <c r="I1542" s="43">
        <v>103.48108535109304</v>
      </c>
    </row>
    <row r="1543" spans="1:9">
      <c r="A1543" s="19">
        <v>513.70000000000005</v>
      </c>
      <c r="B1543" s="43">
        <v>101.24224738629073</v>
      </c>
      <c r="C1543" s="43">
        <v>102.05959902650761</v>
      </c>
      <c r="D1543" s="43">
        <v>102.6794474074517</v>
      </c>
      <c r="E1543" s="43">
        <v>103.121182504041</v>
      </c>
      <c r="F1543" s="43">
        <v>103.40518768061992</v>
      </c>
      <c r="G1543" s="43">
        <v>103.55131021272629</v>
      </c>
      <c r="H1543" s="43">
        <v>103.57802325848317</v>
      </c>
      <c r="I1543" s="43">
        <v>103.50204966003864</v>
      </c>
    </row>
    <row r="1544" spans="1:9">
      <c r="A1544" s="19">
        <v>513.79999999999995</v>
      </c>
      <c r="B1544" s="43">
        <v>101.26071383854094</v>
      </c>
      <c r="C1544" s="43">
        <v>102.07843952335898</v>
      </c>
      <c r="D1544" s="43">
        <v>102.69867283024399</v>
      </c>
      <c r="E1544" s="43">
        <v>103.14079041045179</v>
      </c>
      <c r="F1544" s="43">
        <v>103.42516597758981</v>
      </c>
      <c r="G1544" s="43">
        <v>103.57164030855552</v>
      </c>
      <c r="H1544" s="43">
        <v>103.5986825208835</v>
      </c>
      <c r="I1544" s="43">
        <v>103.523013213235</v>
      </c>
    </row>
    <row r="1545" spans="1:9">
      <c r="A1545" s="19">
        <v>513.9</v>
      </c>
      <c r="B1545" s="43">
        <v>101.27917976579965</v>
      </c>
      <c r="C1545" s="43">
        <v>102.09727938851375</v>
      </c>
      <c r="D1545" s="43">
        <v>102.7178975417423</v>
      </c>
      <c r="E1545" s="43">
        <v>103.16039755316996</v>
      </c>
      <c r="F1545" s="43">
        <v>103.44514348348346</v>
      </c>
      <c r="G1545" s="43">
        <v>103.59196960775159</v>
      </c>
      <c r="H1545" s="43">
        <v>103.61934099947842</v>
      </c>
      <c r="I1545" s="43">
        <v>103.54397601069027</v>
      </c>
    </row>
    <row r="1546" spans="1:9">
      <c r="A1546" s="19">
        <v>514</v>
      </c>
      <c r="B1546" s="43">
        <v>101.29764516842084</v>
      </c>
      <c r="C1546" s="43">
        <v>102.11611862230697</v>
      </c>
      <c r="D1546" s="43">
        <v>102.73712154221678</v>
      </c>
      <c r="E1546" s="43">
        <v>103.18000393242366</v>
      </c>
      <c r="F1546" s="43">
        <v>103.465120198487</v>
      </c>
      <c r="G1546" s="43">
        <v>103.61229811044174</v>
      </c>
      <c r="H1546" s="43">
        <v>103.63999869433408</v>
      </c>
      <c r="I1546" s="43">
        <v>103.56493805243434</v>
      </c>
    </row>
    <row r="1547" spans="1:9">
      <c r="A1547" s="19">
        <v>514.1</v>
      </c>
      <c r="B1547" s="43">
        <v>101.31611004673971</v>
      </c>
      <c r="C1547" s="43">
        <v>102.13495722504817</v>
      </c>
      <c r="D1547" s="43">
        <v>102.75634483197067</v>
      </c>
      <c r="E1547" s="43">
        <v>103.19960954846746</v>
      </c>
      <c r="F1547" s="43">
        <v>103.48509612280236</v>
      </c>
      <c r="G1547" s="43">
        <v>103.63262581675906</v>
      </c>
      <c r="H1547" s="43">
        <v>103.66065560554983</v>
      </c>
      <c r="I1547" s="43">
        <v>103.58589933849481</v>
      </c>
    </row>
    <row r="1548" spans="1:9">
      <c r="A1548" s="19">
        <v>514.20000000000005</v>
      </c>
      <c r="B1548" s="43">
        <v>101.334574401021</v>
      </c>
      <c r="C1548" s="43">
        <v>102.15379519701156</v>
      </c>
      <c r="D1548" s="43">
        <v>102.77556741123402</v>
      </c>
      <c r="E1548" s="43">
        <v>103.2192144014985</v>
      </c>
      <c r="F1548" s="43">
        <v>103.50507125659291</v>
      </c>
      <c r="G1548" s="43">
        <v>103.6529527268296</v>
      </c>
      <c r="H1548" s="43">
        <v>103.68131173319316</v>
      </c>
      <c r="I1548" s="43">
        <v>103.60685986889996</v>
      </c>
    </row>
    <row r="1549" spans="1:9">
      <c r="A1549" s="19">
        <v>514.29999999999995</v>
      </c>
      <c r="B1549" s="43">
        <v>101.35303823168141</v>
      </c>
      <c r="C1549" s="43">
        <v>102.17263253860426</v>
      </c>
      <c r="D1549" s="43">
        <v>102.79478928036718</v>
      </c>
      <c r="E1549" s="43">
        <v>103.23881849181308</v>
      </c>
      <c r="F1549" s="43">
        <v>103.52504560008944</v>
      </c>
      <c r="G1549" s="43">
        <v>103.67327884082664</v>
      </c>
      <c r="H1549" s="43">
        <v>103.70196707735911</v>
      </c>
      <c r="I1549" s="43">
        <v>103.62781964368511</v>
      </c>
    </row>
    <row r="1550" spans="1:9">
      <c r="A1550" s="19">
        <v>514.4</v>
      </c>
      <c r="B1550" s="43">
        <v>101.37150153889047</v>
      </c>
      <c r="C1550" s="43">
        <v>102.19146924997281</v>
      </c>
      <c r="D1550" s="43">
        <v>102.81401043953329</v>
      </c>
      <c r="E1550" s="43">
        <v>103.25842181956588</v>
      </c>
      <c r="F1550" s="43">
        <v>103.54501915341359</v>
      </c>
      <c r="G1550" s="43">
        <v>103.69360415881712</v>
      </c>
      <c r="H1550" s="43">
        <v>103.7226216380983</v>
      </c>
      <c r="I1550" s="43">
        <v>103.64877866285568</v>
      </c>
    </row>
    <row r="1551" spans="1:9">
      <c r="A1551" s="19">
        <v>514.5</v>
      </c>
      <c r="B1551" s="43">
        <v>101.38996432310907</v>
      </c>
      <c r="C1551" s="43">
        <v>102.21030533157489</v>
      </c>
      <c r="D1551" s="43">
        <v>102.83323088912223</v>
      </c>
      <c r="E1551" s="43">
        <v>103.27802438507655</v>
      </c>
      <c r="F1551" s="43">
        <v>103.56499191681158</v>
      </c>
      <c r="G1551" s="43">
        <v>103.71392868099821</v>
      </c>
      <c r="H1551" s="43">
        <v>103.74327541553646</v>
      </c>
      <c r="I1551" s="43">
        <v>103.66973692646502</v>
      </c>
    </row>
    <row r="1552" spans="1:9">
      <c r="A1552" s="19">
        <v>514.6</v>
      </c>
      <c r="B1552" s="43">
        <v>101.40842658455068</v>
      </c>
      <c r="C1552" s="43">
        <v>102.22914078361902</v>
      </c>
      <c r="D1552" s="43">
        <v>102.85245062931537</v>
      </c>
      <c r="E1552" s="43">
        <v>103.29762618851856</v>
      </c>
      <c r="F1552" s="43">
        <v>103.58496389041247</v>
      </c>
      <c r="G1552" s="43">
        <v>103.73425240745871</v>
      </c>
      <c r="H1552" s="43">
        <v>103.76392840970433</v>
      </c>
      <c r="I1552" s="43">
        <v>103.69069443451917</v>
      </c>
    </row>
    <row r="1553" spans="1:9">
      <c r="A1553" s="19">
        <v>514.70000000000005</v>
      </c>
      <c r="B1553" s="43">
        <v>101.42688832355029</v>
      </c>
      <c r="C1553" s="43">
        <v>102.24797560641136</v>
      </c>
      <c r="D1553" s="43">
        <v>102.87166966042699</v>
      </c>
      <c r="E1553" s="43">
        <v>103.31722723011956</v>
      </c>
      <c r="F1553" s="43">
        <v>103.60493507442203</v>
      </c>
      <c r="G1553" s="43">
        <v>103.75457533833517</v>
      </c>
      <c r="H1553" s="43">
        <v>103.78458062070811</v>
      </c>
      <c r="I1553" s="43">
        <v>103.71165118705187</v>
      </c>
    </row>
    <row r="1554" spans="1:9">
      <c r="A1554" s="19">
        <v>514.79999999999995</v>
      </c>
      <c r="B1554" s="43">
        <v>101.4453495404326</v>
      </c>
      <c r="C1554" s="43">
        <v>102.26680980027268</v>
      </c>
      <c r="D1554" s="43">
        <v>102.89088798271547</v>
      </c>
      <c r="E1554" s="43">
        <v>103.33682751013936</v>
      </c>
      <c r="F1554" s="43">
        <v>103.62490546904306</v>
      </c>
      <c r="G1554" s="43">
        <v>103.77489747377643</v>
      </c>
      <c r="H1554" s="43">
        <v>103.80523204862703</v>
      </c>
      <c r="I1554" s="43">
        <v>103.73260718409509</v>
      </c>
    </row>
    <row r="1555" spans="1:9">
      <c r="A1555" s="19">
        <v>514.9</v>
      </c>
      <c r="B1555" s="43">
        <v>101.46381023548801</v>
      </c>
      <c r="C1555" s="43">
        <v>102.28564336549616</v>
      </c>
      <c r="D1555" s="43">
        <v>102.91010559644531</v>
      </c>
      <c r="E1555" s="43">
        <v>103.35642702877681</v>
      </c>
      <c r="F1555" s="43">
        <v>103.64487507440495</v>
      </c>
      <c r="G1555" s="43">
        <v>103.7952188138934</v>
      </c>
      <c r="H1555" s="43">
        <v>103.82588269351396</v>
      </c>
      <c r="I1555" s="43">
        <v>103.7535624256648</v>
      </c>
    </row>
    <row r="1556" spans="1:9">
      <c r="A1556" s="19">
        <v>515</v>
      </c>
      <c r="B1556" s="43">
        <v>101.48227040910223</v>
      </c>
      <c r="C1556" s="43">
        <v>102.3044763024501</v>
      </c>
      <c r="D1556" s="43">
        <v>102.92932250194491</v>
      </c>
      <c r="E1556" s="43">
        <v>103.37602578632951</v>
      </c>
      <c r="F1556" s="43">
        <v>103.66484389076601</v>
      </c>
      <c r="G1556" s="43">
        <v>103.81553935885069</v>
      </c>
      <c r="H1556" s="43">
        <v>103.84653255548616</v>
      </c>
      <c r="I1556" s="43">
        <v>103.77451691180372</v>
      </c>
    </row>
    <row r="1557" spans="1:9">
      <c r="A1557" s="19">
        <v>515.1</v>
      </c>
      <c r="B1557" s="43">
        <v>101.50073006150004</v>
      </c>
      <c r="C1557" s="43">
        <v>102.32330861134417</v>
      </c>
      <c r="D1557" s="43">
        <v>102.94853869943987</v>
      </c>
      <c r="E1557" s="43">
        <v>103.39562378297529</v>
      </c>
      <c r="F1557" s="43">
        <v>103.6848119182655</v>
      </c>
      <c r="G1557" s="43">
        <v>103.83585910875797</v>
      </c>
      <c r="H1557" s="43">
        <v>103.8671816346156</v>
      </c>
      <c r="I1557" s="43">
        <v>103.79547064253089</v>
      </c>
    </row>
    <row r="1558" spans="1:9">
      <c r="A1558" s="19">
        <v>515.20000000000005</v>
      </c>
      <c r="B1558" s="43">
        <v>101.51918919308164</v>
      </c>
      <c r="C1558" s="43">
        <v>102.34214029255924</v>
      </c>
      <c r="D1558" s="43">
        <v>102.96775418924264</v>
      </c>
      <c r="E1558" s="43">
        <v>103.41522101897522</v>
      </c>
      <c r="F1558" s="43">
        <v>103.70477915710526</v>
      </c>
      <c r="G1558" s="43">
        <v>103.8561780637651</v>
      </c>
      <c r="H1558" s="43">
        <v>103.88782993096839</v>
      </c>
      <c r="I1558" s="43">
        <v>103.81642361788326</v>
      </c>
    </row>
    <row r="1559" spans="1:9">
      <c r="A1559" s="19">
        <v>515.29999999999995</v>
      </c>
      <c r="B1559" s="43">
        <v>101.53764780410256</v>
      </c>
      <c r="C1559" s="43">
        <v>102.36097134635193</v>
      </c>
      <c r="D1559" s="43">
        <v>102.98696897159655</v>
      </c>
      <c r="E1559" s="43">
        <v>103.4348174945504</v>
      </c>
      <c r="F1559" s="43">
        <v>103.72474560746036</v>
      </c>
      <c r="G1559" s="43">
        <v>103.87649622397672</v>
      </c>
      <c r="H1559" s="43">
        <v>103.90847744463107</v>
      </c>
      <c r="I1559" s="43">
        <v>103.8373758378759</v>
      </c>
    </row>
    <row r="1560" spans="1:9">
      <c r="A1560" s="19">
        <v>515.4</v>
      </c>
      <c r="B1560" s="43">
        <v>101.55610589488617</v>
      </c>
      <c r="C1560" s="43">
        <v>102.37980177305838</v>
      </c>
      <c r="D1560" s="43">
        <v>103.0061830467844</v>
      </c>
      <c r="E1560" s="43">
        <v>103.45441320994811</v>
      </c>
      <c r="F1560" s="43">
        <v>103.74471126952244</v>
      </c>
      <c r="G1560" s="43">
        <v>103.89681358956238</v>
      </c>
      <c r="H1560" s="43">
        <v>103.92912417569121</v>
      </c>
      <c r="I1560" s="43">
        <v>103.85832730254916</v>
      </c>
    </row>
    <row r="1561" spans="1:9">
      <c r="A1561" s="19">
        <v>515.5</v>
      </c>
      <c r="B1561" s="43">
        <v>101.57456346574034</v>
      </c>
      <c r="C1561" s="43">
        <v>102.39863157294295</v>
      </c>
      <c r="D1561" s="43">
        <v>103.02539641507735</v>
      </c>
      <c r="E1561" s="43">
        <v>103.47400816536742</v>
      </c>
      <c r="F1561" s="43">
        <v>103.76467614347064</v>
      </c>
      <c r="G1561" s="43">
        <v>103.91713016061752</v>
      </c>
      <c r="H1561" s="43">
        <v>103.9497701242193</v>
      </c>
      <c r="I1561" s="43">
        <v>103.87927801192089</v>
      </c>
    </row>
    <row r="1562" spans="1:9">
      <c r="A1562" s="19">
        <v>515.6</v>
      </c>
      <c r="B1562" s="43">
        <v>101.59302051695076</v>
      </c>
      <c r="C1562" s="43">
        <v>102.4174607462717</v>
      </c>
      <c r="D1562" s="43">
        <v>103.04460907672816</v>
      </c>
      <c r="E1562" s="43">
        <v>103.4936023610438</v>
      </c>
      <c r="F1562" s="43">
        <v>103.78464022946886</v>
      </c>
      <c r="G1562" s="43">
        <v>103.93744593729264</v>
      </c>
      <c r="H1562" s="43">
        <v>103.97041529029227</v>
      </c>
      <c r="I1562" s="43">
        <v>103.90022796602381</v>
      </c>
    </row>
    <row r="1563" spans="1:9">
      <c r="A1563" s="19">
        <v>515.70000000000005</v>
      </c>
      <c r="B1563" s="43">
        <v>101.6114770489427</v>
      </c>
      <c r="C1563" s="43">
        <v>102.43628929348961</v>
      </c>
      <c r="D1563" s="43">
        <v>103.06382103208236</v>
      </c>
      <c r="E1563" s="43">
        <v>103.51319579726157</v>
      </c>
      <c r="F1563" s="43">
        <v>103.80460352776143</v>
      </c>
      <c r="G1563" s="43">
        <v>103.95776091974062</v>
      </c>
      <c r="H1563" s="43">
        <v>103.99105967401778</v>
      </c>
      <c r="I1563" s="43">
        <v>103.92117716489724</v>
      </c>
    </row>
    <row r="1564" spans="1:9">
      <c r="A1564" s="19">
        <v>515.79999999999995</v>
      </c>
      <c r="B1564" s="43">
        <v>101.6299330618794</v>
      </c>
      <c r="C1564" s="43">
        <v>102.45511721475299</v>
      </c>
      <c r="D1564" s="43">
        <v>103.08303228131143</v>
      </c>
      <c r="E1564" s="43">
        <v>103.53278847419247</v>
      </c>
      <c r="F1564" s="43">
        <v>103.82456603845216</v>
      </c>
      <c r="G1564" s="43">
        <v>103.97807510805345</v>
      </c>
      <c r="H1564" s="43">
        <v>104.01170327543653</v>
      </c>
      <c r="I1564" s="43">
        <v>103.94212560854865</v>
      </c>
    </row>
    <row r="1565" spans="1:9">
      <c r="A1565" s="19">
        <v>515.9</v>
      </c>
      <c r="B1565" s="43">
        <v>101.64838855623373</v>
      </c>
      <c r="C1565" s="43">
        <v>102.47394451047634</v>
      </c>
      <c r="D1565" s="43">
        <v>103.10224282481005</v>
      </c>
      <c r="E1565" s="43">
        <v>103.55238039214217</v>
      </c>
      <c r="F1565" s="43">
        <v>103.84452776181908</v>
      </c>
      <c r="G1565" s="43">
        <v>103.99838850241917</v>
      </c>
      <c r="H1565" s="43">
        <v>104.03234609467768</v>
      </c>
      <c r="I1565" s="43">
        <v>103.96307329703072</v>
      </c>
    </row>
    <row r="1566" spans="1:9">
      <c r="A1566" s="19">
        <v>516</v>
      </c>
      <c r="B1566" s="43">
        <v>101.66684353220154</v>
      </c>
      <c r="C1566" s="43">
        <v>102.49277118090467</v>
      </c>
      <c r="D1566" s="43">
        <v>103.12145266276585</v>
      </c>
      <c r="E1566" s="43">
        <v>103.57197155127861</v>
      </c>
      <c r="F1566" s="43">
        <v>103.86448869797971</v>
      </c>
      <c r="G1566" s="43">
        <v>104.01870110292606</v>
      </c>
      <c r="H1566" s="43">
        <v>104.05298813177737</v>
      </c>
      <c r="I1566" s="43">
        <v>103.98402023036027</v>
      </c>
    </row>
    <row r="1567" spans="1:9">
      <c r="A1567" s="19">
        <v>516.1</v>
      </c>
      <c r="B1567" s="43">
        <v>101.6852979901245</v>
      </c>
      <c r="C1567" s="43">
        <v>102.51159722632977</v>
      </c>
      <c r="D1567" s="43">
        <v>103.14066179546091</v>
      </c>
      <c r="E1567" s="43">
        <v>103.5915619518442</v>
      </c>
      <c r="F1567" s="43">
        <v>103.88444884713502</v>
      </c>
      <c r="G1567" s="43">
        <v>104.03901290971521</v>
      </c>
      <c r="H1567" s="43">
        <v>104.07362938684696</v>
      </c>
      <c r="I1567" s="43">
        <v>104.00496640856272</v>
      </c>
    </row>
    <row r="1568" spans="1:9">
      <c r="A1568" s="19">
        <v>516.20000000000005</v>
      </c>
      <c r="B1568" s="43">
        <v>101.70375193031643</v>
      </c>
      <c r="C1568" s="43">
        <v>102.53042264707392</v>
      </c>
      <c r="D1568" s="43">
        <v>103.15987022320127</v>
      </c>
      <c r="E1568" s="43">
        <v>103.61115159409374</v>
      </c>
      <c r="F1568" s="43">
        <v>103.90440820947666</v>
      </c>
      <c r="G1568" s="43">
        <v>104.05932392293701</v>
      </c>
      <c r="H1568" s="43">
        <v>104.09426985994935</v>
      </c>
      <c r="I1568" s="43">
        <v>104.02591183167308</v>
      </c>
    </row>
    <row r="1569" spans="1:9">
      <c r="A1569" s="19">
        <v>516.29999999999995</v>
      </c>
      <c r="B1569" s="43">
        <v>101.72220535307537</v>
      </c>
      <c r="C1569" s="43">
        <v>102.54924744342023</v>
      </c>
      <c r="D1569" s="43">
        <v>103.17907794621377</v>
      </c>
      <c r="E1569" s="43">
        <v>103.63074047824813</v>
      </c>
      <c r="F1569" s="43">
        <v>103.92436678517359</v>
      </c>
      <c r="G1569" s="43">
        <v>104.07963414270765</v>
      </c>
      <c r="H1569" s="43">
        <v>104.11490955116952</v>
      </c>
      <c r="I1569" s="43">
        <v>104.04685649971898</v>
      </c>
    </row>
    <row r="1570" spans="1:9">
      <c r="A1570" s="19">
        <v>516.4</v>
      </c>
      <c r="B1570" s="43">
        <v>101.74065825876986</v>
      </c>
      <c r="C1570" s="43">
        <v>102.56807161574162</v>
      </c>
      <c r="D1570" s="43">
        <v>103.19828496485388</v>
      </c>
      <c r="E1570" s="43">
        <v>103.65032860456861</v>
      </c>
      <c r="F1570" s="43">
        <v>103.94432457446177</v>
      </c>
      <c r="G1570" s="43">
        <v>104.09994356918884</v>
      </c>
      <c r="H1570" s="43">
        <v>104.13554846061368</v>
      </c>
      <c r="I1570" s="43">
        <v>104.06780041274288</v>
      </c>
    </row>
    <row r="1571" spans="1:9">
      <c r="A1571" s="19">
        <v>516.5</v>
      </c>
      <c r="B1571" s="43">
        <v>101.75911064761354</v>
      </c>
      <c r="C1571" s="43">
        <v>102.58689516422345</v>
      </c>
      <c r="D1571" s="43">
        <v>103.21749127929988</v>
      </c>
      <c r="E1571" s="43">
        <v>103.66991597322536</v>
      </c>
      <c r="F1571" s="43">
        <v>103.96428157745072</v>
      </c>
      <c r="G1571" s="43">
        <v>104.12025220247128</v>
      </c>
      <c r="H1571" s="43">
        <v>104.15618658831815</v>
      </c>
      <c r="I1571" s="43">
        <v>104.08874357075189</v>
      </c>
    </row>
    <row r="1572" spans="1:9">
      <c r="A1572" s="19">
        <v>516.6</v>
      </c>
      <c r="B1572" s="43">
        <v>101.77756252008049</v>
      </c>
      <c r="C1572" s="43">
        <v>102.60571808931724</v>
      </c>
      <c r="D1572" s="43">
        <v>103.23669688992646</v>
      </c>
      <c r="E1572" s="43">
        <v>103.68950258454299</v>
      </c>
      <c r="F1572" s="43">
        <v>103.98423779440762</v>
      </c>
      <c r="G1572" s="43">
        <v>104.1405600427457</v>
      </c>
      <c r="H1572" s="43">
        <v>104.17682393442126</v>
      </c>
      <c r="I1572" s="43">
        <v>104.1096859738029</v>
      </c>
    </row>
    <row r="1573" spans="1:9">
      <c r="A1573" s="19">
        <v>516.70000000000005</v>
      </c>
      <c r="B1573" s="43">
        <v>101.7960138763238</v>
      </c>
      <c r="C1573" s="43">
        <v>102.62454039118978</v>
      </c>
      <c r="D1573" s="43">
        <v>103.25590179691238</v>
      </c>
      <c r="E1573" s="43">
        <v>103.7090884386686</v>
      </c>
      <c r="F1573" s="43">
        <v>104.00419322544695</v>
      </c>
      <c r="G1573" s="43">
        <v>104.16086709009363</v>
      </c>
      <c r="H1573" s="43">
        <v>104.19746049895952</v>
      </c>
      <c r="I1573" s="43">
        <v>104.13062762190359</v>
      </c>
    </row>
    <row r="1574" spans="1:9">
      <c r="A1574" s="19">
        <v>516.79999999999995</v>
      </c>
      <c r="B1574" s="43">
        <v>101.81446471673164</v>
      </c>
      <c r="C1574" s="43">
        <v>102.64336207020094</v>
      </c>
      <c r="D1574" s="43">
        <v>103.27510600058775</v>
      </c>
      <c r="E1574" s="43">
        <v>103.72867353588049</v>
      </c>
      <c r="F1574" s="43">
        <v>104.02414787079402</v>
      </c>
      <c r="G1574" s="43">
        <v>104.18117334467735</v>
      </c>
      <c r="H1574" s="43">
        <v>104.21809628202573</v>
      </c>
      <c r="I1574" s="43">
        <v>104.1515685150938</v>
      </c>
    </row>
    <row r="1575" spans="1:9">
      <c r="A1575" s="19">
        <v>516.9</v>
      </c>
      <c r="B1575" s="43">
        <v>101.8329150415729</v>
      </c>
      <c r="C1575" s="43">
        <v>102.66218312664267</v>
      </c>
      <c r="D1575" s="43">
        <v>103.29430950119129</v>
      </c>
      <c r="E1575" s="43">
        <v>103.74825787639767</v>
      </c>
      <c r="F1575" s="43">
        <v>104.04410173061561</v>
      </c>
      <c r="G1575" s="43">
        <v>104.20147880661932</v>
      </c>
      <c r="H1575" s="43">
        <v>104.23873128371065</v>
      </c>
      <c r="I1575" s="43">
        <v>104.17250865340034</v>
      </c>
    </row>
    <row r="1576" spans="1:9">
      <c r="A1576" s="19">
        <v>517</v>
      </c>
      <c r="B1576" s="43">
        <v>101.85136485117113</v>
      </c>
      <c r="C1576" s="43">
        <v>102.68100356081729</v>
      </c>
      <c r="D1576" s="43">
        <v>103.31351229902364</v>
      </c>
      <c r="E1576" s="43">
        <v>103.76784146045011</v>
      </c>
      <c r="F1576" s="43">
        <v>104.06405480510111</v>
      </c>
      <c r="G1576" s="43">
        <v>104.22178347605262</v>
      </c>
      <c r="H1576" s="43">
        <v>104.25936550409048</v>
      </c>
      <c r="I1576" s="43">
        <v>104.19344803685274</v>
      </c>
    </row>
    <row r="1577" spans="1:9">
      <c r="A1577" s="19">
        <v>517.1</v>
      </c>
      <c r="B1577" s="43">
        <v>101.86981414594661</v>
      </c>
      <c r="C1577" s="43">
        <v>102.69982337308957</v>
      </c>
      <c r="D1577" s="43">
        <v>103.33271439438039</v>
      </c>
      <c r="E1577" s="43">
        <v>103.78742428832413</v>
      </c>
      <c r="F1577" s="43">
        <v>104.08400709446619</v>
      </c>
      <c r="G1577" s="43">
        <v>104.24208735315372</v>
      </c>
      <c r="H1577" s="43">
        <v>104.27999894326874</v>
      </c>
      <c r="I1577" s="43">
        <v>104.21438666550017</v>
      </c>
    </row>
    <row r="1578" spans="1:9">
      <c r="A1578" s="19">
        <v>517.20000000000005</v>
      </c>
      <c r="B1578" s="43">
        <v>101.88826292602343</v>
      </c>
      <c r="C1578" s="43">
        <v>102.71864256364196</v>
      </c>
      <c r="D1578" s="43">
        <v>103.35191578747208</v>
      </c>
      <c r="E1578" s="43">
        <v>103.80700636015376</v>
      </c>
      <c r="F1578" s="43">
        <v>104.10395859885011</v>
      </c>
      <c r="G1578" s="43">
        <v>104.26239043798847</v>
      </c>
      <c r="H1578" s="43">
        <v>104.3006316012837</v>
      </c>
      <c r="I1578" s="43">
        <v>104.2353245393443</v>
      </c>
    </row>
    <row r="1579" spans="1:9">
      <c r="A1579" s="19">
        <v>517.29999999999995</v>
      </c>
      <c r="B1579" s="43">
        <v>101.90671119188139</v>
      </c>
      <c r="C1579" s="43">
        <v>102.73746113290008</v>
      </c>
      <c r="D1579" s="43">
        <v>103.37111647865791</v>
      </c>
      <c r="E1579" s="43">
        <v>103.82658767627629</v>
      </c>
      <c r="F1579" s="43">
        <v>104.12390931848958</v>
      </c>
      <c r="G1579" s="43">
        <v>104.28269273075495</v>
      </c>
      <c r="H1579" s="43">
        <v>104.32126347827321</v>
      </c>
      <c r="I1579" s="43">
        <v>104.25626165844579</v>
      </c>
    </row>
    <row r="1580" spans="1:9">
      <c r="A1580" s="19">
        <v>517.4</v>
      </c>
      <c r="B1580" s="43">
        <v>101.92515894368995</v>
      </c>
      <c r="C1580" s="43">
        <v>102.75627908102868</v>
      </c>
      <c r="D1580" s="43">
        <v>103.39031646809852</v>
      </c>
      <c r="E1580" s="43">
        <v>103.84616823683274</v>
      </c>
      <c r="F1580" s="43">
        <v>104.1438592535068</v>
      </c>
      <c r="G1580" s="43">
        <v>104.30299423153684</v>
      </c>
      <c r="H1580" s="43">
        <v>104.34189457426984</v>
      </c>
      <c r="I1580" s="43">
        <v>104.27719802280905</v>
      </c>
    </row>
    <row r="1581" spans="1:9">
      <c r="A1581" s="19">
        <v>517.5</v>
      </c>
      <c r="B1581" s="43">
        <v>101.94360618190123</v>
      </c>
      <c r="C1581" s="43">
        <v>102.77509640849939</v>
      </c>
      <c r="D1581" s="43">
        <v>103.4095157562007</v>
      </c>
      <c r="E1581" s="43">
        <v>103.8657480421418</v>
      </c>
      <c r="F1581" s="43">
        <v>104.16380840415843</v>
      </c>
      <c r="G1581" s="43">
        <v>104.32329494051993</v>
      </c>
      <c r="H1581" s="43">
        <v>104.3625248893984</v>
      </c>
      <c r="I1581" s="43">
        <v>104.29813363249119</v>
      </c>
    </row>
    <row r="1582" spans="1:9">
      <c r="A1582" s="19">
        <v>517.6</v>
      </c>
      <c r="B1582" s="43">
        <v>101.96205290675374</v>
      </c>
      <c r="C1582" s="43">
        <v>102.79391311550449</v>
      </c>
      <c r="D1582" s="43">
        <v>103.4287143431655</v>
      </c>
      <c r="E1582" s="43">
        <v>103.88532709239911</v>
      </c>
      <c r="F1582" s="43">
        <v>104.18375677059265</v>
      </c>
      <c r="G1582" s="43">
        <v>104.34359485780379</v>
      </c>
      <c r="H1582" s="43">
        <v>104.38315442372166</v>
      </c>
      <c r="I1582" s="43">
        <v>104.31906848750904</v>
      </c>
    </row>
    <row r="1583" spans="1:9">
      <c r="A1583" s="19">
        <v>517.70000000000005</v>
      </c>
      <c r="B1583" s="43">
        <v>101.98049911847085</v>
      </c>
      <c r="C1583" s="43">
        <v>102.81272920229534</v>
      </c>
      <c r="D1583" s="43">
        <v>103.44791222920986</v>
      </c>
      <c r="E1583" s="43">
        <v>103.90490538779395</v>
      </c>
      <c r="F1583" s="43">
        <v>104.20370435296977</v>
      </c>
      <c r="G1583" s="43">
        <v>104.36389398350181</v>
      </c>
      <c r="H1583" s="43">
        <v>104.40378317730011</v>
      </c>
      <c r="I1583" s="43">
        <v>104.34000258788058</v>
      </c>
    </row>
    <row r="1584" spans="1:9">
      <c r="A1584" s="19">
        <v>517.79999999999995</v>
      </c>
      <c r="B1584" s="43">
        <v>101.99894481755723</v>
      </c>
      <c r="C1584" s="43">
        <v>102.83154466932493</v>
      </c>
      <c r="D1584" s="43">
        <v>103.46710941473486</v>
      </c>
      <c r="E1584" s="43">
        <v>103.92448292864478</v>
      </c>
      <c r="F1584" s="43">
        <v>104.22365115153724</v>
      </c>
      <c r="G1584" s="43">
        <v>104.38419231781339</v>
      </c>
      <c r="H1584" s="43">
        <v>104.42441115026614</v>
      </c>
      <c r="I1584" s="43">
        <v>104.36093593367048</v>
      </c>
    </row>
    <row r="1585" spans="1:9">
      <c r="A1585" s="19">
        <v>517.9</v>
      </c>
      <c r="B1585" s="43">
        <v>102.0173900041614</v>
      </c>
      <c r="C1585" s="43">
        <v>102.85035951673765</v>
      </c>
      <c r="D1585" s="43">
        <v>103.48630589990532</v>
      </c>
      <c r="E1585" s="43">
        <v>103.94405971511475</v>
      </c>
      <c r="F1585" s="43">
        <v>104.2435971664201</v>
      </c>
      <c r="G1585" s="43">
        <v>104.40448986082035</v>
      </c>
      <c r="H1585" s="43">
        <v>104.44503834266345</v>
      </c>
      <c r="I1585" s="43">
        <v>104.38186852488505</v>
      </c>
    </row>
    <row r="1586" spans="1:9">
      <c r="A1586" s="19">
        <v>518</v>
      </c>
      <c r="B1586" s="43">
        <v>102.03583467870064</v>
      </c>
      <c r="C1586" s="43">
        <v>102.86917374498879</v>
      </c>
      <c r="D1586" s="43">
        <v>103.50550168509275</v>
      </c>
      <c r="E1586" s="43">
        <v>103.96363574750063</v>
      </c>
      <c r="F1586" s="43">
        <v>104.26354239786878</v>
      </c>
      <c r="G1586" s="43">
        <v>104.42478661270431</v>
      </c>
      <c r="H1586" s="43">
        <v>104.46566475460742</v>
      </c>
      <c r="I1586" s="43">
        <v>104.40280036157202</v>
      </c>
    </row>
    <row r="1587" spans="1:9">
      <c r="A1587" s="19">
        <v>518.1</v>
      </c>
      <c r="B1587" s="43">
        <v>102.05427884139743</v>
      </c>
      <c r="C1587" s="43">
        <v>102.88798735424379</v>
      </c>
      <c r="D1587" s="43">
        <v>103.52469677047216</v>
      </c>
      <c r="E1587" s="43">
        <v>103.98321102597831</v>
      </c>
      <c r="F1587" s="43">
        <v>104.28348684600186</v>
      </c>
      <c r="G1587" s="43">
        <v>104.44508257355815</v>
      </c>
      <c r="H1587" s="43">
        <v>104.48629038615795</v>
      </c>
      <c r="I1587" s="43">
        <v>104.42373144375554</v>
      </c>
    </row>
    <row r="1588" spans="1:9">
      <c r="A1588" s="19">
        <v>518.20000000000005</v>
      </c>
      <c r="B1588" s="43">
        <v>102.07272249266495</v>
      </c>
      <c r="C1588" s="43">
        <v>102.90680034492212</v>
      </c>
      <c r="D1588" s="43">
        <v>103.54389115641473</v>
      </c>
      <c r="E1588" s="43">
        <v>104.00278555082232</v>
      </c>
      <c r="F1588" s="43">
        <v>104.30343051108184</v>
      </c>
      <c r="G1588" s="43">
        <v>104.46537774354746</v>
      </c>
      <c r="H1588" s="43">
        <v>104.50691523741443</v>
      </c>
      <c r="I1588" s="43">
        <v>104.444661771472</v>
      </c>
    </row>
    <row r="1589" spans="1:9">
      <c r="A1589" s="19">
        <v>518.29999999999995</v>
      </c>
      <c r="B1589" s="43">
        <v>102.09116563270968</v>
      </c>
      <c r="C1589" s="43">
        <v>102.92561271723386</v>
      </c>
      <c r="D1589" s="43">
        <v>103.56308484310776</v>
      </c>
      <c r="E1589" s="43">
        <v>104.02235932224511</v>
      </c>
      <c r="F1589" s="43">
        <v>104.323373393221</v>
      </c>
      <c r="G1589" s="43">
        <v>104.48567212278749</v>
      </c>
      <c r="H1589" s="43">
        <v>104.5275393084446</v>
      </c>
      <c r="I1589" s="43">
        <v>104.46559134474796</v>
      </c>
    </row>
    <row r="1590" spans="1:9">
      <c r="A1590" s="19">
        <v>518.4</v>
      </c>
      <c r="B1590" s="43">
        <v>102.10960826186636</v>
      </c>
      <c r="C1590" s="43">
        <v>102.94442447149018</v>
      </c>
      <c r="D1590" s="43">
        <v>103.58227783084658</v>
      </c>
      <c r="E1590" s="43">
        <v>104.04193234045931</v>
      </c>
      <c r="F1590" s="43">
        <v>104.3433154926399</v>
      </c>
      <c r="G1590" s="43">
        <v>104.50596571141207</v>
      </c>
      <c r="H1590" s="43">
        <v>104.54816259933799</v>
      </c>
      <c r="I1590" s="43">
        <v>104.48652016361606</v>
      </c>
    </row>
    <row r="1591" spans="1:9">
      <c r="A1591" s="19">
        <v>518.5</v>
      </c>
      <c r="B1591" s="43">
        <v>102.12805038053358</v>
      </c>
      <c r="C1591" s="43">
        <v>102.96323560806192</v>
      </c>
      <c r="D1591" s="43">
        <v>103.60147011995923</v>
      </c>
      <c r="E1591" s="43">
        <v>104.06150460576549</v>
      </c>
      <c r="F1591" s="43">
        <v>104.3632568095459</v>
      </c>
      <c r="G1591" s="43">
        <v>104.52625850959868</v>
      </c>
      <c r="H1591" s="43">
        <v>104.56878511019519</v>
      </c>
      <c r="I1591" s="43">
        <v>104.50744822812601</v>
      </c>
    </row>
    <row r="1592" spans="1:9">
      <c r="A1592" s="19">
        <v>518.6</v>
      </c>
      <c r="B1592" s="43">
        <v>102.14649198886727</v>
      </c>
      <c r="C1592" s="43">
        <v>102.98204612714201</v>
      </c>
      <c r="D1592" s="43">
        <v>103.62066171063518</v>
      </c>
      <c r="E1592" s="43">
        <v>104.08107611832057</v>
      </c>
      <c r="F1592" s="43">
        <v>104.38319734406954</v>
      </c>
      <c r="G1592" s="43">
        <v>104.54655051741162</v>
      </c>
      <c r="H1592" s="43">
        <v>104.58940684107679</v>
      </c>
      <c r="I1592" s="43">
        <v>104.5283755382811</v>
      </c>
    </row>
    <row r="1593" spans="1:9">
      <c r="A1593" s="19">
        <v>518.70000000000005</v>
      </c>
      <c r="B1593" s="43">
        <v>102.16493308736193</v>
      </c>
      <c r="C1593" s="43">
        <v>103.0008560291634</v>
      </c>
      <c r="D1593" s="43">
        <v>103.63985260325569</v>
      </c>
      <c r="E1593" s="43">
        <v>104.10064687843945</v>
      </c>
      <c r="F1593" s="43">
        <v>104.40313709646819</v>
      </c>
      <c r="G1593" s="43">
        <v>104.56684173506682</v>
      </c>
      <c r="H1593" s="43">
        <v>104.61002779209184</v>
      </c>
      <c r="I1593" s="43">
        <v>104.54930209414547</v>
      </c>
    </row>
    <row r="1594" spans="1:9">
      <c r="A1594" s="19">
        <v>518.79999999999995</v>
      </c>
      <c r="B1594" s="43">
        <v>102.18337367616127</v>
      </c>
      <c r="C1594" s="43">
        <v>103.0196653143183</v>
      </c>
      <c r="D1594" s="43">
        <v>103.65904279797829</v>
      </c>
      <c r="E1594" s="43">
        <v>104.12021688627308</v>
      </c>
      <c r="F1594" s="43">
        <v>104.42307606687265</v>
      </c>
      <c r="G1594" s="43">
        <v>104.58713216264204</v>
      </c>
      <c r="H1594" s="43">
        <v>104.63064796329826</v>
      </c>
      <c r="I1594" s="43">
        <v>104.57022789573077</v>
      </c>
    </row>
    <row r="1595" spans="1:9">
      <c r="A1595" s="19">
        <v>518.9</v>
      </c>
      <c r="B1595" s="43">
        <v>102.20181375571153</v>
      </c>
      <c r="C1595" s="43">
        <v>103.03847398298453</v>
      </c>
      <c r="D1595" s="43">
        <v>103.67823229517745</v>
      </c>
      <c r="E1595" s="43">
        <v>104.13978614213354</v>
      </c>
      <c r="F1595" s="43">
        <v>104.44301425549619</v>
      </c>
      <c r="G1595" s="43">
        <v>104.60742180031116</v>
      </c>
      <c r="H1595" s="43">
        <v>104.6512673548047</v>
      </c>
      <c r="I1595" s="43">
        <v>104.59115294309191</v>
      </c>
    </row>
    <row r="1596" spans="1:9">
      <c r="A1596" s="19">
        <v>519</v>
      </c>
      <c r="B1596" s="43">
        <v>102.2202533262159</v>
      </c>
      <c r="C1596" s="43">
        <v>103.05728203540644</v>
      </c>
      <c r="D1596" s="43">
        <v>103.69742109507351</v>
      </c>
      <c r="E1596" s="43">
        <v>104.15935464618929</v>
      </c>
      <c r="F1596" s="43">
        <v>104.46295166253327</v>
      </c>
      <c r="G1596" s="43">
        <v>104.6277106481819</v>
      </c>
      <c r="H1596" s="43">
        <v>104.67188596669158</v>
      </c>
      <c r="I1596" s="43">
        <v>104.61207723623426</v>
      </c>
    </row>
    <row r="1597" spans="1:9">
      <c r="A1597" s="19">
        <v>519.1</v>
      </c>
      <c r="B1597" s="43">
        <v>102.23869238797911</v>
      </c>
      <c r="C1597" s="43">
        <v>103.07608947187384</v>
      </c>
      <c r="D1597" s="43">
        <v>103.7166091979075</v>
      </c>
      <c r="E1597" s="43">
        <v>104.1789223986903</v>
      </c>
      <c r="F1597" s="43">
        <v>104.48288828812565</v>
      </c>
      <c r="G1597" s="43">
        <v>104.647998706392</v>
      </c>
      <c r="H1597" s="43">
        <v>104.69250379901916</v>
      </c>
      <c r="I1597" s="43">
        <v>104.63300077520864</v>
      </c>
    </row>
    <row r="1598" spans="1:9">
      <c r="A1598" s="19">
        <v>519.20000000000005</v>
      </c>
      <c r="B1598" s="43">
        <v>102.25713094148125</v>
      </c>
      <c r="C1598" s="43">
        <v>103.09489629280256</v>
      </c>
      <c r="D1598" s="43">
        <v>103.73579660406233</v>
      </c>
      <c r="E1598" s="43">
        <v>104.1984893999487</v>
      </c>
      <c r="F1598" s="43">
        <v>104.50282413254209</v>
      </c>
      <c r="G1598" s="43">
        <v>104.66828597512227</v>
      </c>
      <c r="H1598" s="43">
        <v>104.71312085191818</v>
      </c>
      <c r="I1598" s="43">
        <v>104.65392356006097</v>
      </c>
    </row>
    <row r="1599" spans="1:9">
      <c r="A1599" s="19">
        <v>519.29999999999995</v>
      </c>
      <c r="B1599" s="43">
        <v>102.27556898679552</v>
      </c>
      <c r="C1599" s="43">
        <v>103.11370249832598</v>
      </c>
      <c r="D1599" s="43">
        <v>103.75498331365949</v>
      </c>
      <c r="E1599" s="43">
        <v>104.21805565005218</v>
      </c>
      <c r="F1599" s="43">
        <v>104.52275919587063</v>
      </c>
      <c r="G1599" s="43">
        <v>104.68857245444005</v>
      </c>
      <c r="H1599" s="43">
        <v>104.73373712542767</v>
      </c>
      <c r="I1599" s="43">
        <v>104.67484559079372</v>
      </c>
    </row>
    <row r="1600" spans="1:9">
      <c r="A1600" s="19">
        <v>519.4</v>
      </c>
      <c r="B1600" s="43">
        <v>102.29400652443039</v>
      </c>
      <c r="C1600" s="43">
        <v>103.13250808890896</v>
      </c>
      <c r="D1600" s="43">
        <v>103.7741693271515</v>
      </c>
      <c r="E1600" s="43">
        <v>104.23762114937304</v>
      </c>
      <c r="F1600" s="43">
        <v>104.54269347838988</v>
      </c>
      <c r="G1600" s="43">
        <v>104.70885814455741</v>
      </c>
      <c r="H1600" s="43">
        <v>104.75435261967436</v>
      </c>
      <c r="I1600" s="43">
        <v>104.69576686747629</v>
      </c>
    </row>
    <row r="1601" spans="1:9">
      <c r="A1601" s="19">
        <v>519.5</v>
      </c>
      <c r="B1601" s="43">
        <v>102.31244355453259</v>
      </c>
      <c r="C1601" s="43">
        <v>103.15131306469527</v>
      </c>
      <c r="D1601" s="43">
        <v>103.7933546446439</v>
      </c>
      <c r="E1601" s="43">
        <v>104.25718589804214</v>
      </c>
      <c r="F1601" s="43">
        <v>104.56262698022218</v>
      </c>
      <c r="G1601" s="43">
        <v>104.72914304553152</v>
      </c>
      <c r="H1601" s="43">
        <v>104.77496733469457</v>
      </c>
      <c r="I1601" s="43">
        <v>104.71668739010522</v>
      </c>
    </row>
    <row r="1602" spans="1:9">
      <c r="A1602" s="19">
        <v>519.6</v>
      </c>
      <c r="B1602" s="43">
        <v>102.33088007757868</v>
      </c>
      <c r="C1602" s="43">
        <v>103.17011742614662</v>
      </c>
      <c r="D1602" s="43">
        <v>103.81253926655322</v>
      </c>
      <c r="E1602" s="43">
        <v>104.27674989639345</v>
      </c>
      <c r="F1602" s="43">
        <v>104.58255970159692</v>
      </c>
      <c r="G1602" s="43">
        <v>104.74942715757498</v>
      </c>
      <c r="H1602" s="43">
        <v>104.79558127063487</v>
      </c>
      <c r="I1602" s="43">
        <v>104.73760715875946</v>
      </c>
    </row>
    <row r="1603" spans="1:9">
      <c r="A1603" s="19">
        <v>519.70000000000005</v>
      </c>
      <c r="B1603" s="43">
        <v>102.34931609373908</v>
      </c>
      <c r="C1603" s="43">
        <v>103.18892117344103</v>
      </c>
      <c r="D1603" s="43">
        <v>103.83172319303512</v>
      </c>
      <c r="E1603" s="43">
        <v>104.29631314458862</v>
      </c>
      <c r="F1603" s="43">
        <v>104.60249164268009</v>
      </c>
      <c r="G1603" s="43">
        <v>104.7697104807778</v>
      </c>
      <c r="H1603" s="43">
        <v>104.81619442753296</v>
      </c>
      <c r="I1603" s="43">
        <v>104.75852617343267</v>
      </c>
    </row>
    <row r="1604" spans="1:9">
      <c r="A1604" s="19">
        <v>519.79999999999995</v>
      </c>
      <c r="B1604" s="43">
        <v>102.36775160332473</v>
      </c>
      <c r="C1604" s="43">
        <v>103.20772430687859</v>
      </c>
      <c r="D1604" s="43">
        <v>103.85090642440832</v>
      </c>
      <c r="E1604" s="43">
        <v>104.31587564283535</v>
      </c>
      <c r="F1604" s="43">
        <v>104.62242280363682</v>
      </c>
      <c r="G1604" s="43">
        <v>104.78999301528336</v>
      </c>
      <c r="H1604" s="43">
        <v>104.83680680548096</v>
      </c>
      <c r="I1604" s="43">
        <v>104.77944443417806</v>
      </c>
    </row>
    <row r="1605" spans="1:9">
      <c r="A1605" s="19">
        <v>519.9</v>
      </c>
      <c r="B1605" s="43">
        <v>102.38618660678</v>
      </c>
      <c r="C1605" s="43">
        <v>103.22652682688457</v>
      </c>
      <c r="D1605" s="43">
        <v>103.87008896099323</v>
      </c>
      <c r="E1605" s="43">
        <v>104.33543739148305</v>
      </c>
      <c r="F1605" s="43">
        <v>104.64235318471631</v>
      </c>
      <c r="G1605" s="43">
        <v>104.81027476126167</v>
      </c>
      <c r="H1605" s="43">
        <v>104.85741840459383</v>
      </c>
      <c r="I1605" s="43">
        <v>104.80036194104275</v>
      </c>
    </row>
    <row r="1606" spans="1:9">
      <c r="A1606" s="19">
        <v>520</v>
      </c>
      <c r="B1606" s="43">
        <v>102.38229265755842</v>
      </c>
      <c r="C1606" s="43">
        <v>103.22443350002942</v>
      </c>
      <c r="D1606" s="43">
        <v>103.87019148061171</v>
      </c>
      <c r="E1606" s="43">
        <v>104.33805585815253</v>
      </c>
      <c r="F1606" s="43">
        <v>104.64773670567027</v>
      </c>
      <c r="G1606" s="43">
        <v>104.81860991623759</v>
      </c>
      <c r="H1606" s="43">
        <v>104.86883889544521</v>
      </c>
      <c r="I1606" s="43">
        <v>104.81495774076234</v>
      </c>
    </row>
    <row r="1607" spans="1:9">
      <c r="A1607" s="19">
        <v>520.1</v>
      </c>
      <c r="B1607" s="43">
        <v>102.37836406801947</v>
      </c>
      <c r="C1607" s="43">
        <v>103.22230163374564</v>
      </c>
      <c r="D1607" s="43">
        <v>103.87025157144475</v>
      </c>
      <c r="E1607" s="43">
        <v>104.34062832378319</v>
      </c>
      <c r="F1607" s="43">
        <v>104.65307112434783</v>
      </c>
      <c r="G1607" s="43">
        <v>104.8268933800008</v>
      </c>
      <c r="H1607" s="43">
        <v>104.88020558662157</v>
      </c>
      <c r="I1607" s="43">
        <v>104.82949804041064</v>
      </c>
    </row>
    <row r="1608" spans="1:9">
      <c r="A1608" s="19">
        <v>520.20000000000005</v>
      </c>
      <c r="B1608" s="43">
        <v>102.39677115612722</v>
      </c>
      <c r="C1608" s="43">
        <v>103.24107157471076</v>
      </c>
      <c r="D1608" s="43">
        <v>103.88939658205507</v>
      </c>
      <c r="E1608" s="43">
        <v>104.36014757611446</v>
      </c>
      <c r="F1608" s="43">
        <v>104.67295419370646</v>
      </c>
      <c r="G1608" s="43">
        <v>104.84712326782503</v>
      </c>
      <c r="H1608" s="43">
        <v>104.90076111830294</v>
      </c>
      <c r="I1608" s="43">
        <v>104.85035564505159</v>
      </c>
    </row>
    <row r="1609" spans="1:9">
      <c r="A1609" s="19">
        <v>520.29999999999995</v>
      </c>
      <c r="B1609" s="43">
        <v>102.41517774285663</v>
      </c>
      <c r="C1609" s="43">
        <v>103.25984090898865</v>
      </c>
      <c r="D1609" s="43">
        <v>103.90854090569636</v>
      </c>
      <c r="E1609" s="43">
        <v>104.37966608683354</v>
      </c>
      <c r="F1609" s="43">
        <v>104.69283649063598</v>
      </c>
      <c r="G1609" s="43">
        <v>104.86735237341651</v>
      </c>
      <c r="H1609" s="43">
        <v>104.92131587584112</v>
      </c>
      <c r="I1609" s="43">
        <v>104.8712124985345</v>
      </c>
    </row>
    <row r="1610" spans="1:9">
      <c r="A1610" s="19">
        <v>520.4</v>
      </c>
      <c r="B1610" s="43">
        <v>102.43358382856167</v>
      </c>
      <c r="C1610" s="43">
        <v>103.27860963689767</v>
      </c>
      <c r="D1610" s="43">
        <v>103.92768454265507</v>
      </c>
      <c r="E1610" s="43">
        <v>104.39918385613541</v>
      </c>
      <c r="F1610" s="43">
        <v>104.7127180153106</v>
      </c>
      <c r="G1610" s="43">
        <v>104.88758069692213</v>
      </c>
      <c r="H1610" s="43">
        <v>104.94186985932564</v>
      </c>
      <c r="I1610" s="43">
        <v>104.89206860089723</v>
      </c>
    </row>
    <row r="1611" spans="1:9">
      <c r="A1611" s="19">
        <v>520.5</v>
      </c>
      <c r="B1611" s="43">
        <v>102.4519894135602</v>
      </c>
      <c r="C1611" s="43">
        <v>103.29737775876771</v>
      </c>
      <c r="D1611" s="43">
        <v>103.94682749326429</v>
      </c>
      <c r="E1611" s="43">
        <v>104.41870088432739</v>
      </c>
      <c r="F1611" s="43">
        <v>104.73259876796337</v>
      </c>
      <c r="G1611" s="43">
        <v>104.90780823852094</v>
      </c>
      <c r="H1611" s="43">
        <v>104.96242306886674</v>
      </c>
      <c r="I1611" s="43">
        <v>104.91292395219781</v>
      </c>
    </row>
    <row r="1612" spans="1:9">
      <c r="A1612" s="19">
        <v>520.6</v>
      </c>
      <c r="B1612" s="43">
        <v>102.47039449807394</v>
      </c>
      <c r="C1612" s="43">
        <v>103.31614527482986</v>
      </c>
      <c r="D1612" s="43">
        <v>103.96596975768298</v>
      </c>
      <c r="E1612" s="43">
        <v>104.43821717158818</v>
      </c>
      <c r="F1612" s="43">
        <v>104.7524787487402</v>
      </c>
      <c r="G1612" s="43">
        <v>104.92803499829651</v>
      </c>
      <c r="H1612" s="43">
        <v>104.98297550453447</v>
      </c>
      <c r="I1612" s="43">
        <v>104.93377855245964</v>
      </c>
    </row>
    <row r="1613" spans="1:9">
      <c r="A1613" s="19">
        <v>520.70000000000005</v>
      </c>
      <c r="B1613" s="43">
        <v>102.48879908250393</v>
      </c>
      <c r="C1613" s="43">
        <v>103.33491218545964</v>
      </c>
      <c r="D1613" s="43">
        <v>103.98511133627059</v>
      </c>
      <c r="E1613" s="43">
        <v>104.45773271818234</v>
      </c>
      <c r="F1613" s="43">
        <v>104.77235795786748</v>
      </c>
      <c r="G1613" s="43">
        <v>104.94826097643499</v>
      </c>
      <c r="H1613" s="43">
        <v>105.00352716644829</v>
      </c>
      <c r="I1613" s="43">
        <v>104.95463240174283</v>
      </c>
    </row>
    <row r="1614" spans="1:9">
      <c r="A1614" s="19">
        <v>520.79999999999995</v>
      </c>
      <c r="B1614" s="43">
        <v>102.50720316704772</v>
      </c>
      <c r="C1614" s="43">
        <v>103.35367849086643</v>
      </c>
      <c r="D1614" s="43">
        <v>104.0042522292529</v>
      </c>
      <c r="E1614" s="43">
        <v>104.47724752429701</v>
      </c>
      <c r="F1614" s="43">
        <v>104.79223639549258</v>
      </c>
      <c r="G1614" s="43">
        <v>104.96848617305815</v>
      </c>
      <c r="H1614" s="43">
        <v>105.02407805467922</v>
      </c>
      <c r="I1614" s="43">
        <v>104.97548550008386</v>
      </c>
    </row>
    <row r="1615" spans="1:9">
      <c r="A1615" s="19">
        <v>520.9</v>
      </c>
      <c r="B1615" s="43">
        <v>102.52560675209173</v>
      </c>
      <c r="C1615" s="43">
        <v>103.37244419141038</v>
      </c>
      <c r="D1615" s="43">
        <v>104.02339243691716</v>
      </c>
      <c r="E1615" s="43">
        <v>104.49676159021277</v>
      </c>
      <c r="F1615" s="43">
        <v>104.8121140618444</v>
      </c>
      <c r="G1615" s="43">
        <v>104.98871058831196</v>
      </c>
      <c r="H1615" s="43">
        <v>105.04462816931687</v>
      </c>
      <c r="I1615" s="43">
        <v>104.9963378475199</v>
      </c>
    </row>
    <row r="1616" spans="1:9">
      <c r="A1616" s="19">
        <v>521</v>
      </c>
      <c r="B1616" s="43">
        <v>102.54400983794429</v>
      </c>
      <c r="C1616" s="43">
        <v>103.3912092873679</v>
      </c>
      <c r="D1616" s="43">
        <v>104.04253195955289</v>
      </c>
      <c r="E1616" s="43">
        <v>104.51627491616554</v>
      </c>
      <c r="F1616" s="43">
        <v>104.83199095710697</v>
      </c>
      <c r="G1616" s="43">
        <v>105.00893422234304</v>
      </c>
      <c r="H1616" s="43">
        <v>105.06517751048739</v>
      </c>
      <c r="I1616" s="43">
        <v>105.01718944411488</v>
      </c>
    </row>
    <row r="1617" spans="1:9">
      <c r="A1617" s="19">
        <v>521.1</v>
      </c>
      <c r="B1617" s="43">
        <v>102.56241242481278</v>
      </c>
      <c r="C1617" s="43">
        <v>103.40997377902718</v>
      </c>
      <c r="D1617" s="43">
        <v>104.06167079738987</v>
      </c>
      <c r="E1617" s="43">
        <v>104.53578750234519</v>
      </c>
      <c r="F1617" s="43">
        <v>104.85186708143505</v>
      </c>
      <c r="G1617" s="43">
        <v>105.02915707527279</v>
      </c>
      <c r="H1617" s="43">
        <v>105.08572607823695</v>
      </c>
      <c r="I1617" s="43">
        <v>105.03804028988441</v>
      </c>
    </row>
    <row r="1618" spans="1:9">
      <c r="A1618" s="19">
        <v>521.20000000000005</v>
      </c>
      <c r="B1618" s="43">
        <v>102.58081451308348</v>
      </c>
      <c r="C1618" s="43">
        <v>103.42873766666258</v>
      </c>
      <c r="D1618" s="43">
        <v>104.08080895072575</v>
      </c>
      <c r="E1618" s="43">
        <v>104.55529934902245</v>
      </c>
      <c r="F1618" s="43">
        <v>104.8717424350547</v>
      </c>
      <c r="G1618" s="43">
        <v>105.04937914727893</v>
      </c>
      <c r="H1618" s="43">
        <v>105.10627387268718</v>
      </c>
      <c r="I1618" s="43">
        <v>105.05889038489718</v>
      </c>
    </row>
    <row r="1619" spans="1:9">
      <c r="A1619" s="19">
        <v>521.29999999999995</v>
      </c>
      <c r="B1619" s="43">
        <v>102.59921610301024</v>
      </c>
      <c r="C1619" s="43">
        <v>103.44750095061949</v>
      </c>
      <c r="D1619" s="43">
        <v>104.09994641981621</v>
      </c>
      <c r="E1619" s="43">
        <v>104.57481045641333</v>
      </c>
      <c r="F1619" s="43">
        <v>104.89161701815209</v>
      </c>
      <c r="G1619" s="43">
        <v>105.06960043846945</v>
      </c>
      <c r="H1619" s="43">
        <v>105.12682089392734</v>
      </c>
      <c r="I1619" s="43">
        <v>105.07973972917929</v>
      </c>
    </row>
    <row r="1620" spans="1:9">
      <c r="A1620" s="19">
        <v>521.4</v>
      </c>
      <c r="B1620" s="43">
        <v>102.61761719493839</v>
      </c>
      <c r="C1620" s="43">
        <v>103.46626363116377</v>
      </c>
      <c r="D1620" s="43">
        <v>104.11908320495851</v>
      </c>
      <c r="E1620" s="43">
        <v>104.59432082477358</v>
      </c>
      <c r="F1620" s="43">
        <v>104.91149083091784</v>
      </c>
      <c r="G1620" s="43">
        <v>105.08982094901305</v>
      </c>
      <c r="H1620" s="43">
        <v>105.14736714205753</v>
      </c>
      <c r="I1620" s="43">
        <v>105.1005883227898</v>
      </c>
    </row>
    <row r="1621" spans="1:9">
      <c r="A1621" s="19">
        <v>521.5</v>
      </c>
      <c r="B1621" s="43">
        <v>102.63601778912897</v>
      </c>
      <c r="C1621" s="43">
        <v>103.48502570858327</v>
      </c>
      <c r="D1621" s="43">
        <v>104.13821930638693</v>
      </c>
      <c r="E1621" s="43">
        <v>104.61383045430492</v>
      </c>
      <c r="F1621" s="43">
        <v>104.93136387351154</v>
      </c>
      <c r="G1621" s="43">
        <v>105.11004067902826</v>
      </c>
      <c r="H1621" s="43">
        <v>105.16791261714883</v>
      </c>
      <c r="I1621" s="43">
        <v>105.12143616576023</v>
      </c>
    </row>
    <row r="1622" spans="1:9">
      <c r="A1622" s="19">
        <v>521.6</v>
      </c>
      <c r="B1622" s="43">
        <v>102.65441788588063</v>
      </c>
      <c r="C1622" s="43">
        <v>103.50378718317083</v>
      </c>
      <c r="D1622" s="43">
        <v>104.15735472439599</v>
      </c>
      <c r="E1622" s="43">
        <v>104.63333934526571</v>
      </c>
      <c r="F1622" s="43">
        <v>104.95123614615713</v>
      </c>
      <c r="G1622" s="43">
        <v>105.13025962866848</v>
      </c>
      <c r="H1622" s="43">
        <v>105.18845731931071</v>
      </c>
      <c r="I1622" s="43">
        <v>105.14228325814187</v>
      </c>
    </row>
    <row r="1623" spans="1:9">
      <c r="A1623" s="19">
        <v>521.70000000000005</v>
      </c>
      <c r="B1623" s="43">
        <v>102.67281748551008</v>
      </c>
      <c r="C1623" s="43">
        <v>103.52254805522105</v>
      </c>
      <c r="D1623" s="43">
        <v>104.17648945922076</v>
      </c>
      <c r="E1623" s="43">
        <v>104.65284749786625</v>
      </c>
      <c r="F1623" s="43">
        <v>104.97110764902288</v>
      </c>
      <c r="G1623" s="43">
        <v>105.1504777980731</v>
      </c>
      <c r="H1623" s="43">
        <v>105.20900124862905</v>
      </c>
      <c r="I1623" s="43">
        <v>105.16312959997575</v>
      </c>
    </row>
    <row r="1624" spans="1:9">
      <c r="A1624" s="19">
        <v>521.79999999999995</v>
      </c>
      <c r="B1624" s="43">
        <v>102.69121658833521</v>
      </c>
      <c r="C1624" s="43">
        <v>103.54130832505936</v>
      </c>
      <c r="D1624" s="43">
        <v>104.19562351118188</v>
      </c>
      <c r="E1624" s="43">
        <v>104.67235491237992</v>
      </c>
      <c r="F1624" s="43">
        <v>104.99097838232404</v>
      </c>
      <c r="G1624" s="43">
        <v>105.17069518740584</v>
      </c>
      <c r="H1624" s="43">
        <v>105.22954440521076</v>
      </c>
      <c r="I1624" s="43">
        <v>105.18397519131554</v>
      </c>
    </row>
    <row r="1625" spans="1:9">
      <c r="A1625" s="19">
        <v>521.9</v>
      </c>
      <c r="B1625" s="43">
        <v>102.70961519457134</v>
      </c>
      <c r="C1625" s="43">
        <v>103.56006799289682</v>
      </c>
      <c r="D1625" s="43">
        <v>104.21475688047772</v>
      </c>
      <c r="E1625" s="43">
        <v>104.69186158896142</v>
      </c>
      <c r="F1625" s="43">
        <v>105.01084834619431</v>
      </c>
      <c r="G1625" s="43">
        <v>105.19091179674678</v>
      </c>
      <c r="H1625" s="43">
        <v>105.25008678911806</v>
      </c>
      <c r="I1625" s="43">
        <v>105.2048200321816</v>
      </c>
    </row>
    <row r="1626" spans="1:9">
      <c r="A1626" s="19">
        <v>522</v>
      </c>
      <c r="B1626" s="43">
        <v>102.7280133046354</v>
      </c>
      <c r="C1626" s="43">
        <v>103.57882705913318</v>
      </c>
      <c r="D1626" s="43">
        <v>104.23388956747223</v>
      </c>
      <c r="E1626" s="43">
        <v>104.71136752795201</v>
      </c>
      <c r="F1626" s="43">
        <v>105.03071754089726</v>
      </c>
      <c r="G1626" s="43">
        <v>105.21112762631412</v>
      </c>
      <c r="H1626" s="43">
        <v>105.27062840048467</v>
      </c>
      <c r="I1626" s="43">
        <v>105.22566412264766</v>
      </c>
    </row>
    <row r="1627" spans="1:9">
      <c r="A1627" s="19">
        <v>522.1</v>
      </c>
      <c r="B1627" s="43">
        <v>102.74641091876595</v>
      </c>
      <c r="C1627" s="43">
        <v>103.59758552402141</v>
      </c>
      <c r="D1627" s="43">
        <v>104.25302157237459</v>
      </c>
      <c r="E1627" s="43">
        <v>104.73087272951318</v>
      </c>
      <c r="F1627" s="43">
        <v>105.05058596657864</v>
      </c>
      <c r="G1627" s="43">
        <v>105.23134267621791</v>
      </c>
      <c r="H1627" s="43">
        <v>105.29116923938469</v>
      </c>
      <c r="I1627" s="43">
        <v>105.24650746274821</v>
      </c>
    </row>
    <row r="1628" spans="1:9">
      <c r="A1628" s="19">
        <v>522.20000000000005</v>
      </c>
      <c r="B1628" s="43">
        <v>102.76480803734842</v>
      </c>
      <c r="C1628" s="43">
        <v>103.61634338788744</v>
      </c>
      <c r="D1628" s="43">
        <v>104.27215289553564</v>
      </c>
      <c r="E1628" s="43">
        <v>104.75037719393643</v>
      </c>
      <c r="F1628" s="43">
        <v>105.07045362348762</v>
      </c>
      <c r="G1628" s="43">
        <v>105.2515569466247</v>
      </c>
      <c r="H1628" s="43">
        <v>105.31170930593049</v>
      </c>
      <c r="I1628" s="43">
        <v>105.26735005254136</v>
      </c>
    </row>
    <row r="1629" spans="1:9">
      <c r="A1629" s="19">
        <v>522.29999999999995</v>
      </c>
      <c r="B1629" s="43">
        <v>102.7832046605192</v>
      </c>
      <c r="C1629" s="43">
        <v>103.63510065093098</v>
      </c>
      <c r="D1629" s="43">
        <v>104.29128353708839</v>
      </c>
      <c r="E1629" s="43">
        <v>104.76988092138089</v>
      </c>
      <c r="F1629" s="43">
        <v>105.090320511714</v>
      </c>
      <c r="G1629" s="43">
        <v>105.27177043762666</v>
      </c>
      <c r="H1629" s="43">
        <v>105.3322486001845</v>
      </c>
      <c r="I1629" s="43">
        <v>105.28819189203961</v>
      </c>
    </row>
    <row r="1630" spans="1:9">
      <c r="A1630" s="19">
        <v>522.4</v>
      </c>
      <c r="B1630" s="43">
        <v>102.80160078867019</v>
      </c>
      <c r="C1630" s="43">
        <v>103.6538573135058</v>
      </c>
      <c r="D1630" s="43">
        <v>104.31041349738746</v>
      </c>
      <c r="E1630" s="43">
        <v>104.78938391212375</v>
      </c>
      <c r="F1630" s="43">
        <v>105.11018663151205</v>
      </c>
      <c r="G1630" s="43">
        <v>105.29198314939333</v>
      </c>
      <c r="H1630" s="43">
        <v>105.35278712224846</v>
      </c>
      <c r="I1630" s="43">
        <v>105.30903298131352</v>
      </c>
    </row>
    <row r="1631" spans="1:9">
      <c r="A1631" s="19">
        <v>522.5</v>
      </c>
      <c r="B1631" s="43">
        <v>102.8199964221121</v>
      </c>
      <c r="C1631" s="43">
        <v>103.67261337591987</v>
      </c>
      <c r="D1631" s="43">
        <v>104.32954277670402</v>
      </c>
      <c r="E1631" s="43">
        <v>104.80888616639115</v>
      </c>
      <c r="F1631" s="43">
        <v>105.13005198306578</v>
      </c>
      <c r="G1631" s="43">
        <v>105.31219508206721</v>
      </c>
      <c r="H1631" s="43">
        <v>105.37332487223435</v>
      </c>
      <c r="I1631" s="43">
        <v>105.32987332040176</v>
      </c>
    </row>
    <row r="1632" spans="1:9">
      <c r="A1632" s="19">
        <v>522.6</v>
      </c>
      <c r="B1632" s="43">
        <v>102.83839156111694</v>
      </c>
      <c r="C1632" s="43">
        <v>103.6913688384258</v>
      </c>
      <c r="D1632" s="43">
        <v>104.3486713752587</v>
      </c>
      <c r="E1632" s="43">
        <v>104.82838768441007</v>
      </c>
      <c r="F1632" s="43">
        <v>105.14991656655292</v>
      </c>
      <c r="G1632" s="43">
        <v>105.33240623580269</v>
      </c>
      <c r="H1632" s="43">
        <v>105.39386185021991</v>
      </c>
      <c r="I1632" s="43">
        <v>105.35071290935065</v>
      </c>
    </row>
    <row r="1633" spans="1:9">
      <c r="A1633" s="19">
        <v>522.70000000000005</v>
      </c>
      <c r="B1633" s="43">
        <v>102.85678620597963</v>
      </c>
      <c r="C1633" s="43">
        <v>103.71012370134585</v>
      </c>
      <c r="D1633" s="43">
        <v>104.36779929336333</v>
      </c>
      <c r="E1633" s="43">
        <v>104.84788846641609</v>
      </c>
      <c r="F1633" s="43">
        <v>105.16978038216951</v>
      </c>
      <c r="G1633" s="43">
        <v>105.35261661072158</v>
      </c>
      <c r="H1633" s="43">
        <v>105.41439805630264</v>
      </c>
      <c r="I1633" s="43">
        <v>105.37155174820208</v>
      </c>
    </row>
    <row r="1634" spans="1:9">
      <c r="A1634" s="19">
        <v>522.79999999999995</v>
      </c>
      <c r="B1634" s="43">
        <v>102.87518035701308</v>
      </c>
      <c r="C1634" s="43">
        <v>103.72887796495917</v>
      </c>
      <c r="D1634" s="43">
        <v>104.38692653127728</v>
      </c>
      <c r="E1634" s="43">
        <v>104.8673885126469</v>
      </c>
      <c r="F1634" s="43">
        <v>105.18964343010336</v>
      </c>
      <c r="G1634" s="43">
        <v>105.37282620697971</v>
      </c>
      <c r="H1634" s="43">
        <v>105.43493349058377</v>
      </c>
      <c r="I1634" s="43">
        <v>105.39238983700469</v>
      </c>
    </row>
    <row r="1635" spans="1:9">
      <c r="A1635" s="19">
        <v>522.9</v>
      </c>
      <c r="B1635" s="43">
        <v>102.89357401453702</v>
      </c>
      <c r="C1635" s="43">
        <v>103.74763162957683</v>
      </c>
      <c r="D1635" s="43">
        <v>104.40605308929378</v>
      </c>
      <c r="E1635" s="43">
        <v>104.88688782336058</v>
      </c>
      <c r="F1635" s="43">
        <v>105.20950571056673</v>
      </c>
      <c r="G1635" s="43">
        <v>105.39303502472481</v>
      </c>
      <c r="H1635" s="43">
        <v>105.45546815316152</v>
      </c>
      <c r="I1635" s="43">
        <v>105.41322717581721</v>
      </c>
    </row>
    <row r="1636" spans="1:9">
      <c r="A1636" s="19">
        <v>523</v>
      </c>
      <c r="B1636" s="43">
        <v>102.91196717880678</v>
      </c>
      <c r="C1636" s="43">
        <v>103.76638469547936</v>
      </c>
      <c r="D1636" s="43">
        <v>104.4251789676361</v>
      </c>
      <c r="E1636" s="43">
        <v>104.90638639875135</v>
      </c>
      <c r="F1636" s="43">
        <v>105.22936722371148</v>
      </c>
      <c r="G1636" s="43">
        <v>105.41324306408666</v>
      </c>
      <c r="H1636" s="43">
        <v>105.47600204411478</v>
      </c>
      <c r="I1636" s="43">
        <v>105.43406376466572</v>
      </c>
    </row>
    <row r="1637" spans="1:9">
      <c r="A1637" s="19">
        <v>523.1</v>
      </c>
      <c r="B1637" s="43">
        <v>102.93035985017133</v>
      </c>
      <c r="C1637" s="43">
        <v>103.78513716297385</v>
      </c>
      <c r="D1637" s="43">
        <v>104.44430416662533</v>
      </c>
      <c r="E1637" s="43">
        <v>104.92588423908575</v>
      </c>
      <c r="F1637" s="43">
        <v>105.24922796976713</v>
      </c>
      <c r="G1637" s="43">
        <v>105.4334503252251</v>
      </c>
      <c r="H1637" s="43">
        <v>105.49653516355056</v>
      </c>
      <c r="I1637" s="43">
        <v>105.45489960360965</v>
      </c>
    </row>
    <row r="1638" spans="1:9">
      <c r="A1638" s="19">
        <v>523.20000000000005</v>
      </c>
      <c r="B1638" s="43">
        <v>102.94875202886959</v>
      </c>
      <c r="C1638" s="43">
        <v>103.80388903231298</v>
      </c>
      <c r="D1638" s="43">
        <v>104.46342868646605</v>
      </c>
      <c r="E1638" s="43">
        <v>104.94538134454683</v>
      </c>
      <c r="F1638" s="43">
        <v>105.26908794888013</v>
      </c>
      <c r="G1638" s="43">
        <v>105.45365680826049</v>
      </c>
      <c r="H1638" s="43">
        <v>105.51706751155209</v>
      </c>
      <c r="I1638" s="43">
        <v>105.47573469268639</v>
      </c>
    </row>
    <row r="1639" spans="1:9">
      <c r="A1639" s="19">
        <v>523.29999999999995</v>
      </c>
      <c r="B1639" s="43">
        <v>102.96714371524521</v>
      </c>
      <c r="C1639" s="43">
        <v>103.82264030384684</v>
      </c>
      <c r="D1639" s="43">
        <v>104.48255252750192</v>
      </c>
      <c r="E1639" s="43">
        <v>104.96487771543869</v>
      </c>
      <c r="F1639" s="43">
        <v>105.28894716129767</v>
      </c>
      <c r="G1639" s="43">
        <v>105.47386251336437</v>
      </c>
      <c r="H1639" s="43">
        <v>105.53759908823784</v>
      </c>
      <c r="I1639" s="43">
        <v>105.49656903195049</v>
      </c>
    </row>
    <row r="1640" spans="1:9">
      <c r="A1640" s="19">
        <v>523.4</v>
      </c>
      <c r="B1640" s="43">
        <v>102.98553490957283</v>
      </c>
      <c r="C1640" s="43">
        <v>103.84139097782665</v>
      </c>
      <c r="D1640" s="43">
        <v>104.50167568994695</v>
      </c>
      <c r="E1640" s="43">
        <v>104.98437335194069</v>
      </c>
      <c r="F1640" s="43">
        <v>105.30880560716136</v>
      </c>
      <c r="G1640" s="43">
        <v>105.49406744066101</v>
      </c>
      <c r="H1640" s="43">
        <v>105.55812989367678</v>
      </c>
      <c r="I1640" s="43">
        <v>105.51740262144614</v>
      </c>
    </row>
    <row r="1641" spans="1:9">
      <c r="A1641" s="19">
        <v>523.5</v>
      </c>
      <c r="B1641" s="43">
        <v>103.00392561217066</v>
      </c>
      <c r="C1641" s="43">
        <v>103.86014105457099</v>
      </c>
      <c r="D1641" s="43">
        <v>104.52079817410942</v>
      </c>
      <c r="E1641" s="43">
        <v>105.00386825431602</v>
      </c>
      <c r="F1641" s="43">
        <v>105.32866328668675</v>
      </c>
      <c r="G1641" s="43">
        <v>105.51427159030243</v>
      </c>
      <c r="H1641" s="43">
        <v>105.5786599279779</v>
      </c>
      <c r="I1641" s="43">
        <v>105.53823546121899</v>
      </c>
    </row>
    <row r="1642" spans="1:9">
      <c r="A1642" s="19">
        <v>523.6</v>
      </c>
      <c r="B1642" s="43">
        <v>103.02231582331922</v>
      </c>
      <c r="C1642" s="43">
        <v>103.87889053434222</v>
      </c>
      <c r="D1642" s="43">
        <v>104.5399199802151</v>
      </c>
      <c r="E1642" s="43">
        <v>105.02336242277596</v>
      </c>
      <c r="F1642" s="43">
        <v>105.34852020005249</v>
      </c>
      <c r="G1642" s="43">
        <v>105.53447496242126</v>
      </c>
      <c r="H1642" s="43">
        <v>105.59918919122822</v>
      </c>
      <c r="I1642" s="43">
        <v>105.55906755131193</v>
      </c>
    </row>
    <row r="1643" spans="1:9">
      <c r="A1643" s="19">
        <v>523.70000000000005</v>
      </c>
      <c r="B1643" s="43">
        <v>103.04070554333728</v>
      </c>
      <c r="C1643" s="43">
        <v>103.89763941747057</v>
      </c>
      <c r="D1643" s="43">
        <v>104.55904110858361</v>
      </c>
      <c r="E1643" s="43">
        <v>105.04285585758333</v>
      </c>
      <c r="F1643" s="43">
        <v>105.36837634746863</v>
      </c>
      <c r="G1643" s="43">
        <v>105.55467755718175</v>
      </c>
      <c r="H1643" s="43">
        <v>105.61971768354297</v>
      </c>
      <c r="I1643" s="43">
        <v>105.57989889178356</v>
      </c>
    </row>
    <row r="1644" spans="1:9">
      <c r="A1644" s="19">
        <v>523.79999999999995</v>
      </c>
      <c r="B1644" s="43">
        <v>103.0590947725097</v>
      </c>
      <c r="C1644" s="43">
        <v>103.91638770421486</v>
      </c>
      <c r="D1644" s="43">
        <v>104.57816155945576</v>
      </c>
      <c r="E1644" s="43">
        <v>105.06234855894786</v>
      </c>
      <c r="F1644" s="43">
        <v>105.3882317290994</v>
      </c>
      <c r="G1644" s="43">
        <v>105.57487937470316</v>
      </c>
      <c r="H1644" s="43">
        <v>105.64024540499432</v>
      </c>
      <c r="I1644" s="43">
        <v>105.60072948267404</v>
      </c>
    </row>
    <row r="1645" spans="1:9">
      <c r="A1645" s="19">
        <v>523.9</v>
      </c>
      <c r="B1645" s="43">
        <v>103.07748351107901</v>
      </c>
      <c r="C1645" s="43">
        <v>103.93513539484815</v>
      </c>
      <c r="D1645" s="43">
        <v>104.59728133307428</v>
      </c>
      <c r="E1645" s="43">
        <v>105.08184052709188</v>
      </c>
      <c r="F1645" s="43">
        <v>105.40808634514502</v>
      </c>
      <c r="G1645" s="43">
        <v>105.59508041514047</v>
      </c>
      <c r="H1645" s="43">
        <v>105.66077235568196</v>
      </c>
      <c r="I1645" s="43">
        <v>105.62155932402231</v>
      </c>
    </row>
    <row r="1646" spans="1:9">
      <c r="A1646" s="19">
        <v>524</v>
      </c>
      <c r="B1646" s="43">
        <v>103.09587175943508</v>
      </c>
      <c r="C1646" s="43">
        <v>103.95388248973376</v>
      </c>
      <c r="D1646" s="43">
        <v>104.6164004297417</v>
      </c>
      <c r="E1646" s="43">
        <v>105.10133176228121</v>
      </c>
      <c r="F1646" s="43">
        <v>105.42794019579622</v>
      </c>
      <c r="G1646" s="43">
        <v>105.61528067864316</v>
      </c>
      <c r="H1646" s="43">
        <v>105.68129853571031</v>
      </c>
      <c r="I1646" s="43">
        <v>105.64238841588781</v>
      </c>
    </row>
    <row r="1647" spans="1:9">
      <c r="A1647" s="19">
        <v>524.1</v>
      </c>
      <c r="B1647" s="43">
        <v>103.11425951786791</v>
      </c>
      <c r="C1647" s="43">
        <v>103.9726289891463</v>
      </c>
      <c r="D1647" s="43">
        <v>104.6355188497665</v>
      </c>
      <c r="E1647" s="43">
        <v>105.12082226476352</v>
      </c>
      <c r="F1647" s="43">
        <v>105.44779328128038</v>
      </c>
      <c r="G1647" s="43">
        <v>105.63548016537433</v>
      </c>
      <c r="H1647" s="43">
        <v>105.70182394518358</v>
      </c>
      <c r="I1647" s="43">
        <v>105.66321675832546</v>
      </c>
    </row>
    <row r="1648" spans="1:9">
      <c r="A1648" s="19">
        <v>524.20000000000005</v>
      </c>
      <c r="B1648" s="43">
        <v>103.13264678664717</v>
      </c>
      <c r="C1648" s="43">
        <v>103.99137489336522</v>
      </c>
      <c r="D1648" s="43">
        <v>104.65463659336763</v>
      </c>
      <c r="E1648" s="43">
        <v>105.14031203474164</v>
      </c>
      <c r="F1648" s="43">
        <v>105.4676456017379</v>
      </c>
      <c r="G1648" s="43">
        <v>105.65567887543466</v>
      </c>
      <c r="H1648" s="43">
        <v>105.72234858418733</v>
      </c>
      <c r="I1648" s="43">
        <v>105.68404435136853</v>
      </c>
    </row>
    <row r="1649" spans="1:9">
      <c r="A1649" s="19">
        <v>524.29999999999995</v>
      </c>
      <c r="B1649" s="43">
        <v>103.15103356603734</v>
      </c>
      <c r="C1649" s="43">
        <v>104.01012020264088</v>
      </c>
      <c r="D1649" s="43">
        <v>104.67375366082595</v>
      </c>
      <c r="E1649" s="43">
        <v>105.15980107243868</v>
      </c>
      <c r="F1649" s="43">
        <v>105.48749715738111</v>
      </c>
      <c r="G1649" s="43">
        <v>105.67587680899314</v>
      </c>
      <c r="H1649" s="43">
        <v>105.74287245280576</v>
      </c>
      <c r="I1649" s="43">
        <v>105.70487119506365</v>
      </c>
    </row>
    <row r="1650" spans="1:9">
      <c r="A1650" s="19">
        <v>524.4</v>
      </c>
      <c r="B1650" s="43">
        <v>103.16941985641486</v>
      </c>
      <c r="C1650" s="43">
        <v>104.02886491735143</v>
      </c>
      <c r="D1650" s="43">
        <v>104.69287005241509</v>
      </c>
      <c r="E1650" s="43">
        <v>105.17928937812792</v>
      </c>
      <c r="F1650" s="43">
        <v>105.50734794841688</v>
      </c>
      <c r="G1650" s="43">
        <v>105.6960739661989</v>
      </c>
      <c r="H1650" s="43">
        <v>105.76339555115339</v>
      </c>
      <c r="I1650" s="43">
        <v>105.7256972894767</v>
      </c>
    </row>
    <row r="1651" spans="1:9">
      <c r="A1651" s="19">
        <v>524.5</v>
      </c>
      <c r="B1651" s="43">
        <v>103.18780565798659</v>
      </c>
      <c r="C1651" s="43">
        <v>104.04760903771418</v>
      </c>
      <c r="D1651" s="43">
        <v>104.71198576837779</v>
      </c>
      <c r="E1651" s="43">
        <v>105.19877695200185</v>
      </c>
      <c r="F1651" s="43">
        <v>105.52719797499128</v>
      </c>
      <c r="G1651" s="43">
        <v>105.71627034718517</v>
      </c>
      <c r="H1651" s="43">
        <v>105.78391787931781</v>
      </c>
      <c r="I1651" s="43">
        <v>105.74652263462966</v>
      </c>
    </row>
    <row r="1652" spans="1:9">
      <c r="A1652" s="19">
        <v>524.6</v>
      </c>
      <c r="B1652" s="43">
        <v>103.20619097110549</v>
      </c>
      <c r="C1652" s="43">
        <v>104.06635256404348</v>
      </c>
      <c r="D1652" s="43">
        <v>104.73110080901972</v>
      </c>
      <c r="E1652" s="43">
        <v>105.21826379432281</v>
      </c>
      <c r="F1652" s="43">
        <v>105.54704723733875</v>
      </c>
      <c r="G1652" s="43">
        <v>105.73646595210602</v>
      </c>
      <c r="H1652" s="43">
        <v>105.80443943740264</v>
      </c>
      <c r="I1652" s="43">
        <v>105.76734723059752</v>
      </c>
    </row>
    <row r="1653" spans="1:9">
      <c r="A1653" s="19">
        <v>524.70000000000005</v>
      </c>
      <c r="B1653" s="43">
        <v>103.22457579604097</v>
      </c>
      <c r="C1653" s="43">
        <v>104.08509549661838</v>
      </c>
      <c r="D1653" s="43">
        <v>104.75021517457054</v>
      </c>
      <c r="E1653" s="43">
        <v>105.23774990530256</v>
      </c>
      <c r="F1653" s="43">
        <v>105.56689573562201</v>
      </c>
      <c r="G1653" s="43">
        <v>105.75666078107437</v>
      </c>
      <c r="H1653" s="43">
        <v>105.82496022549108</v>
      </c>
      <c r="I1653" s="43">
        <v>105.78817107740201</v>
      </c>
    </row>
    <row r="1654" spans="1:9">
      <c r="A1654" s="19">
        <v>524.79999999999995</v>
      </c>
      <c r="B1654" s="43">
        <v>103.2429601331412</v>
      </c>
      <c r="C1654" s="43">
        <v>104.10383783578973</v>
      </c>
      <c r="D1654" s="43">
        <v>104.76932886535661</v>
      </c>
      <c r="E1654" s="43">
        <v>105.25723528522457</v>
      </c>
      <c r="F1654" s="43">
        <v>105.58674347006382</v>
      </c>
      <c r="G1654" s="43">
        <v>105.77685483429158</v>
      </c>
      <c r="H1654" s="43">
        <v>105.84548024369639</v>
      </c>
      <c r="I1654" s="43">
        <v>105.8089941751193</v>
      </c>
    </row>
    <row r="1655" spans="1:9">
      <c r="A1655" s="19">
        <v>524.9</v>
      </c>
      <c r="B1655" s="43">
        <v>103.26134398261797</v>
      </c>
      <c r="C1655" s="43">
        <v>104.1225795817594</v>
      </c>
      <c r="D1655" s="43">
        <v>104.78844188158149</v>
      </c>
      <c r="E1655" s="43">
        <v>105.27671993422044</v>
      </c>
      <c r="F1655" s="43">
        <v>105.60659044081208</v>
      </c>
      <c r="G1655" s="43">
        <v>105.79704811184652</v>
      </c>
      <c r="H1655" s="43">
        <v>105.86599949209182</v>
      </c>
      <c r="I1655" s="43">
        <v>105.82981652376884</v>
      </c>
    </row>
    <row r="1656" spans="1:9">
      <c r="A1656" s="19">
        <v>525</v>
      </c>
      <c r="B1656" s="43">
        <v>103.27972734483558</v>
      </c>
      <c r="C1656" s="43">
        <v>104.14132073489807</v>
      </c>
      <c r="D1656" s="43">
        <v>104.80755422357262</v>
      </c>
      <c r="E1656" s="43">
        <v>105.29620385264252</v>
      </c>
      <c r="F1656" s="43">
        <v>105.62643664810957</v>
      </c>
      <c r="G1656" s="43">
        <v>105.81724061392615</v>
      </c>
      <c r="H1656" s="43">
        <v>105.88651797080061</v>
      </c>
      <c r="I1656" s="43">
        <v>105.85063812342599</v>
      </c>
    </row>
    <row r="1657" spans="1:9">
      <c r="A1657" s="19">
        <v>525.1</v>
      </c>
      <c r="B1657" s="43">
        <v>103.29811022006263</v>
      </c>
      <c r="C1657" s="43">
        <v>104.16006129545249</v>
      </c>
      <c r="D1657" s="43">
        <v>104.8266658915515</v>
      </c>
      <c r="E1657" s="43">
        <v>105.3156870406502</v>
      </c>
      <c r="F1657" s="43">
        <v>105.64628209209476</v>
      </c>
      <c r="G1657" s="43">
        <v>105.83743234064593</v>
      </c>
      <c r="H1657" s="43">
        <v>105.90703567989721</v>
      </c>
      <c r="I1657" s="43">
        <v>105.87145897411835</v>
      </c>
    </row>
    <row r="1658" spans="1:9">
      <c r="A1658" s="19">
        <v>525.20000000000005</v>
      </c>
      <c r="B1658" s="43">
        <v>103.31649260864509</v>
      </c>
      <c r="C1658" s="43">
        <v>104.17880126375945</v>
      </c>
      <c r="D1658" s="43">
        <v>104.84577688583576</v>
      </c>
      <c r="E1658" s="43">
        <v>105.33516949852543</v>
      </c>
      <c r="F1658" s="43">
        <v>105.66612677300563</v>
      </c>
      <c r="G1658" s="43">
        <v>105.85762329218048</v>
      </c>
      <c r="H1658" s="43">
        <v>105.92755261950768</v>
      </c>
      <c r="I1658" s="43">
        <v>105.89227907591905</v>
      </c>
    </row>
    <row r="1659" spans="1:9">
      <c r="A1659" s="19">
        <v>525.29999999999995</v>
      </c>
      <c r="B1659" s="43">
        <v>103.3348745107825</v>
      </c>
      <c r="C1659" s="43">
        <v>104.19754064004184</v>
      </c>
      <c r="D1659" s="43">
        <v>104.86488720662064</v>
      </c>
      <c r="E1659" s="43">
        <v>105.35465122645283</v>
      </c>
      <c r="F1659" s="43">
        <v>105.68597069100383</v>
      </c>
      <c r="G1659" s="43">
        <v>105.87781346863795</v>
      </c>
      <c r="H1659" s="43">
        <v>105.94806878968953</v>
      </c>
      <c r="I1659" s="43">
        <v>105.91309842884976</v>
      </c>
    </row>
    <row r="1660" spans="1:9">
      <c r="A1660" s="19">
        <v>525.4</v>
      </c>
      <c r="B1660" s="43">
        <v>103.35325592686115</v>
      </c>
      <c r="C1660" s="43">
        <v>104.21627942465125</v>
      </c>
      <c r="D1660" s="43">
        <v>104.88399685426907</v>
      </c>
      <c r="E1660" s="43">
        <v>105.37413222470872</v>
      </c>
      <c r="F1660" s="43">
        <v>105.7058138462898</v>
      </c>
      <c r="G1660" s="43">
        <v>105.89800287019824</v>
      </c>
      <c r="H1660" s="43">
        <v>105.968584190576</v>
      </c>
      <c r="I1660" s="43">
        <v>105.93391703298352</v>
      </c>
    </row>
    <row r="1661" spans="1:9">
      <c r="A1661" s="19">
        <v>525.5</v>
      </c>
      <c r="B1661" s="43">
        <v>103.37163685716047</v>
      </c>
      <c r="C1661" s="43">
        <v>104.23501761786437</v>
      </c>
      <c r="D1661" s="43">
        <v>104.90310582899232</v>
      </c>
      <c r="E1661" s="43">
        <v>105.3936124935027</v>
      </c>
      <c r="F1661" s="43">
        <v>105.72565623906573</v>
      </c>
      <c r="G1661" s="43">
        <v>105.91819149698321</v>
      </c>
      <c r="H1661" s="43">
        <v>105.98909882225053</v>
      </c>
      <c r="I1661" s="43">
        <v>105.95473488835373</v>
      </c>
    </row>
    <row r="1662" spans="1:9">
      <c r="A1662" s="19">
        <v>525.6</v>
      </c>
      <c r="B1662" s="43">
        <v>103.39001730193701</v>
      </c>
      <c r="C1662" s="43">
        <v>104.25375521995784</v>
      </c>
      <c r="D1662" s="43">
        <v>104.92221413108115</v>
      </c>
      <c r="E1662" s="43">
        <v>105.41309203308376</v>
      </c>
      <c r="F1662" s="43">
        <v>105.74549786951698</v>
      </c>
      <c r="G1662" s="43">
        <v>105.93837934916067</v>
      </c>
      <c r="H1662" s="43">
        <v>106.00961268481396</v>
      </c>
      <c r="I1662" s="43">
        <v>105.97555199502406</v>
      </c>
    </row>
    <row r="1663" spans="1:9">
      <c r="A1663" s="19">
        <v>525.70000000000005</v>
      </c>
      <c r="B1663" s="43">
        <v>103.40839726151</v>
      </c>
      <c r="C1663" s="43">
        <v>104.27249223121819</v>
      </c>
      <c r="D1663" s="43">
        <v>104.9413217607796</v>
      </c>
      <c r="E1663" s="43">
        <v>105.43257084366348</v>
      </c>
      <c r="F1663" s="43">
        <v>105.76533873781412</v>
      </c>
      <c r="G1663" s="43">
        <v>105.95856642684089</v>
      </c>
      <c r="H1663" s="43">
        <v>106.03012577834789</v>
      </c>
      <c r="I1663" s="43">
        <v>105.99636835302371</v>
      </c>
    </row>
    <row r="1664" spans="1:9">
      <c r="A1664" s="19">
        <v>525.79999999999995</v>
      </c>
      <c r="B1664" s="43">
        <v>103.42677673617922</v>
      </c>
      <c r="C1664" s="43">
        <v>104.29122865196211</v>
      </c>
      <c r="D1664" s="43">
        <v>104.96042871837503</v>
      </c>
      <c r="E1664" s="43">
        <v>105.45204892549017</v>
      </c>
      <c r="F1664" s="43">
        <v>105.78517884418463</v>
      </c>
      <c r="G1664" s="43">
        <v>105.97875273019855</v>
      </c>
      <c r="H1664" s="43">
        <v>106.05063810296755</v>
      </c>
      <c r="I1664" s="43">
        <v>106.01718396242237</v>
      </c>
    </row>
    <row r="1665" spans="1:9">
      <c r="A1665" s="19">
        <v>525.9</v>
      </c>
      <c r="B1665" s="43">
        <v>103.44515572621026</v>
      </c>
      <c r="C1665" s="43">
        <v>104.30996448246003</v>
      </c>
      <c r="D1665" s="43">
        <v>104.97953500412831</v>
      </c>
      <c r="E1665" s="43">
        <v>105.47152627879768</v>
      </c>
      <c r="F1665" s="43">
        <v>105.80501818879694</v>
      </c>
      <c r="G1665" s="43">
        <v>105.99893825937238</v>
      </c>
      <c r="H1665" s="43">
        <v>106.07114965876096</v>
      </c>
      <c r="I1665" s="43">
        <v>106.03799882325984</v>
      </c>
    </row>
    <row r="1666" spans="1:9">
      <c r="A1666" s="19">
        <v>526</v>
      </c>
      <c r="B1666" s="43">
        <v>103.46353423195328</v>
      </c>
      <c r="C1666" s="43">
        <v>104.32869972301188</v>
      </c>
      <c r="D1666" s="43">
        <v>104.99864061831397</v>
      </c>
      <c r="E1666" s="43">
        <v>105.49100290383748</v>
      </c>
      <c r="F1666" s="43">
        <v>105.82485677184695</v>
      </c>
      <c r="G1666" s="43">
        <v>106.019123014516</v>
      </c>
      <c r="H1666" s="43">
        <v>106.0916604458358</v>
      </c>
      <c r="I1666" s="43">
        <v>106.05881293558619</v>
      </c>
    </row>
    <row r="1667" spans="1:9">
      <c r="A1667" s="19">
        <v>526.1</v>
      </c>
      <c r="B1667" s="43">
        <v>103.48191225367606</v>
      </c>
      <c r="C1667" s="43">
        <v>104.3474343739386</v>
      </c>
      <c r="D1667" s="43">
        <v>105.01774556121438</v>
      </c>
      <c r="E1667" s="43">
        <v>105.51047880083686</v>
      </c>
      <c r="F1667" s="43">
        <v>105.84469459354054</v>
      </c>
      <c r="G1667" s="43">
        <v>106.03930699575579</v>
      </c>
      <c r="H1667" s="43">
        <v>106.11217046428501</v>
      </c>
      <c r="I1667" s="43">
        <v>106.07962629945729</v>
      </c>
    </row>
    <row r="1668" spans="1:9">
      <c r="A1668" s="19">
        <v>526.20000000000005</v>
      </c>
      <c r="B1668" s="43">
        <v>103.50028979170418</v>
      </c>
      <c r="C1668" s="43">
        <v>104.36616843550686</v>
      </c>
      <c r="D1668" s="43">
        <v>105.03684983309068</v>
      </c>
      <c r="E1668" s="43">
        <v>105.52995397002846</v>
      </c>
      <c r="F1668" s="43">
        <v>105.86453165406357</v>
      </c>
      <c r="G1668" s="43">
        <v>106.05949020326432</v>
      </c>
      <c r="H1668" s="43">
        <v>106.1326797142182</v>
      </c>
      <c r="I1668" s="43">
        <v>106.10043891492691</v>
      </c>
    </row>
    <row r="1669" spans="1:9">
      <c r="A1669" s="19">
        <v>526.29999999999995</v>
      </c>
      <c r="B1669" s="43">
        <v>103.51866684629496</v>
      </c>
      <c r="C1669" s="43">
        <v>104.38490190801707</v>
      </c>
      <c r="D1669" s="43">
        <v>105.05595343422593</v>
      </c>
      <c r="E1669" s="43">
        <v>105.54942841163509</v>
      </c>
      <c r="F1669" s="43">
        <v>105.88436795360985</v>
      </c>
      <c r="G1669" s="43">
        <v>106.0796726371768</v>
      </c>
      <c r="H1669" s="43">
        <v>106.15318819572039</v>
      </c>
      <c r="I1669" s="43">
        <v>106.12125078204147</v>
      </c>
    </row>
    <row r="1670" spans="1:9">
      <c r="A1670" s="19">
        <v>526.4</v>
      </c>
      <c r="B1670" s="43">
        <v>103.53704341773405</v>
      </c>
      <c r="C1670" s="43">
        <v>104.40363479170676</v>
      </c>
      <c r="D1670" s="43">
        <v>105.075056364836</v>
      </c>
      <c r="E1670" s="43">
        <v>105.56890212587348</v>
      </c>
      <c r="F1670" s="43">
        <v>105.90420349234557</v>
      </c>
      <c r="G1670" s="43">
        <v>106.09985429761622</v>
      </c>
      <c r="H1670" s="43">
        <v>106.17369590887981</v>
      </c>
      <c r="I1670" s="43">
        <v>106.1420619008378</v>
      </c>
    </row>
    <row r="1671" spans="1:9">
      <c r="A1671" s="19">
        <v>526.5</v>
      </c>
      <c r="B1671" s="43">
        <v>103.55541950634404</v>
      </c>
      <c r="C1671" s="43">
        <v>104.42236708693417</v>
      </c>
      <c r="D1671" s="43">
        <v>105.09415862523485</v>
      </c>
      <c r="E1671" s="43">
        <v>105.58837511302565</v>
      </c>
      <c r="F1671" s="43">
        <v>105.9240382704923</v>
      </c>
      <c r="G1671" s="43">
        <v>106.12003518475072</v>
      </c>
      <c r="H1671" s="43">
        <v>106.1942028538173</v>
      </c>
      <c r="I1671" s="43">
        <v>106.16287227138551</v>
      </c>
    </row>
    <row r="1672" spans="1:9">
      <c r="A1672" s="19">
        <v>526.6</v>
      </c>
      <c r="B1672" s="43">
        <v>103.57379511237752</v>
      </c>
      <c r="C1672" s="43">
        <v>104.4410987939161</v>
      </c>
      <c r="D1672" s="43">
        <v>105.1132602156645</v>
      </c>
      <c r="E1672" s="43">
        <v>105.60784737327631</v>
      </c>
      <c r="F1672" s="43">
        <v>105.94387228822177</v>
      </c>
      <c r="G1672" s="43">
        <v>106.14021529871695</v>
      </c>
      <c r="H1672" s="43">
        <v>106.21470903060674</v>
      </c>
      <c r="I1672" s="43">
        <v>106.18368189372097</v>
      </c>
    </row>
    <row r="1673" spans="1:9">
      <c r="A1673" s="19">
        <v>526.70000000000005</v>
      </c>
      <c r="B1673" s="43">
        <v>103.59217023620812</v>
      </c>
      <c r="C1673" s="43">
        <v>104.45982991305414</v>
      </c>
      <c r="D1673" s="43">
        <v>105.13236113644047</v>
      </c>
      <c r="E1673" s="43">
        <v>105.62731890691825</v>
      </c>
      <c r="F1673" s="43">
        <v>105.96370554576126</v>
      </c>
      <c r="G1673" s="43">
        <v>106.16039463969094</v>
      </c>
      <c r="H1673" s="43">
        <v>106.23521443938287</v>
      </c>
      <c r="I1673" s="43">
        <v>106.20449076791218</v>
      </c>
    </row>
    <row r="1674" spans="1:9">
      <c r="A1674" s="19">
        <v>526.79999999999995</v>
      </c>
      <c r="B1674" s="43">
        <v>103.61054487806325</v>
      </c>
      <c r="C1674" s="43">
        <v>104.47856044453667</v>
      </c>
      <c r="D1674" s="43">
        <v>105.15146138777013</v>
      </c>
      <c r="E1674" s="43">
        <v>105.64678971412707</v>
      </c>
      <c r="F1674" s="43">
        <v>105.9835380432431</v>
      </c>
      <c r="G1674" s="43">
        <v>106.18057320775966</v>
      </c>
      <c r="H1674" s="43">
        <v>106.25571908020819</v>
      </c>
      <c r="I1674" s="43">
        <v>106.22529889398672</v>
      </c>
    </row>
    <row r="1675" spans="1:9">
      <c r="A1675" s="19">
        <v>526.9</v>
      </c>
      <c r="B1675" s="43">
        <v>103.62891903826298</v>
      </c>
      <c r="C1675" s="43">
        <v>104.49729038869879</v>
      </c>
      <c r="D1675" s="43">
        <v>105.17056096997629</v>
      </c>
      <c r="E1675" s="43">
        <v>105.66625979517286</v>
      </c>
      <c r="F1675" s="43">
        <v>106.00336978092642</v>
      </c>
      <c r="G1675" s="43">
        <v>106.20075100313048</v>
      </c>
      <c r="H1675" s="43">
        <v>106.27622295320148</v>
      </c>
      <c r="I1675" s="43">
        <v>106.24610627201983</v>
      </c>
    </row>
    <row r="1676" spans="1:9">
      <c r="A1676" s="19">
        <v>527</v>
      </c>
      <c r="B1676" s="43">
        <v>103.64729271708794</v>
      </c>
      <c r="C1676" s="43">
        <v>104.51601974583187</v>
      </c>
      <c r="D1676" s="43">
        <v>105.1896598832754</v>
      </c>
      <c r="E1676" s="43">
        <v>105.68572915025655</v>
      </c>
      <c r="F1676" s="43">
        <v>106.02320075895153</v>
      </c>
      <c r="G1676" s="43">
        <v>106.22092802590672</v>
      </c>
      <c r="H1676" s="43">
        <v>106.29672605843925</v>
      </c>
      <c r="I1676" s="43">
        <v>106.26691290204528</v>
      </c>
    </row>
    <row r="1677" spans="1:9">
      <c r="A1677" s="19">
        <v>527.1</v>
      </c>
      <c r="B1677" s="43">
        <v>103.66566591485682</v>
      </c>
      <c r="C1677" s="43">
        <v>104.53474851623352</v>
      </c>
      <c r="D1677" s="43">
        <v>105.20875812799676</v>
      </c>
      <c r="E1677" s="43">
        <v>105.70519777967391</v>
      </c>
      <c r="F1677" s="43">
        <v>106.0430309775623</v>
      </c>
      <c r="G1677" s="43">
        <v>106.24110427626979</v>
      </c>
      <c r="H1677" s="43">
        <v>106.31722839605706</v>
      </c>
      <c r="I1677" s="43">
        <v>106.28771878412786</v>
      </c>
    </row>
    <row r="1678" spans="1:9">
      <c r="A1678" s="19">
        <v>527.20000000000005</v>
      </c>
      <c r="B1678" s="43">
        <v>103.68403863185938</v>
      </c>
      <c r="C1678" s="43">
        <v>104.55347670016803</v>
      </c>
      <c r="D1678" s="43">
        <v>105.22785570435562</v>
      </c>
      <c r="E1678" s="43">
        <v>105.7246656835938</v>
      </c>
      <c r="F1678" s="43">
        <v>106.06286043688658</v>
      </c>
      <c r="G1678" s="43">
        <v>106.26127975433795</v>
      </c>
      <c r="H1678" s="43">
        <v>106.33772996612362</v>
      </c>
      <c r="I1678" s="43">
        <v>106.30852391831269</v>
      </c>
    </row>
    <row r="1679" spans="1:9">
      <c r="A1679" s="19">
        <v>527.29999999999995</v>
      </c>
      <c r="B1679" s="43">
        <v>103.70241086836069</v>
      </c>
      <c r="C1679" s="43">
        <v>104.57220429792389</v>
      </c>
      <c r="D1679" s="43">
        <v>105.24695261265242</v>
      </c>
      <c r="E1679" s="43">
        <v>105.74413286228861</v>
      </c>
      <c r="F1679" s="43">
        <v>106.08268913717464</v>
      </c>
      <c r="G1679" s="43">
        <v>106.28145446026815</v>
      </c>
      <c r="H1679" s="43">
        <v>106.35823076875474</v>
      </c>
      <c r="I1679" s="43">
        <v>106.32932830464657</v>
      </c>
    </row>
    <row r="1680" spans="1:9">
      <c r="A1680" s="19">
        <v>527.4</v>
      </c>
      <c r="B1680" s="43">
        <v>103.72078262469307</v>
      </c>
      <c r="C1680" s="43">
        <v>104.59093130983865</v>
      </c>
      <c r="D1680" s="43">
        <v>105.26604885315007</v>
      </c>
      <c r="E1680" s="43">
        <v>105.76359931598293</v>
      </c>
      <c r="F1680" s="43">
        <v>106.10251707858791</v>
      </c>
      <c r="G1680" s="43">
        <v>106.30162839421774</v>
      </c>
      <c r="H1680" s="43">
        <v>106.37873080404401</v>
      </c>
      <c r="I1680" s="43">
        <v>106.3501319431893</v>
      </c>
    </row>
    <row r="1681" spans="1:9">
      <c r="A1681" s="19">
        <v>527.5</v>
      </c>
      <c r="B1681" s="43">
        <v>103.73915390112882</v>
      </c>
      <c r="C1681" s="43">
        <v>104.60965773616297</v>
      </c>
      <c r="D1681" s="43">
        <v>105.28514442611771</v>
      </c>
      <c r="E1681" s="43">
        <v>105.7830650449115</v>
      </c>
      <c r="F1681" s="43">
        <v>106.12234426132008</v>
      </c>
      <c r="G1681" s="43">
        <v>106.32180155631639</v>
      </c>
      <c r="H1681" s="43">
        <v>106.39923007210237</v>
      </c>
      <c r="I1681" s="43">
        <v>106.37093483399045</v>
      </c>
    </row>
    <row r="1682" spans="1:9">
      <c r="A1682" s="19">
        <v>527.6</v>
      </c>
      <c r="B1682" s="43">
        <v>103.75752469797104</v>
      </c>
      <c r="C1682" s="43">
        <v>104.62838357718135</v>
      </c>
      <c r="D1682" s="43">
        <v>105.30423933180464</v>
      </c>
      <c r="E1682" s="43">
        <v>105.80253004931561</v>
      </c>
      <c r="F1682" s="43">
        <v>106.14217068559233</v>
      </c>
      <c r="G1682" s="43">
        <v>106.34197394672688</v>
      </c>
      <c r="H1682" s="43">
        <v>106.4197285730028</v>
      </c>
      <c r="I1682" s="43">
        <v>106.39173697710268</v>
      </c>
    </row>
    <row r="1683" spans="1:9">
      <c r="A1683" s="19">
        <v>527.70000000000005</v>
      </c>
      <c r="B1683" s="43">
        <v>103.77589501548488</v>
      </c>
      <c r="C1683" s="43">
        <v>104.64710883318119</v>
      </c>
      <c r="D1683" s="43">
        <v>105.32333357047705</v>
      </c>
      <c r="E1683" s="43">
        <v>105.82199432939575</v>
      </c>
      <c r="F1683" s="43">
        <v>106.16199635153939</v>
      </c>
      <c r="G1683" s="43">
        <v>106.36214556556283</v>
      </c>
      <c r="H1683" s="43">
        <v>106.44022630685814</v>
      </c>
      <c r="I1683" s="43">
        <v>106.41253837256727</v>
      </c>
    </row>
    <row r="1684" spans="1:9">
      <c r="A1684" s="19">
        <v>527.79999999999995</v>
      </c>
      <c r="B1684" s="43">
        <v>103.79426485403553</v>
      </c>
      <c r="C1684" s="43">
        <v>104.6658335045031</v>
      </c>
      <c r="D1684" s="43">
        <v>105.34242714245724</v>
      </c>
      <c r="E1684" s="43">
        <v>105.84145788543549</v>
      </c>
      <c r="F1684" s="43">
        <v>106.18182125942943</v>
      </c>
      <c r="G1684" s="43">
        <v>106.38231641301351</v>
      </c>
      <c r="H1684" s="43">
        <v>106.4607232737757</v>
      </c>
      <c r="I1684" s="43">
        <v>106.43333902045595</v>
      </c>
    </row>
    <row r="1685" spans="1:9">
      <c r="A1685" s="19">
        <v>527.9</v>
      </c>
      <c r="B1685" s="43">
        <v>103.81263421379916</v>
      </c>
      <c r="C1685" s="43">
        <v>104.68455759135901</v>
      </c>
      <c r="D1685" s="43">
        <v>105.36152004792936</v>
      </c>
      <c r="E1685" s="43">
        <v>105.8609207176145</v>
      </c>
      <c r="F1685" s="43">
        <v>106.2016454093793</v>
      </c>
      <c r="G1685" s="43">
        <v>106.40248648919234</v>
      </c>
      <c r="H1685" s="43">
        <v>106.48121947383677</v>
      </c>
      <c r="I1685" s="43">
        <v>106.45413892080055</v>
      </c>
    </row>
    <row r="1686" spans="1:9">
      <c r="A1686" s="19">
        <v>528</v>
      </c>
      <c r="B1686" s="43">
        <v>103.83100309519304</v>
      </c>
      <c r="C1686" s="43">
        <v>104.70328109412745</v>
      </c>
      <c r="D1686" s="43">
        <v>105.38061228723981</v>
      </c>
      <c r="E1686" s="43">
        <v>105.88038282622031</v>
      </c>
      <c r="F1686" s="43">
        <v>106.22146880164891</v>
      </c>
      <c r="G1686" s="43">
        <v>106.42265579428039</v>
      </c>
      <c r="H1686" s="43">
        <v>106.50171490717261</v>
      </c>
      <c r="I1686" s="43">
        <v>106.47493807367832</v>
      </c>
    </row>
    <row r="1687" spans="1:9">
      <c r="A1687" s="19">
        <v>528.1</v>
      </c>
      <c r="B1687" s="43">
        <v>103.84937149843844</v>
      </c>
      <c r="C1687" s="43">
        <v>104.72200401302283</v>
      </c>
      <c r="D1687" s="43">
        <v>105.39970386063101</v>
      </c>
      <c r="E1687" s="43">
        <v>105.89984421146315</v>
      </c>
      <c r="F1687" s="43">
        <v>106.24129143638146</v>
      </c>
      <c r="G1687" s="43">
        <v>106.44282432839711</v>
      </c>
      <c r="H1687" s="43">
        <v>106.52220957385242</v>
      </c>
      <c r="I1687" s="43">
        <v>106.49573647911413</v>
      </c>
    </row>
    <row r="1688" spans="1:9">
      <c r="A1688" s="19">
        <v>528.20000000000005</v>
      </c>
      <c r="B1688" s="43">
        <v>103.86773942392423</v>
      </c>
      <c r="C1688" s="43">
        <v>104.7407263484466</v>
      </c>
      <c r="D1688" s="43">
        <v>105.41879476841248</v>
      </c>
      <c r="E1688" s="43">
        <v>105.91930487363513</v>
      </c>
      <c r="F1688" s="43">
        <v>106.26111331383501</v>
      </c>
      <c r="G1688" s="43">
        <v>106.46299209173182</v>
      </c>
      <c r="H1688" s="43">
        <v>106.54270347401302</v>
      </c>
      <c r="I1688" s="43">
        <v>106.51653413720177</v>
      </c>
    </row>
    <row r="1689" spans="1:9">
      <c r="A1689" s="19">
        <v>528.29999999999995</v>
      </c>
      <c r="B1689" s="43">
        <v>103.88610687178797</v>
      </c>
      <c r="C1689" s="43">
        <v>104.75944810052766</v>
      </c>
      <c r="D1689" s="43">
        <v>105.43788501073527</v>
      </c>
      <c r="E1689" s="43">
        <v>105.93876481286091</v>
      </c>
      <c r="F1689" s="43">
        <v>106.28093443411223</v>
      </c>
      <c r="G1689" s="43">
        <v>106.48315908436513</v>
      </c>
      <c r="H1689" s="43">
        <v>106.56319660770436</v>
      </c>
      <c r="I1689" s="43">
        <v>106.537331047941</v>
      </c>
    </row>
    <row r="1690" spans="1:9">
      <c r="A1690" s="19">
        <v>528.4</v>
      </c>
      <c r="B1690" s="43">
        <v>103.90447384244402</v>
      </c>
      <c r="C1690" s="43">
        <v>104.77816926966611</v>
      </c>
      <c r="D1690" s="43">
        <v>105.45697458798074</v>
      </c>
      <c r="E1690" s="43">
        <v>105.9582240294497</v>
      </c>
      <c r="F1690" s="43">
        <v>106.3007547974764</v>
      </c>
      <c r="G1690" s="43">
        <v>106.50332530650513</v>
      </c>
      <c r="H1690" s="43">
        <v>106.58368897507168</v>
      </c>
      <c r="I1690" s="43">
        <v>106.55812721142328</v>
      </c>
    </row>
    <row r="1691" spans="1:9">
      <c r="A1691" s="19">
        <v>528.5</v>
      </c>
      <c r="B1691" s="43">
        <v>103.92284033611304</v>
      </c>
      <c r="C1691" s="43">
        <v>104.79688985609968</v>
      </c>
      <c r="D1691" s="43">
        <v>105.47606350034368</v>
      </c>
      <c r="E1691" s="43">
        <v>105.97768252359705</v>
      </c>
      <c r="F1691" s="43">
        <v>106.3205744040784</v>
      </c>
      <c r="G1691" s="43">
        <v>106.52349075824287</v>
      </c>
      <c r="H1691" s="43">
        <v>106.60418057618051</v>
      </c>
      <c r="I1691" s="43">
        <v>106.57892262768263</v>
      </c>
    </row>
    <row r="1692" spans="1:9">
      <c r="A1692" s="19">
        <v>528.6</v>
      </c>
      <c r="B1692" s="43">
        <v>103.94120635315272</v>
      </c>
      <c r="C1692" s="43">
        <v>104.81560986017962</v>
      </c>
      <c r="D1692" s="43">
        <v>105.49515174817242</v>
      </c>
      <c r="E1692" s="43">
        <v>105.99714029559519</v>
      </c>
      <c r="F1692" s="43">
        <v>106.34039325414795</v>
      </c>
      <c r="G1692" s="43">
        <v>106.5436554397896</v>
      </c>
      <c r="H1692" s="43">
        <v>106.62467141116227</v>
      </c>
      <c r="I1692" s="43">
        <v>106.59971729679273</v>
      </c>
    </row>
    <row r="1693" spans="1:9">
      <c r="A1693" s="19">
        <v>528.70000000000005</v>
      </c>
      <c r="B1693" s="43">
        <v>103.95957189380354</v>
      </c>
      <c r="C1693" s="43">
        <v>104.83432928212881</v>
      </c>
      <c r="D1693" s="43">
        <v>105.51423933165103</v>
      </c>
      <c r="E1693" s="43">
        <v>106.01659734561264</v>
      </c>
      <c r="F1693" s="43">
        <v>106.36021134784173</v>
      </c>
      <c r="G1693" s="43">
        <v>106.56381935123815</v>
      </c>
      <c r="H1693" s="43">
        <v>106.64516148009255</v>
      </c>
      <c r="I1693" s="43">
        <v>106.62051121878076</v>
      </c>
    </row>
    <row r="1694" spans="1:9">
      <c r="A1694" s="19">
        <v>528.79999999999995</v>
      </c>
      <c r="B1694" s="43">
        <v>103.97793695838905</v>
      </c>
      <c r="C1694" s="43">
        <v>104.85304812226624</v>
      </c>
      <c r="D1694" s="43">
        <v>105.533326251105</v>
      </c>
      <c r="E1694" s="43">
        <v>106.03605367393263</v>
      </c>
      <c r="F1694" s="43">
        <v>106.38002868537987</v>
      </c>
      <c r="G1694" s="43">
        <v>106.58398249276826</v>
      </c>
      <c r="H1694" s="43">
        <v>106.66565078308838</v>
      </c>
      <c r="I1694" s="43">
        <v>106.64130439372494</v>
      </c>
    </row>
    <row r="1695" spans="1:9">
      <c r="A1695" s="19">
        <v>528.9</v>
      </c>
      <c r="B1695" s="43">
        <v>103.99630154717062</v>
      </c>
      <c r="C1695" s="43">
        <v>104.87176638087624</v>
      </c>
      <c r="D1695" s="43">
        <v>105.55241250675624</v>
      </c>
      <c r="E1695" s="43">
        <v>106.05550928074041</v>
      </c>
      <c r="F1695" s="43">
        <v>106.39984526693956</v>
      </c>
      <c r="G1695" s="43">
        <v>106.60414486450944</v>
      </c>
      <c r="H1695" s="43">
        <v>106.68613932024277</v>
      </c>
      <c r="I1695" s="43">
        <v>106.66209682165359</v>
      </c>
    </row>
    <row r="1696" spans="1:9">
      <c r="A1696" s="19">
        <v>529</v>
      </c>
      <c r="B1696" s="43">
        <v>104.01466566050854</v>
      </c>
      <c r="C1696" s="43">
        <v>104.89048405828004</v>
      </c>
      <c r="D1696" s="43">
        <v>105.57149809894474</v>
      </c>
      <c r="E1696" s="43">
        <v>106.07496416634376</v>
      </c>
      <c r="F1696" s="43">
        <v>106.419661092746</v>
      </c>
      <c r="G1696" s="43">
        <v>106.62430646663617</v>
      </c>
      <c r="H1696" s="43">
        <v>106.70662709167132</v>
      </c>
      <c r="I1696" s="43">
        <v>106.6828885026498</v>
      </c>
    </row>
    <row r="1697" spans="1:9">
      <c r="A1697" s="19">
        <v>529.1</v>
      </c>
      <c r="B1697" s="43">
        <v>104.03302929859703</v>
      </c>
      <c r="C1697" s="43">
        <v>104.90920115468495</v>
      </c>
      <c r="D1697" s="43">
        <v>105.59058302784192</v>
      </c>
      <c r="E1697" s="43">
        <v>106.09441833088763</v>
      </c>
      <c r="F1697" s="43">
        <v>106.43947616292857</v>
      </c>
      <c r="G1697" s="43">
        <v>106.64446729926181</v>
      </c>
      <c r="H1697" s="43">
        <v>106.72711409743943</v>
      </c>
      <c r="I1697" s="43">
        <v>106.70367943673043</v>
      </c>
    </row>
    <row r="1698" spans="1:9">
      <c r="A1698" s="19">
        <v>529.20000000000005</v>
      </c>
      <c r="B1698" s="43">
        <v>104.05139246181764</v>
      </c>
      <c r="C1698" s="43">
        <v>104.92791767049056</v>
      </c>
      <c r="D1698" s="43">
        <v>105.60966729381363</v>
      </c>
      <c r="E1698" s="43">
        <v>106.1138717747005</v>
      </c>
      <c r="F1698" s="43">
        <v>106.45929047774854</v>
      </c>
      <c r="G1698" s="43">
        <v>106.66462736256594</v>
      </c>
      <c r="H1698" s="43">
        <v>106.7476003376907</v>
      </c>
      <c r="I1698" s="43">
        <v>106.72446962399255</v>
      </c>
    </row>
    <row r="1699" spans="1:9">
      <c r="A1699" s="19">
        <v>529.29999999999995</v>
      </c>
      <c r="B1699" s="43">
        <v>104.06975515039503</v>
      </c>
      <c r="C1699" s="43">
        <v>104.9466336058988</v>
      </c>
      <c r="D1699" s="43">
        <v>105.62875089705955</v>
      </c>
      <c r="E1699" s="43">
        <v>106.13332449793228</v>
      </c>
      <c r="F1699" s="43">
        <v>106.47910403736327</v>
      </c>
      <c r="G1699" s="43">
        <v>106.68478665667035</v>
      </c>
      <c r="H1699" s="43">
        <v>106.76808581249739</v>
      </c>
      <c r="I1699" s="43">
        <v>106.7452590644626</v>
      </c>
    </row>
    <row r="1700" spans="1:9">
      <c r="A1700" s="19">
        <v>529.4</v>
      </c>
      <c r="B1700" s="43">
        <v>104.08811736467371</v>
      </c>
      <c r="C1700" s="43">
        <v>104.9653489612281</v>
      </c>
      <c r="D1700" s="43">
        <v>105.64783383786724</v>
      </c>
      <c r="E1700" s="43">
        <v>106.15277650087421</v>
      </c>
      <c r="F1700" s="43">
        <v>106.49891684197871</v>
      </c>
      <c r="G1700" s="43">
        <v>106.70494518173294</v>
      </c>
      <c r="H1700" s="43">
        <v>106.78857052196656</v>
      </c>
      <c r="I1700" s="43">
        <v>106.76604775819811</v>
      </c>
    </row>
    <row r="1701" spans="1:9">
      <c r="A1701" s="19">
        <v>529.5</v>
      </c>
      <c r="B1701" s="43">
        <v>104.10647910492852</v>
      </c>
      <c r="C1701" s="43">
        <v>104.98406373679464</v>
      </c>
      <c r="D1701" s="43">
        <v>105.66691611653525</v>
      </c>
      <c r="E1701" s="43">
        <v>106.17222778375069</v>
      </c>
      <c r="F1701" s="43">
        <v>106.51872889177926</v>
      </c>
      <c r="G1701" s="43">
        <v>106.72510293792939</v>
      </c>
      <c r="H1701" s="43">
        <v>106.80905446621705</v>
      </c>
      <c r="I1701" s="43">
        <v>106.78683570526437</v>
      </c>
    </row>
    <row r="1702" spans="1:9">
      <c r="A1702" s="19">
        <v>529.6</v>
      </c>
      <c r="B1702" s="43">
        <v>104.12484037142346</v>
      </c>
      <c r="C1702" s="43">
        <v>105.00277793282254</v>
      </c>
      <c r="D1702" s="43">
        <v>105.68599773326409</v>
      </c>
      <c r="E1702" s="43">
        <v>106.1916783467513</v>
      </c>
      <c r="F1702" s="43">
        <v>106.53854018694713</v>
      </c>
      <c r="G1702" s="43">
        <v>106.7452599253478</v>
      </c>
      <c r="H1702" s="43">
        <v>106.82953764532272</v>
      </c>
      <c r="I1702" s="43">
        <v>106.80762290569399</v>
      </c>
    </row>
    <row r="1703" spans="1:9">
      <c r="A1703" s="19">
        <v>529.70000000000005</v>
      </c>
      <c r="B1703" s="43">
        <v>104.14320116449684</v>
      </c>
      <c r="C1703" s="43">
        <v>105.0214915496648</v>
      </c>
      <c r="D1703" s="43">
        <v>105.70507868839013</v>
      </c>
      <c r="E1703" s="43">
        <v>106.21112819018634</v>
      </c>
      <c r="F1703" s="43">
        <v>106.55835072771578</v>
      </c>
      <c r="G1703" s="43">
        <v>106.76541614420069</v>
      </c>
      <c r="H1703" s="43">
        <v>106.85002005941652</v>
      </c>
      <c r="I1703" s="43">
        <v>106.82840935957273</v>
      </c>
    </row>
    <row r="1704" spans="1:9">
      <c r="A1704" s="19">
        <v>529.79999999999995</v>
      </c>
      <c r="B1704" s="43">
        <v>104.16156148440291</v>
      </c>
      <c r="C1704" s="43">
        <v>105.04020458757699</v>
      </c>
      <c r="D1704" s="43">
        <v>105.72415898213424</v>
      </c>
      <c r="E1704" s="43">
        <v>106.23057731422298</v>
      </c>
      <c r="F1704" s="43">
        <v>106.57816051422762</v>
      </c>
      <c r="G1704" s="43">
        <v>106.7855715945837</v>
      </c>
      <c r="H1704" s="43">
        <v>106.87050170856375</v>
      </c>
      <c r="I1704" s="43">
        <v>106.84919506692555</v>
      </c>
    </row>
    <row r="1705" spans="1:9">
      <c r="A1705" s="19">
        <v>529.9</v>
      </c>
      <c r="B1705" s="43">
        <v>104.17992133143522</v>
      </c>
      <c r="C1705" s="43">
        <v>105.05891704682679</v>
      </c>
      <c r="D1705" s="43">
        <v>105.74323861478737</v>
      </c>
      <c r="E1705" s="43">
        <v>106.25002571912933</v>
      </c>
      <c r="F1705" s="43">
        <v>106.59796954671685</v>
      </c>
      <c r="G1705" s="43">
        <v>106.80572627668195</v>
      </c>
      <c r="H1705" s="43">
        <v>106.89098259289631</v>
      </c>
      <c r="I1705" s="43">
        <v>106.86998002782161</v>
      </c>
    </row>
    <row r="1706" spans="1:9">
      <c r="A1706" s="19">
        <v>530</v>
      </c>
      <c r="B1706" s="43">
        <v>104.17345571617085</v>
      </c>
      <c r="C1706" s="43">
        <v>105.05477647142001</v>
      </c>
      <c r="D1706" s="43">
        <v>105.74168223705377</v>
      </c>
      <c r="E1706" s="43">
        <v>106.25125151732428</v>
      </c>
      <c r="F1706" s="43">
        <v>106.60212150204276</v>
      </c>
      <c r="G1706" s="43">
        <v>106.81290300609814</v>
      </c>
      <c r="H1706" s="43">
        <v>106.90124569529112</v>
      </c>
      <c r="I1706" s="43">
        <v>106.88336134130438</v>
      </c>
    </row>
    <row r="1707" spans="1:9">
      <c r="A1707" s="19">
        <v>530.1</v>
      </c>
      <c r="B1707" s="43">
        <v>104.16693787611709</v>
      </c>
      <c r="C1707" s="43">
        <v>105.05058217144966</v>
      </c>
      <c r="D1707" s="43">
        <v>105.74007081303722</v>
      </c>
      <c r="E1707" s="43">
        <v>106.25242124158316</v>
      </c>
      <c r="F1707" s="43">
        <v>106.60621668105256</v>
      </c>
      <c r="G1707" s="43">
        <v>106.82002255742788</v>
      </c>
      <c r="H1707" s="43">
        <v>106.91145146231096</v>
      </c>
      <c r="I1707" s="43">
        <v>106.89668533674296</v>
      </c>
    </row>
    <row r="1708" spans="1:9">
      <c r="A1708" s="19">
        <v>530.20000000000005</v>
      </c>
      <c r="B1708" s="43">
        <v>104.18525980011245</v>
      </c>
      <c r="C1708" s="43">
        <v>105.06925330340852</v>
      </c>
      <c r="D1708" s="43">
        <v>105.75910560112803</v>
      </c>
      <c r="E1708" s="43">
        <v>106.27182132565034</v>
      </c>
      <c r="F1708" s="43">
        <v>106.62597406180498</v>
      </c>
      <c r="G1708" s="43">
        <v>106.84012246841976</v>
      </c>
      <c r="H1708" s="43">
        <v>106.93187470702009</v>
      </c>
      <c r="I1708" s="43">
        <v>106.9174100619426</v>
      </c>
    </row>
    <row r="1709" spans="1:9">
      <c r="A1709" s="19">
        <v>530.29999999999995</v>
      </c>
      <c r="B1709" s="43">
        <v>104.20358124877123</v>
      </c>
      <c r="C1709" s="43">
        <v>105.08792385540843</v>
      </c>
      <c r="D1709" s="43">
        <v>105.77813972736089</v>
      </c>
      <c r="E1709" s="43">
        <v>106.29122068982977</v>
      </c>
      <c r="F1709" s="43">
        <v>106.64573068727367</v>
      </c>
      <c r="G1709" s="43">
        <v>106.86022160903136</v>
      </c>
      <c r="H1709" s="43">
        <v>106.95229718365891</v>
      </c>
      <c r="I1709" s="43">
        <v>106.93813403602707</v>
      </c>
    </row>
    <row r="1710" spans="1:9">
      <c r="A1710" s="19">
        <v>530.4</v>
      </c>
      <c r="B1710" s="43">
        <v>104.22190222241719</v>
      </c>
      <c r="C1710" s="43">
        <v>105.10659382773565</v>
      </c>
      <c r="D1710" s="43">
        <v>105.79717319197874</v>
      </c>
      <c r="E1710" s="43">
        <v>106.3106193343219</v>
      </c>
      <c r="F1710" s="43">
        <v>106.66548655767284</v>
      </c>
      <c r="G1710" s="43">
        <v>106.88031997940806</v>
      </c>
      <c r="H1710" s="43">
        <v>106.97271889232482</v>
      </c>
      <c r="I1710" s="43">
        <v>106.95885725906248</v>
      </c>
    </row>
    <row r="1711" spans="1:9">
      <c r="A1711" s="19">
        <v>530.5</v>
      </c>
      <c r="B1711" s="43">
        <v>104.24022272123469</v>
      </c>
      <c r="C1711" s="43">
        <v>105.12526322063167</v>
      </c>
      <c r="D1711" s="43">
        <v>105.8162059952173</v>
      </c>
      <c r="E1711" s="43">
        <v>106.33001725933559</v>
      </c>
      <c r="F1711" s="43">
        <v>106.68524167313987</v>
      </c>
      <c r="G1711" s="43">
        <v>106.90041757966563</v>
      </c>
      <c r="H1711" s="43">
        <v>106.99313983311887</v>
      </c>
      <c r="I1711" s="43">
        <v>106.97957973108427</v>
      </c>
    </row>
    <row r="1712" spans="1:9">
      <c r="A1712" s="19">
        <v>530.6</v>
      </c>
      <c r="B1712" s="43">
        <v>104.25854274562508</v>
      </c>
      <c r="C1712" s="43">
        <v>105.14393203443998</v>
      </c>
      <c r="D1712" s="43">
        <v>105.83523813740334</v>
      </c>
      <c r="E1712" s="43">
        <v>106.34941446516063</v>
      </c>
      <c r="F1712" s="43">
        <v>106.70499603393657</v>
      </c>
      <c r="G1712" s="43">
        <v>106.92051441000623</v>
      </c>
      <c r="H1712" s="43">
        <v>107.01356000615067</v>
      </c>
      <c r="I1712" s="43">
        <v>107.00030145218</v>
      </c>
    </row>
    <row r="1713" spans="1:9">
      <c r="A1713" s="19">
        <v>530.70000000000005</v>
      </c>
      <c r="B1713" s="43">
        <v>104.27686229581164</v>
      </c>
      <c r="C1713" s="43">
        <v>105.16260026942615</v>
      </c>
      <c r="D1713" s="43">
        <v>105.85426961877158</v>
      </c>
      <c r="E1713" s="43">
        <v>106.36881095198368</v>
      </c>
      <c r="F1713" s="43">
        <v>106.72474964021396</v>
      </c>
      <c r="G1713" s="43">
        <v>106.94061047055314</v>
      </c>
      <c r="H1713" s="43">
        <v>107.03397941152906</v>
      </c>
      <c r="I1713" s="43">
        <v>107.02102242239482</v>
      </c>
    </row>
    <row r="1714" spans="1:9">
      <c r="A1714" s="19">
        <v>530.79999999999995</v>
      </c>
      <c r="B1714" s="43">
        <v>104.29518137211176</v>
      </c>
      <c r="C1714" s="43">
        <v>105.18126792588569</v>
      </c>
      <c r="D1714" s="43">
        <v>105.87330043957419</v>
      </c>
      <c r="E1714" s="43">
        <v>106.38820672006983</v>
      </c>
      <c r="F1714" s="43">
        <v>106.74450249216903</v>
      </c>
      <c r="G1714" s="43">
        <v>106.96070576145539</v>
      </c>
      <c r="H1714" s="43">
        <v>107.05439804935384</v>
      </c>
      <c r="I1714" s="43">
        <v>107.04174264178764</v>
      </c>
    </row>
    <row r="1715" spans="1:9">
      <c r="A1715" s="19">
        <v>530.9</v>
      </c>
      <c r="B1715" s="43">
        <v>104.31349997475846</v>
      </c>
      <c r="C1715" s="43">
        <v>105.19993500404544</v>
      </c>
      <c r="D1715" s="43">
        <v>105.89233060008866</v>
      </c>
      <c r="E1715" s="43">
        <v>106.40760176961402</v>
      </c>
      <c r="F1715" s="43">
        <v>106.76425459001175</v>
      </c>
      <c r="G1715" s="43">
        <v>106.98080028286921</v>
      </c>
      <c r="H1715" s="43">
        <v>107.07481591972859</v>
      </c>
      <c r="I1715" s="43">
        <v>107.0624621104177</v>
      </c>
    </row>
    <row r="1716" spans="1:9">
      <c r="A1716" s="19">
        <v>531</v>
      </c>
      <c r="B1716" s="43">
        <v>104.33181810410241</v>
      </c>
      <c r="C1716" s="43">
        <v>105.21860150425425</v>
      </c>
      <c r="D1716" s="43">
        <v>105.91136010058159</v>
      </c>
      <c r="E1716" s="43">
        <v>106.42699610090503</v>
      </c>
      <c r="F1716" s="43">
        <v>106.78400593392089</v>
      </c>
      <c r="G1716" s="43">
        <v>107.00089403493484</v>
      </c>
      <c r="H1716" s="43">
        <v>107.09523302275974</v>
      </c>
      <c r="I1716" s="43">
        <v>107.08318082835095</v>
      </c>
    </row>
    <row r="1717" spans="1:9">
      <c r="A1717" s="19">
        <v>531.1</v>
      </c>
      <c r="B1717" s="43">
        <v>104.35013576038318</v>
      </c>
      <c r="C1717" s="43">
        <v>105.23726742677161</v>
      </c>
      <c r="D1717" s="43">
        <v>105.93038894131558</v>
      </c>
      <c r="E1717" s="43">
        <v>106.44638971412186</v>
      </c>
      <c r="F1717" s="43">
        <v>106.80375652410638</v>
      </c>
      <c r="G1717" s="43">
        <v>107.02098701781043</v>
      </c>
      <c r="H1717" s="43">
        <v>107.1156493585554</v>
      </c>
      <c r="I1717" s="43">
        <v>107.10389879564079</v>
      </c>
    </row>
    <row r="1718" spans="1:9">
      <c r="A1718" s="19">
        <v>531.20000000000005</v>
      </c>
      <c r="B1718" s="43">
        <v>104.36845294389363</v>
      </c>
      <c r="C1718" s="43">
        <v>105.25593277185811</v>
      </c>
      <c r="D1718" s="43">
        <v>105.9494171225345</v>
      </c>
      <c r="E1718" s="43">
        <v>106.46578260950778</v>
      </c>
      <c r="F1718" s="43">
        <v>106.82350636073488</v>
      </c>
      <c r="G1718" s="43">
        <v>107.04107923164275</v>
      </c>
      <c r="H1718" s="43">
        <v>107.13606492721016</v>
      </c>
      <c r="I1718" s="43">
        <v>107.12461601234543</v>
      </c>
    </row>
    <row r="1719" spans="1:9">
      <c r="A1719" s="19">
        <v>531.29999999999995</v>
      </c>
      <c r="B1719" s="43">
        <v>104.38676965493386</v>
      </c>
      <c r="C1719" s="43">
        <v>105.27459753983854</v>
      </c>
      <c r="D1719" s="43">
        <v>105.96844464453991</v>
      </c>
      <c r="E1719" s="43">
        <v>106.48517478732683</v>
      </c>
      <c r="F1719" s="43">
        <v>106.84325544402131</v>
      </c>
      <c r="G1719" s="43">
        <v>107.06117067659176</v>
      </c>
      <c r="H1719" s="43">
        <v>107.15647972884574</v>
      </c>
      <c r="I1719" s="43">
        <v>107.14533247853126</v>
      </c>
    </row>
    <row r="1720" spans="1:9">
      <c r="A1720" s="19">
        <v>531.4</v>
      </c>
      <c r="B1720" s="43">
        <v>104.40508589376006</v>
      </c>
      <c r="C1720" s="43">
        <v>105.2932617309539</v>
      </c>
      <c r="D1720" s="43">
        <v>105.98747150755744</v>
      </c>
      <c r="E1720" s="43">
        <v>106.50456624778593</v>
      </c>
      <c r="F1720" s="43">
        <v>106.8630037741631</v>
      </c>
      <c r="G1720" s="43">
        <v>107.08126135280347</v>
      </c>
      <c r="H1720" s="43">
        <v>107.17689376355247</v>
      </c>
      <c r="I1720" s="43">
        <v>107.16604819425294</v>
      </c>
    </row>
    <row r="1721" spans="1:9">
      <c r="A1721" s="19">
        <v>531.5</v>
      </c>
      <c r="B1721" s="43">
        <v>104.42340166067891</v>
      </c>
      <c r="C1721" s="43">
        <v>105.31192534551315</v>
      </c>
      <c r="D1721" s="43">
        <v>106.00649771186329</v>
      </c>
      <c r="E1721" s="43">
        <v>106.52395699111062</v>
      </c>
      <c r="F1721" s="43">
        <v>106.88275135133534</v>
      </c>
      <c r="G1721" s="43">
        <v>107.10135126041283</v>
      </c>
      <c r="H1721" s="43">
        <v>107.19730703144444</v>
      </c>
      <c r="I1721" s="43">
        <v>107.18676315957197</v>
      </c>
    </row>
    <row r="1722" spans="1:9">
      <c r="A1722" s="19">
        <v>531.6</v>
      </c>
      <c r="B1722" s="43">
        <v>104.44171695595202</v>
      </c>
      <c r="C1722" s="43">
        <v>105.33058838377121</v>
      </c>
      <c r="D1722" s="43">
        <v>106.02552325772669</v>
      </c>
      <c r="E1722" s="43">
        <v>106.54334701751657</v>
      </c>
      <c r="F1722" s="43">
        <v>106.90249817573246</v>
      </c>
      <c r="G1722" s="43">
        <v>107.12144039958085</v>
      </c>
      <c r="H1722" s="43">
        <v>107.21771953261526</v>
      </c>
      <c r="I1722" s="43">
        <v>107.20747737454471</v>
      </c>
    </row>
    <row r="1723" spans="1:9">
      <c r="A1723" s="19">
        <v>531.70000000000005</v>
      </c>
      <c r="B1723" s="43">
        <v>104.46003177993032</v>
      </c>
      <c r="C1723" s="43">
        <v>105.34925084608133</v>
      </c>
      <c r="D1723" s="43">
        <v>106.04454814545718</v>
      </c>
      <c r="E1723" s="43">
        <v>106.56273632732416</v>
      </c>
      <c r="F1723" s="43">
        <v>106.9222442475857</v>
      </c>
      <c r="G1723" s="43">
        <v>107.14152877047465</v>
      </c>
      <c r="H1723" s="43">
        <v>107.23813126719966</v>
      </c>
      <c r="I1723" s="43">
        <v>107.22819083924759</v>
      </c>
    </row>
    <row r="1724" spans="1:9">
      <c r="A1724" s="19">
        <v>531.79999999999995</v>
      </c>
      <c r="B1724" s="43">
        <v>104.47834613281682</v>
      </c>
      <c r="C1724" s="43">
        <v>105.3679127326607</v>
      </c>
      <c r="D1724" s="43">
        <v>106.0635723752421</v>
      </c>
      <c r="E1724" s="43">
        <v>106.58212492068495</v>
      </c>
      <c r="F1724" s="43">
        <v>106.94198956705739</v>
      </c>
      <c r="G1724" s="43">
        <v>107.16161637323151</v>
      </c>
      <c r="H1724" s="43">
        <v>107.25854223527588</v>
      </c>
      <c r="I1724" s="43">
        <v>107.2489035537254</v>
      </c>
    </row>
    <row r="1725" spans="1:9">
      <c r="A1725" s="19">
        <v>531.9</v>
      </c>
      <c r="B1725" s="43">
        <v>104.4966600149242</v>
      </c>
      <c r="C1725" s="43">
        <v>105.386574043791</v>
      </c>
      <c r="D1725" s="43">
        <v>106.08259594737092</v>
      </c>
      <c r="E1725" s="43">
        <v>106.60151279784623</v>
      </c>
      <c r="F1725" s="43">
        <v>106.96173413432575</v>
      </c>
      <c r="G1725" s="43">
        <v>107.18170320798927</v>
      </c>
      <c r="H1725" s="43">
        <v>107.27895243694388</v>
      </c>
      <c r="I1725" s="43">
        <v>107.26961551803549</v>
      </c>
    </row>
    <row r="1726" spans="1:9">
      <c r="A1726" s="19">
        <v>532</v>
      </c>
      <c r="B1726" s="43">
        <v>104.5149734265612</v>
      </c>
      <c r="C1726" s="43">
        <v>105.40523477979838</v>
      </c>
      <c r="D1726" s="43">
        <v>106.1016188621289</v>
      </c>
      <c r="E1726" s="43">
        <v>106.62089995905495</v>
      </c>
      <c r="F1726" s="43">
        <v>106.98147794961878</v>
      </c>
      <c r="G1726" s="43">
        <v>107.20178927492168</v>
      </c>
      <c r="H1726" s="43">
        <v>107.29936187234654</v>
      </c>
      <c r="I1726" s="43">
        <v>107.29032673225367</v>
      </c>
    </row>
    <row r="1727" spans="1:9">
      <c r="A1727" s="19">
        <v>532.1</v>
      </c>
      <c r="B1727" s="43">
        <v>104.53328636796422</v>
      </c>
      <c r="C1727" s="43">
        <v>105.42389494092038</v>
      </c>
      <c r="D1727" s="43">
        <v>106.12064111975661</v>
      </c>
      <c r="E1727" s="43">
        <v>106.64028640453816</v>
      </c>
      <c r="F1727" s="43">
        <v>107.00122101311331</v>
      </c>
      <c r="G1727" s="43">
        <v>107.22187457416283</v>
      </c>
      <c r="H1727" s="43">
        <v>107.31977054155618</v>
      </c>
      <c r="I1727" s="43">
        <v>107.31103719643414</v>
      </c>
    </row>
    <row r="1728" spans="1:9">
      <c r="A1728" s="19">
        <v>532.20000000000005</v>
      </c>
      <c r="B1728" s="43">
        <v>104.5515988394645</v>
      </c>
      <c r="C1728" s="43">
        <v>105.44255452747362</v>
      </c>
      <c r="D1728" s="43">
        <v>106.1396627205288</v>
      </c>
      <c r="E1728" s="43">
        <v>106.65967213452936</v>
      </c>
      <c r="F1728" s="43">
        <v>107.02096332499576</v>
      </c>
      <c r="G1728" s="43">
        <v>107.24195910587918</v>
      </c>
      <c r="H1728" s="43">
        <v>107.34017844469071</v>
      </c>
      <c r="I1728" s="43">
        <v>107.33174691063735</v>
      </c>
    </row>
    <row r="1729" spans="1:9">
      <c r="A1729" s="19">
        <v>532.29999999999995</v>
      </c>
      <c r="B1729" s="43">
        <v>104.56991084126895</v>
      </c>
      <c r="C1729" s="43">
        <v>105.4612135396967</v>
      </c>
      <c r="D1729" s="43">
        <v>106.15868366468993</v>
      </c>
      <c r="E1729" s="43">
        <v>106.67905714925044</v>
      </c>
      <c r="F1729" s="43">
        <v>107.04070488546944</v>
      </c>
      <c r="G1729" s="43">
        <v>107.26204287019951</v>
      </c>
      <c r="H1729" s="43">
        <v>107.36058558184766</v>
      </c>
      <c r="I1729" s="43">
        <v>107.35245587491912</v>
      </c>
    </row>
    <row r="1730" spans="1:9">
      <c r="A1730" s="19">
        <v>532.4</v>
      </c>
      <c r="B1730" s="43">
        <v>104.58822237376091</v>
      </c>
      <c r="C1730" s="43">
        <v>105.47987197791875</v>
      </c>
      <c r="D1730" s="43">
        <v>106.17770395252901</v>
      </c>
      <c r="E1730" s="43">
        <v>106.69844144894685</v>
      </c>
      <c r="F1730" s="43">
        <v>107.06044569471706</v>
      </c>
      <c r="G1730" s="43">
        <v>107.28212586727443</v>
      </c>
      <c r="H1730" s="43">
        <v>107.38099195314012</v>
      </c>
      <c r="I1730" s="43">
        <v>107.37316408933592</v>
      </c>
    </row>
    <row r="1731" spans="1:9">
      <c r="A1731" s="19">
        <v>532.5</v>
      </c>
      <c r="B1731" s="43">
        <v>104.60653343715114</v>
      </c>
      <c r="C1731" s="43">
        <v>105.49852984238473</v>
      </c>
      <c r="D1731" s="43">
        <v>106.19672358429534</v>
      </c>
      <c r="E1731" s="43">
        <v>106.71782503383093</v>
      </c>
      <c r="F1731" s="43">
        <v>107.08018575295927</v>
      </c>
      <c r="G1731" s="43">
        <v>107.30220809728544</v>
      </c>
      <c r="H1731" s="43">
        <v>107.4013975586733</v>
      </c>
      <c r="I1731" s="43">
        <v>107.39387155396636</v>
      </c>
    </row>
    <row r="1732" spans="1:9">
      <c r="A1732" s="19">
        <v>532.6</v>
      </c>
      <c r="B1732" s="43">
        <v>104.62484403179857</v>
      </c>
      <c r="C1732" s="43">
        <v>105.51718713344286</v>
      </c>
      <c r="D1732" s="43">
        <v>106.21574256027969</v>
      </c>
      <c r="E1732" s="43">
        <v>106.73720790419071</v>
      </c>
      <c r="F1732" s="43">
        <v>107.09992506040183</v>
      </c>
      <c r="G1732" s="43">
        <v>107.32228956038173</v>
      </c>
      <c r="H1732" s="43">
        <v>107.42180239857566</v>
      </c>
      <c r="I1732" s="43">
        <v>107.41457826886813</v>
      </c>
    </row>
    <row r="1733" spans="1:9">
      <c r="A1733" s="19">
        <v>532.70000000000005</v>
      </c>
      <c r="B1733" s="43">
        <v>104.64315415787053</v>
      </c>
      <c r="C1733" s="43">
        <v>105.5358438512896</v>
      </c>
      <c r="D1733" s="43">
        <v>106.23476088072138</v>
      </c>
      <c r="E1733" s="43">
        <v>106.75659006020857</v>
      </c>
      <c r="F1733" s="43">
        <v>107.11966361717714</v>
      </c>
      <c r="G1733" s="43">
        <v>107.34237025667949</v>
      </c>
      <c r="H1733" s="43">
        <v>107.4422064729188</v>
      </c>
      <c r="I1733" s="43">
        <v>107.43528423409907</v>
      </c>
    </row>
    <row r="1734" spans="1:9">
      <c r="A1734" s="19">
        <v>532.79999999999995</v>
      </c>
      <c r="B1734" s="43">
        <v>104.66146381576252</v>
      </c>
      <c r="C1734" s="43">
        <v>105.5544999962467</v>
      </c>
      <c r="D1734" s="43">
        <v>106.25377854586591</v>
      </c>
      <c r="E1734" s="43">
        <v>106.7759715021171</v>
      </c>
      <c r="F1734" s="43">
        <v>107.13940142353837</v>
      </c>
      <c r="G1734" s="43">
        <v>107.36245018635859</v>
      </c>
      <c r="H1734" s="43">
        <v>107.46260978182281</v>
      </c>
      <c r="I1734" s="43">
        <v>107.45598944971198</v>
      </c>
    </row>
    <row r="1735" spans="1:9">
      <c r="A1735" s="19">
        <v>532.9</v>
      </c>
      <c r="B1735" s="43">
        <v>104.67977300569797</v>
      </c>
      <c r="C1735" s="43">
        <v>105.57315556860095</v>
      </c>
      <c r="D1735" s="43">
        <v>106.27279555600987</v>
      </c>
      <c r="E1735" s="43">
        <v>106.79535223018092</v>
      </c>
      <c r="F1735" s="43">
        <v>107.15913847963242</v>
      </c>
      <c r="G1735" s="43">
        <v>107.38252934955034</v>
      </c>
      <c r="H1735" s="43">
        <v>107.48301232539063</v>
      </c>
      <c r="I1735" s="43">
        <v>107.47669391577611</v>
      </c>
    </row>
    <row r="1736" spans="1:9">
      <c r="A1736" s="19">
        <v>533</v>
      </c>
      <c r="B1736" s="43">
        <v>104.69808172797201</v>
      </c>
      <c r="C1736" s="43">
        <v>105.59181056862371</v>
      </c>
      <c r="D1736" s="43">
        <v>106.29181191140827</v>
      </c>
      <c r="E1736" s="43">
        <v>106.81473224459833</v>
      </c>
      <c r="F1736" s="43">
        <v>107.17887478570006</v>
      </c>
      <c r="G1736" s="43">
        <v>107.40260774642974</v>
      </c>
      <c r="H1736" s="43">
        <v>107.50341410374625</v>
      </c>
      <c r="I1736" s="43">
        <v>107.49739763235866</v>
      </c>
    </row>
    <row r="1737" spans="1:9">
      <c r="A1737" s="19">
        <v>533.1</v>
      </c>
      <c r="B1737" s="43">
        <v>104.7163899828814</v>
      </c>
      <c r="C1737" s="43">
        <v>105.61046499661435</v>
      </c>
      <c r="D1737" s="43">
        <v>106.3108276123246</v>
      </c>
      <c r="E1737" s="43">
        <v>106.83411154562751</v>
      </c>
      <c r="F1737" s="43">
        <v>107.1986103418966</v>
      </c>
      <c r="G1737" s="43">
        <v>107.42268537712852</v>
      </c>
      <c r="H1737" s="43">
        <v>107.52381511698246</v>
      </c>
      <c r="I1737" s="43">
        <v>107.51810059952152</v>
      </c>
    </row>
    <row r="1738" spans="1:9">
      <c r="A1738" s="19">
        <v>533.20000000000005</v>
      </c>
      <c r="B1738" s="43">
        <v>104.7346977706614</v>
      </c>
      <c r="C1738" s="43">
        <v>105.6291188528246</v>
      </c>
      <c r="D1738" s="43">
        <v>106.32984265900043</v>
      </c>
      <c r="E1738" s="43">
        <v>106.85349013347243</v>
      </c>
      <c r="F1738" s="43">
        <v>107.21834514843462</v>
      </c>
      <c r="G1738" s="43">
        <v>107.44276224181127</v>
      </c>
      <c r="H1738" s="43">
        <v>107.54421536520206</v>
      </c>
      <c r="I1738" s="43">
        <v>107.53880281731202</v>
      </c>
    </row>
    <row r="1739" spans="1:9">
      <c r="A1739" s="19">
        <v>533.29999999999995</v>
      </c>
      <c r="B1739" s="43">
        <v>104.75300509165481</v>
      </c>
      <c r="C1739" s="43">
        <v>105.64777213756403</v>
      </c>
      <c r="D1739" s="43">
        <v>106.34885705173642</v>
      </c>
      <c r="E1739" s="43">
        <v>106.87286800841431</v>
      </c>
      <c r="F1739" s="43">
        <v>107.23807920551727</v>
      </c>
      <c r="G1739" s="43">
        <v>107.46283834062385</v>
      </c>
      <c r="H1739" s="43">
        <v>107.56461484852201</v>
      </c>
      <c r="I1739" s="43">
        <v>107.55950428580647</v>
      </c>
    </row>
    <row r="1740" spans="1:9">
      <c r="A1740" s="19">
        <v>533.4</v>
      </c>
      <c r="B1740" s="43">
        <v>104.77131194603743</v>
      </c>
      <c r="C1740" s="43">
        <v>105.66642485104873</v>
      </c>
      <c r="D1740" s="43">
        <v>106.36787079072064</v>
      </c>
      <c r="E1740" s="43">
        <v>106.89224517060822</v>
      </c>
      <c r="F1740" s="43">
        <v>107.25781251328547</v>
      </c>
      <c r="G1740" s="43">
        <v>107.4829136736912</v>
      </c>
      <c r="H1740" s="43">
        <v>107.58501356702624</v>
      </c>
      <c r="I1740" s="43">
        <v>107.58020500504981</v>
      </c>
    </row>
    <row r="1741" spans="1:9">
      <c r="A1741" s="19">
        <v>533.5</v>
      </c>
      <c r="B1741" s="43">
        <v>104.7896183342923</v>
      </c>
      <c r="C1741" s="43">
        <v>105.68507699369459</v>
      </c>
      <c r="D1741" s="43">
        <v>106.38688387636233</v>
      </c>
      <c r="E1741" s="43">
        <v>106.91162162041439</v>
      </c>
      <c r="F1741" s="43">
        <v>107.27754507204489</v>
      </c>
      <c r="G1741" s="43">
        <v>107.5029882412376</v>
      </c>
      <c r="H1741" s="43">
        <v>107.60541152086984</v>
      </c>
      <c r="I1741" s="43">
        <v>107.60090497514003</v>
      </c>
    </row>
    <row r="1742" spans="1:9">
      <c r="A1742" s="19">
        <v>533.6</v>
      </c>
      <c r="B1742" s="43">
        <v>104.80792425653374</v>
      </c>
      <c r="C1742" s="43">
        <v>105.70372856567758</v>
      </c>
      <c r="D1742" s="43">
        <v>106.40589630879654</v>
      </c>
      <c r="E1742" s="43">
        <v>106.93099735793734</v>
      </c>
      <c r="F1742" s="43">
        <v>107.29727688189612</v>
      </c>
      <c r="G1742" s="43">
        <v>107.52306204335326</v>
      </c>
      <c r="H1742" s="43">
        <v>107.62580871012429</v>
      </c>
      <c r="I1742" s="43">
        <v>107.62160419610242</v>
      </c>
    </row>
    <row r="1743" spans="1:9">
      <c r="A1743" s="19">
        <v>533.70000000000005</v>
      </c>
      <c r="B1743" s="43">
        <v>104.82622971307916</v>
      </c>
      <c r="C1743" s="43">
        <v>105.72237956730129</v>
      </c>
      <c r="D1743" s="43">
        <v>106.42490808831778</v>
      </c>
      <c r="E1743" s="43">
        <v>106.95037238346117</v>
      </c>
      <c r="F1743" s="43">
        <v>107.31700794305044</v>
      </c>
      <c r="G1743" s="43">
        <v>107.54313508019996</v>
      </c>
      <c r="H1743" s="43">
        <v>107.64620513489575</v>
      </c>
      <c r="I1743" s="43">
        <v>107.64230266801624</v>
      </c>
    </row>
    <row r="1744" spans="1:9">
      <c r="A1744" s="19">
        <v>533.79999999999995</v>
      </c>
      <c r="B1744" s="43">
        <v>104.84453470422568</v>
      </c>
      <c r="C1744" s="43">
        <v>105.74102999882089</v>
      </c>
      <c r="D1744" s="43">
        <v>106.44391921519741</v>
      </c>
      <c r="E1744" s="43">
        <v>106.96974669720495</v>
      </c>
      <c r="F1744" s="43">
        <v>107.33673825569997</v>
      </c>
      <c r="G1744" s="43">
        <v>107.5632073519256</v>
      </c>
      <c r="H1744" s="43">
        <v>107.66660079529549</v>
      </c>
      <c r="I1744" s="43">
        <v>107.66300039093423</v>
      </c>
    </row>
    <row r="1745" spans="1:9">
      <c r="A1745" s="19">
        <v>533.9</v>
      </c>
      <c r="B1745" s="43">
        <v>104.86283923025064</v>
      </c>
      <c r="C1745" s="43">
        <v>105.75967986057771</v>
      </c>
      <c r="D1745" s="43">
        <v>106.46292968969627</v>
      </c>
      <c r="E1745" s="43">
        <v>106.98912029944515</v>
      </c>
      <c r="F1745" s="43">
        <v>107.35646782008459</v>
      </c>
      <c r="G1745" s="43">
        <v>107.58327885871898</v>
      </c>
      <c r="H1745" s="43">
        <v>107.68699569144994</v>
      </c>
      <c r="I1745" s="43">
        <v>107.68369736493963</v>
      </c>
    </row>
    <row r="1746" spans="1:9">
      <c r="A1746" s="19">
        <v>534</v>
      </c>
      <c r="B1746" s="43">
        <v>104.88114329144892</v>
      </c>
      <c r="C1746" s="43">
        <v>105.7783291528188</v>
      </c>
      <c r="D1746" s="43">
        <v>106.48193951209669</v>
      </c>
      <c r="E1746" s="43">
        <v>107.0084931903593</v>
      </c>
      <c r="F1746" s="43">
        <v>107.37619663633407</v>
      </c>
      <c r="G1746" s="43">
        <v>107.60334960069576</v>
      </c>
      <c r="H1746" s="43">
        <v>107.70738982344668</v>
      </c>
      <c r="I1746" s="43">
        <v>107.70439359007676</v>
      </c>
    </row>
    <row r="1747" spans="1:9">
      <c r="A1747" s="19">
        <v>534.1</v>
      </c>
      <c r="B1747" s="43">
        <v>104.89944688804417</v>
      </c>
      <c r="C1747" s="43">
        <v>105.79697787579505</v>
      </c>
      <c r="D1747" s="43">
        <v>106.50094868260817</v>
      </c>
      <c r="E1747" s="43">
        <v>107.02786537020049</v>
      </c>
      <c r="F1747" s="43">
        <v>107.39592470467687</v>
      </c>
      <c r="G1747" s="43">
        <v>107.62341957799498</v>
      </c>
      <c r="H1747" s="43">
        <v>107.72778319139312</v>
      </c>
      <c r="I1747" s="43">
        <v>107.72508906641434</v>
      </c>
    </row>
    <row r="1748" spans="1:9">
      <c r="A1748" s="19">
        <v>534.20000000000005</v>
      </c>
      <c r="B1748" s="43">
        <v>104.91775002042226</v>
      </c>
      <c r="C1748" s="43">
        <v>105.8156260298625</v>
      </c>
      <c r="D1748" s="43">
        <v>106.51995720157561</v>
      </c>
      <c r="E1748" s="43">
        <v>107.04723683924033</v>
      </c>
      <c r="F1748" s="43">
        <v>107.415652025322</v>
      </c>
      <c r="G1748" s="43">
        <v>107.64348879082536</v>
      </c>
      <c r="H1748" s="43">
        <v>107.74817579541661</v>
      </c>
      <c r="I1748" s="43">
        <v>107.74578379401964</v>
      </c>
    </row>
    <row r="1749" spans="1:9">
      <c r="A1749" s="19">
        <v>534.29999999999995</v>
      </c>
      <c r="B1749" s="43">
        <v>104.93605268878207</v>
      </c>
      <c r="C1749" s="43">
        <v>105.83427361523889</v>
      </c>
      <c r="D1749" s="43">
        <v>106.53896506918747</v>
      </c>
      <c r="E1749" s="43">
        <v>107.06660759765236</v>
      </c>
      <c r="F1749" s="43">
        <v>107.43537859843113</v>
      </c>
      <c r="G1749" s="43">
        <v>107.66355723928658</v>
      </c>
      <c r="H1749" s="43">
        <v>107.76856763559715</v>
      </c>
      <c r="I1749" s="43">
        <v>107.76647777294056</v>
      </c>
    </row>
    <row r="1750" spans="1:9">
      <c r="A1750" s="19">
        <v>534.4</v>
      </c>
      <c r="B1750" s="43">
        <v>104.95435489342313</v>
      </c>
      <c r="C1750" s="43">
        <v>105.8529206322404</v>
      </c>
      <c r="D1750" s="43">
        <v>106.55797228575346</v>
      </c>
      <c r="E1750" s="43">
        <v>107.08597764570342</v>
      </c>
      <c r="F1750" s="43">
        <v>107.45510442423412</v>
      </c>
      <c r="G1750" s="43">
        <v>107.68362492356471</v>
      </c>
      <c r="H1750" s="43">
        <v>107.78895871206754</v>
      </c>
      <c r="I1750" s="43">
        <v>107.78717100326435</v>
      </c>
    </row>
    <row r="1751" spans="1:9">
      <c r="A1751" s="19">
        <v>534.5</v>
      </c>
      <c r="B1751" s="43">
        <v>104.97265663462215</v>
      </c>
      <c r="C1751" s="43">
        <v>105.87156708110797</v>
      </c>
      <c r="D1751" s="43">
        <v>106.57697885150887</v>
      </c>
      <c r="E1751" s="43">
        <v>107.10534698360459</v>
      </c>
      <c r="F1751" s="43">
        <v>107.47482950288827</v>
      </c>
      <c r="G1751" s="43">
        <v>107.70369184378714</v>
      </c>
      <c r="H1751" s="43">
        <v>107.80934902492638</v>
      </c>
      <c r="I1751" s="43">
        <v>107.80786348503659</v>
      </c>
    </row>
    <row r="1752" spans="1:9">
      <c r="A1752" s="19">
        <v>534.6</v>
      </c>
      <c r="B1752" s="43">
        <v>104.99095791269016</v>
      </c>
      <c r="C1752" s="43">
        <v>105.89021296217601</v>
      </c>
      <c r="D1752" s="43">
        <v>106.59598476673682</v>
      </c>
      <c r="E1752" s="43">
        <v>107.12471561160089</v>
      </c>
      <c r="F1752" s="43">
        <v>107.49455383462131</v>
      </c>
      <c r="G1752" s="43">
        <v>107.72375800012048</v>
      </c>
      <c r="H1752" s="43">
        <v>107.82973857427615</v>
      </c>
      <c r="I1752" s="43">
        <v>107.82855521832482</v>
      </c>
    </row>
    <row r="1753" spans="1:9">
      <c r="A1753" s="19">
        <v>534.70000000000005</v>
      </c>
      <c r="B1753" s="43">
        <v>105.00925872787846</v>
      </c>
      <c r="C1753" s="43">
        <v>105.90885827566424</v>
      </c>
      <c r="D1753" s="43">
        <v>106.61499003167637</v>
      </c>
      <c r="E1753" s="43">
        <v>107.1440835299216</v>
      </c>
      <c r="F1753" s="43">
        <v>107.51427741960356</v>
      </c>
      <c r="G1753" s="43">
        <v>107.74382339271421</v>
      </c>
      <c r="H1753" s="43">
        <v>107.85012736023708</v>
      </c>
      <c r="I1753" s="43">
        <v>107.84924620319487</v>
      </c>
    </row>
    <row r="1754" spans="1:9">
      <c r="A1754" s="19">
        <v>534.79999999999995</v>
      </c>
      <c r="B1754" s="43">
        <v>105.02755908044966</v>
      </c>
      <c r="C1754" s="43">
        <v>105.92750302189577</v>
      </c>
      <c r="D1754" s="43">
        <v>106.63399464659881</v>
      </c>
      <c r="E1754" s="43">
        <v>107.16345073880322</v>
      </c>
      <c r="F1754" s="43">
        <v>107.53400025803316</v>
      </c>
      <c r="G1754" s="43">
        <v>107.7638880217047</v>
      </c>
      <c r="H1754" s="43">
        <v>107.87051538289697</v>
      </c>
      <c r="I1754" s="43">
        <v>107.86993643970197</v>
      </c>
    </row>
    <row r="1755" spans="1:9">
      <c r="A1755" s="19">
        <v>534.9</v>
      </c>
      <c r="B1755" s="43">
        <v>105.04585897077487</v>
      </c>
      <c r="C1755" s="43">
        <v>105.94614720117028</v>
      </c>
      <c r="D1755" s="43">
        <v>106.65299861180961</v>
      </c>
      <c r="E1755" s="43">
        <v>107.18281723851908</v>
      </c>
      <c r="F1755" s="43">
        <v>107.55372235013692</v>
      </c>
      <c r="G1755" s="43">
        <v>107.78395188729479</v>
      </c>
      <c r="H1755" s="43">
        <v>107.89090264239286</v>
      </c>
      <c r="I1755" s="43">
        <v>107.89062592793417</v>
      </c>
    </row>
    <row r="1756" spans="1:9">
      <c r="A1756" s="19">
        <v>535</v>
      </c>
      <c r="B1756" s="43">
        <v>105.06415839902675</v>
      </c>
      <c r="C1756" s="43">
        <v>105.96479081371152</v>
      </c>
      <c r="D1756" s="43">
        <v>106.6720019275011</v>
      </c>
      <c r="E1756" s="43">
        <v>107.20218302922191</v>
      </c>
      <c r="F1756" s="43">
        <v>107.57344369606193</v>
      </c>
      <c r="G1756" s="43">
        <v>107.80401498957508</v>
      </c>
      <c r="H1756" s="43">
        <v>107.91128913881369</v>
      </c>
      <c r="I1756" s="43">
        <v>107.91131466792922</v>
      </c>
    </row>
    <row r="1757" spans="1:9">
      <c r="A1757" s="19">
        <v>535.1</v>
      </c>
      <c r="B1757" s="43">
        <v>105.08245736554383</v>
      </c>
      <c r="C1757" s="43">
        <v>105.9834338598273</v>
      </c>
      <c r="D1757" s="43">
        <v>106.69100459399021</v>
      </c>
      <c r="E1757" s="43">
        <v>107.22154811119728</v>
      </c>
      <c r="F1757" s="43">
        <v>107.59316429603516</v>
      </c>
      <c r="G1757" s="43">
        <v>107.82407732873551</v>
      </c>
      <c r="H1757" s="43">
        <v>107.93167487226899</v>
      </c>
      <c r="I1757" s="43">
        <v>107.93200265976239</v>
      </c>
    </row>
    <row r="1758" spans="1:9">
      <c r="A1758" s="19">
        <v>535.20000000000005</v>
      </c>
      <c r="B1758" s="43">
        <v>105.10075587056448</v>
      </c>
      <c r="C1758" s="43">
        <v>106.0020763397925</v>
      </c>
      <c r="D1758" s="43">
        <v>106.71000661150043</v>
      </c>
      <c r="E1758" s="43">
        <v>107.24091248463887</v>
      </c>
      <c r="F1758" s="43">
        <v>107.61288415023174</v>
      </c>
      <c r="G1758" s="43">
        <v>107.84413890491194</v>
      </c>
      <c r="H1758" s="43">
        <v>107.95205984286878</v>
      </c>
      <c r="I1758" s="43">
        <v>107.95268990349129</v>
      </c>
    </row>
    <row r="1759" spans="1:9">
      <c r="A1759" s="19">
        <v>535.29999999999995</v>
      </c>
      <c r="B1759" s="43">
        <v>105.11905391444799</v>
      </c>
      <c r="C1759" s="43">
        <v>106.02071825392369</v>
      </c>
      <c r="D1759" s="43">
        <v>106.72900798034209</v>
      </c>
      <c r="E1759" s="43">
        <v>107.26027614984017</v>
      </c>
      <c r="F1759" s="43">
        <v>107.63260325887495</v>
      </c>
      <c r="G1759" s="43">
        <v>107.86419971827686</v>
      </c>
      <c r="H1759" s="43">
        <v>107.97244405073644</v>
      </c>
      <c r="I1759" s="43">
        <v>107.97337639918985</v>
      </c>
    </row>
    <row r="1760" spans="1:9">
      <c r="A1760" s="19">
        <v>535.4</v>
      </c>
      <c r="B1760" s="43">
        <v>105.13735149739401</v>
      </c>
      <c r="C1760" s="43">
        <v>106.03935960243132</v>
      </c>
      <c r="D1760" s="43">
        <v>106.74800870071587</v>
      </c>
      <c r="E1760" s="43">
        <v>107.27963910698233</v>
      </c>
      <c r="F1760" s="43">
        <v>107.65232162213326</v>
      </c>
      <c r="G1760" s="43">
        <v>107.88425976896312</v>
      </c>
      <c r="H1760" s="43">
        <v>107.99282749596685</v>
      </c>
      <c r="I1760" s="43">
        <v>107.99406214691882</v>
      </c>
    </row>
    <row r="1761" spans="1:9">
      <c r="A1761" s="19">
        <v>535.5</v>
      </c>
      <c r="B1761" s="43">
        <v>105.15564861970114</v>
      </c>
      <c r="C1761" s="43">
        <v>106.05800038565917</v>
      </c>
      <c r="D1761" s="43">
        <v>106.76700877293399</v>
      </c>
      <c r="E1761" s="43">
        <v>107.29900135632201</v>
      </c>
      <c r="F1761" s="43">
        <v>107.67203924021496</v>
      </c>
      <c r="G1761" s="43">
        <v>107.90431905713626</v>
      </c>
      <c r="H1761" s="43">
        <v>108.01321017866235</v>
      </c>
      <c r="I1761" s="43">
        <v>108.01474714674822</v>
      </c>
    </row>
    <row r="1762" spans="1:9">
      <c r="A1762" s="19">
        <v>535.6</v>
      </c>
      <c r="B1762" s="43">
        <v>105.17394528169439</v>
      </c>
      <c r="C1762" s="43">
        <v>106.07664060384812</v>
      </c>
      <c r="D1762" s="43">
        <v>106.78600819724645</v>
      </c>
      <c r="E1762" s="43">
        <v>107.31836289809161</v>
      </c>
      <c r="F1762" s="43">
        <v>107.69175611331335</v>
      </c>
      <c r="G1762" s="43">
        <v>107.9243775829369</v>
      </c>
      <c r="H1762" s="43">
        <v>108.03359209894526</v>
      </c>
      <c r="I1762" s="43">
        <v>108.03543139872809</v>
      </c>
    </row>
    <row r="1763" spans="1:9">
      <c r="A1763" s="19">
        <v>535.70000000000005</v>
      </c>
      <c r="B1763" s="43">
        <v>105.1922414835864</v>
      </c>
      <c r="C1763" s="43">
        <v>106.0952802572842</v>
      </c>
      <c r="D1763" s="43">
        <v>106.80500697388948</v>
      </c>
      <c r="E1763" s="43">
        <v>107.33772373249511</v>
      </c>
      <c r="F1763" s="43">
        <v>107.71147224159407</v>
      </c>
      <c r="G1763" s="43">
        <v>107.94443534652785</v>
      </c>
      <c r="H1763" s="43">
        <v>108.05397325691223</v>
      </c>
      <c r="I1763" s="43">
        <v>108.05611490292551</v>
      </c>
    </row>
    <row r="1764" spans="1:9">
      <c r="A1764" s="19">
        <v>535.79999999999995</v>
      </c>
      <c r="B1764" s="43">
        <v>105.21053722572606</v>
      </c>
      <c r="C1764" s="43">
        <v>106.11391934629216</v>
      </c>
      <c r="D1764" s="43">
        <v>106.82400510318243</v>
      </c>
      <c r="E1764" s="43">
        <v>107.35708385980601</v>
      </c>
      <c r="F1764" s="43">
        <v>107.73118762532067</v>
      </c>
      <c r="G1764" s="43">
        <v>107.96449234807818</v>
      </c>
      <c r="H1764" s="43">
        <v>108.07435365270021</v>
      </c>
      <c r="I1764" s="43">
        <v>108.07679765942538</v>
      </c>
    </row>
    <row r="1765" spans="1:9">
      <c r="A1765" s="19">
        <v>535.9</v>
      </c>
      <c r="B1765" s="43">
        <v>105.22883250833161</v>
      </c>
      <c r="C1765" s="43">
        <v>106.13255787107371</v>
      </c>
      <c r="D1765" s="43">
        <v>106.84300258534125</v>
      </c>
      <c r="E1765" s="43">
        <v>107.37644328024143</v>
      </c>
      <c r="F1765" s="43">
        <v>107.75090226462589</v>
      </c>
      <c r="G1765" s="43">
        <v>107.98454858771234</v>
      </c>
      <c r="H1765" s="43">
        <v>108.09473328638057</v>
      </c>
      <c r="I1765" s="43">
        <v>108.09747966827541</v>
      </c>
    </row>
    <row r="1766" spans="1:9">
      <c r="A1766" s="19">
        <v>536</v>
      </c>
      <c r="B1766" s="43">
        <v>105.24712733173416</v>
      </c>
      <c r="C1766" s="43">
        <v>106.151195831992</v>
      </c>
      <c r="D1766" s="43">
        <v>106.86199942064638</v>
      </c>
      <c r="E1766" s="43">
        <v>107.39580199403568</v>
      </c>
      <c r="F1766" s="43">
        <v>107.77061615974588</v>
      </c>
      <c r="G1766" s="43">
        <v>108.00460406559736</v>
      </c>
      <c r="H1766" s="43">
        <v>108.11511215809585</v>
      </c>
      <c r="I1766" s="43">
        <v>108.11816092954072</v>
      </c>
    </row>
    <row r="1767" spans="1:9">
      <c r="A1767" s="19">
        <v>536.1</v>
      </c>
      <c r="B1767" s="43">
        <v>105.26542169617622</v>
      </c>
      <c r="C1767" s="43">
        <v>106.16983322923008</v>
      </c>
      <c r="D1767" s="43">
        <v>106.88099560934691</v>
      </c>
      <c r="E1767" s="43">
        <v>107.41516000141158</v>
      </c>
      <c r="F1767" s="43">
        <v>107.79032931083589</v>
      </c>
      <c r="G1767" s="43">
        <v>108.02465878188184</v>
      </c>
      <c r="H1767" s="43">
        <v>108.13549026792558</v>
      </c>
      <c r="I1767" s="43">
        <v>108.13884144329111</v>
      </c>
    </row>
    <row r="1768" spans="1:9">
      <c r="A1768" s="19">
        <v>536.20000000000005</v>
      </c>
      <c r="B1768" s="43">
        <v>105.28371560193733</v>
      </c>
      <c r="C1768" s="43">
        <v>106.18847006315053</v>
      </c>
      <c r="D1768" s="43">
        <v>106.89999115170551</v>
      </c>
      <c r="E1768" s="43">
        <v>107.43451730260287</v>
      </c>
      <c r="F1768" s="43">
        <v>107.81004171811219</v>
      </c>
      <c r="G1768" s="43">
        <v>108.04471273671317</v>
      </c>
      <c r="H1768" s="43">
        <v>108.15586761599846</v>
      </c>
      <c r="I1768" s="43">
        <v>108.15952120958693</v>
      </c>
    </row>
    <row r="1769" spans="1:9">
      <c r="A1769" s="19">
        <v>536.29999999999995</v>
      </c>
      <c r="B1769" s="43">
        <v>105.30200904932329</v>
      </c>
      <c r="C1769" s="43">
        <v>106.20710633399767</v>
      </c>
      <c r="D1769" s="43">
        <v>106.91898604799715</v>
      </c>
      <c r="E1769" s="43">
        <v>107.45387389784992</v>
      </c>
      <c r="F1769" s="43">
        <v>107.82975338179043</v>
      </c>
      <c r="G1769" s="43">
        <v>108.06476593026298</v>
      </c>
      <c r="H1769" s="43">
        <v>108.17624420242737</v>
      </c>
      <c r="I1769" s="43">
        <v>108.1802002285074</v>
      </c>
    </row>
    <row r="1770" spans="1:9">
      <c r="A1770" s="19">
        <v>536.4</v>
      </c>
      <c r="B1770" s="43">
        <v>105.32030203860637</v>
      </c>
      <c r="C1770" s="43">
        <v>106.22574204207484</v>
      </c>
      <c r="D1770" s="43">
        <v>106.93798029850623</v>
      </c>
      <c r="E1770" s="43">
        <v>107.47322978739587</v>
      </c>
      <c r="F1770" s="43">
        <v>107.84946430203675</v>
      </c>
      <c r="G1770" s="43">
        <v>108.08481836267717</v>
      </c>
      <c r="H1770" s="43">
        <v>108.19662002731795</v>
      </c>
      <c r="I1770" s="43">
        <v>108.20087850010103</v>
      </c>
    </row>
    <row r="1771" spans="1:9">
      <c r="A1771" s="19">
        <v>536.5</v>
      </c>
      <c r="B1771" s="43">
        <v>105.33859457005576</v>
      </c>
      <c r="C1771" s="43">
        <v>106.24437718764088</v>
      </c>
      <c r="D1771" s="43">
        <v>106.95697390344776</v>
      </c>
      <c r="E1771" s="43">
        <v>107.49258497146317</v>
      </c>
      <c r="F1771" s="43">
        <v>107.86917447905284</v>
      </c>
      <c r="G1771" s="43">
        <v>108.10487003410617</v>
      </c>
      <c r="H1771" s="43">
        <v>108.21699509076836</v>
      </c>
      <c r="I1771" s="43">
        <v>108.22155602444283</v>
      </c>
    </row>
    <row r="1772" spans="1:9">
      <c r="A1772" s="19">
        <v>536.6</v>
      </c>
      <c r="B1772" s="43">
        <v>105.35688664390696</v>
      </c>
      <c r="C1772" s="43">
        <v>106.26301177094024</v>
      </c>
      <c r="D1772" s="43">
        <v>106.97596686308592</v>
      </c>
      <c r="E1772" s="43">
        <v>107.51193945025267</v>
      </c>
      <c r="F1772" s="43">
        <v>107.8888839130218</v>
      </c>
      <c r="G1772" s="43">
        <v>108.12492094469863</v>
      </c>
      <c r="H1772" s="43">
        <v>108.23736939289162</v>
      </c>
      <c r="I1772" s="43">
        <v>108.24223280158918</v>
      </c>
    </row>
    <row r="1773" spans="1:9">
      <c r="A1773" s="19">
        <v>536.70000000000005</v>
      </c>
      <c r="B1773" s="43">
        <v>105.37517826057788</v>
      </c>
      <c r="C1773" s="43">
        <v>106.28164579236019</v>
      </c>
      <c r="D1773" s="43">
        <v>106.99495917776375</v>
      </c>
      <c r="E1773" s="43">
        <v>107.53129322408634</v>
      </c>
      <c r="F1773" s="43">
        <v>107.90859260419401</v>
      </c>
      <c r="G1773" s="43">
        <v>108.1449710946344</v>
      </c>
      <c r="H1773" s="43">
        <v>108.25774293382841</v>
      </c>
      <c r="I1773" s="43">
        <v>108.26290883162906</v>
      </c>
    </row>
    <row r="1774" spans="1:9">
      <c r="A1774" s="19">
        <v>536.79999999999995</v>
      </c>
      <c r="B1774" s="43">
        <v>105.39346942019228</v>
      </c>
      <c r="C1774" s="43">
        <v>106.30027925205439</v>
      </c>
      <c r="D1774" s="43">
        <v>107.01395084763271</v>
      </c>
      <c r="E1774" s="43">
        <v>107.55064629309516</v>
      </c>
      <c r="F1774" s="43">
        <v>107.92830055271224</v>
      </c>
      <c r="G1774" s="43">
        <v>108.16502048403521</v>
      </c>
      <c r="H1774" s="43">
        <v>108.27811571363841</v>
      </c>
      <c r="I1774" s="43">
        <v>108.28358411459919</v>
      </c>
    </row>
    <row r="1775" spans="1:9">
      <c r="A1775" s="19">
        <v>536.9</v>
      </c>
      <c r="B1775" s="43">
        <v>105.41176012311928</v>
      </c>
      <c r="C1775" s="43">
        <v>106.31891215037564</v>
      </c>
      <c r="D1775" s="43">
        <v>107.0329418730386</v>
      </c>
      <c r="E1775" s="43">
        <v>107.56999865758078</v>
      </c>
      <c r="F1775" s="43">
        <v>107.94800775877434</v>
      </c>
      <c r="G1775" s="43">
        <v>108.18506911306821</v>
      </c>
      <c r="H1775" s="43">
        <v>108.29848773247565</v>
      </c>
      <c r="I1775" s="43">
        <v>108.30425865058714</v>
      </c>
    </row>
    <row r="1776" spans="1:9">
      <c r="A1776" s="19">
        <v>537</v>
      </c>
      <c r="B1776" s="43">
        <v>105.43005036956981</v>
      </c>
      <c r="C1776" s="43">
        <v>106.33754448756957</v>
      </c>
      <c r="D1776" s="43">
        <v>107.05193225416687</v>
      </c>
      <c r="E1776" s="43">
        <v>107.58935031771895</v>
      </c>
      <c r="F1776" s="43">
        <v>107.96771422258246</v>
      </c>
      <c r="G1776" s="43">
        <v>108.20511698187849</v>
      </c>
      <c r="H1776" s="43">
        <v>108.31885899041833</v>
      </c>
      <c r="I1776" s="43">
        <v>108.32493243964029</v>
      </c>
    </row>
    <row r="1777" spans="1:9">
      <c r="A1777" s="19">
        <v>537.1</v>
      </c>
      <c r="B1777" s="43">
        <v>105.4483401598772</v>
      </c>
      <c r="C1777" s="43">
        <v>106.35617626392022</v>
      </c>
      <c r="D1777" s="43">
        <v>107.07092199133706</v>
      </c>
      <c r="E1777" s="43">
        <v>107.60870127378635</v>
      </c>
      <c r="F1777" s="43">
        <v>107.98741994434548</v>
      </c>
      <c r="G1777" s="43">
        <v>108.22516409063232</v>
      </c>
      <c r="H1777" s="43">
        <v>108.33922948758732</v>
      </c>
      <c r="I1777" s="43">
        <v>108.34560548183308</v>
      </c>
    </row>
    <row r="1778" spans="1:9">
      <c r="A1778" s="19">
        <v>537.20000000000005</v>
      </c>
      <c r="B1778" s="43">
        <v>105.46662949435193</v>
      </c>
      <c r="C1778" s="43">
        <v>106.37480747976988</v>
      </c>
      <c r="D1778" s="43">
        <v>107.08991108481797</v>
      </c>
      <c r="E1778" s="43">
        <v>107.62805152602826</v>
      </c>
      <c r="F1778" s="43">
        <v>108.007124924263</v>
      </c>
      <c r="G1778" s="43">
        <v>108.2452104394921</v>
      </c>
      <c r="H1778" s="43">
        <v>108.35959922411422</v>
      </c>
      <c r="I1778" s="43">
        <v>108.36627777725397</v>
      </c>
    </row>
    <row r="1779" spans="1:9">
      <c r="A1779" s="19">
        <v>537.29999999999995</v>
      </c>
      <c r="B1779" s="43">
        <v>105.48491837315416</v>
      </c>
      <c r="C1779" s="43">
        <v>106.39343813529595</v>
      </c>
      <c r="D1779" s="43">
        <v>107.10889953481868</v>
      </c>
      <c r="E1779" s="43">
        <v>107.64740107463038</v>
      </c>
      <c r="F1779" s="43">
        <v>108.02682916251146</v>
      </c>
      <c r="G1779" s="43">
        <v>108.26525602858698</v>
      </c>
      <c r="H1779" s="43">
        <v>108.37996820007325</v>
      </c>
      <c r="I1779" s="43">
        <v>108.3869493259356</v>
      </c>
    </row>
    <row r="1780" spans="1:9">
      <c r="A1780" s="19">
        <v>537.4</v>
      </c>
      <c r="B1780" s="43">
        <v>105.50320679669974</v>
      </c>
      <c r="C1780" s="43">
        <v>106.41206823084968</v>
      </c>
      <c r="D1780" s="43">
        <v>107.127887341665</v>
      </c>
      <c r="E1780" s="43">
        <v>107.66674991986423</v>
      </c>
      <c r="F1780" s="43">
        <v>108.04653265928707</v>
      </c>
      <c r="G1780" s="43">
        <v>108.28530085809098</v>
      </c>
      <c r="H1780" s="43">
        <v>108.40033641561089</v>
      </c>
      <c r="I1780" s="43">
        <v>108.40762012796415</v>
      </c>
    </row>
    <row r="1781" spans="1:9">
      <c r="A1781" s="19">
        <v>537.5</v>
      </c>
      <c r="B1781" s="43">
        <v>105.52149476511576</v>
      </c>
      <c r="C1781" s="43">
        <v>106.43069776662631</v>
      </c>
      <c r="D1781" s="43">
        <v>107.14687450551466</v>
      </c>
      <c r="E1781" s="43">
        <v>107.6860980619067</v>
      </c>
      <c r="F1781" s="43">
        <v>108.06623541477046</v>
      </c>
      <c r="G1781" s="43">
        <v>108.30534492812816</v>
      </c>
      <c r="H1781" s="43">
        <v>108.42070387079261</v>
      </c>
      <c r="I1781" s="43">
        <v>108.42829018338853</v>
      </c>
    </row>
    <row r="1782" spans="1:9">
      <c r="A1782" s="19">
        <v>537.6</v>
      </c>
      <c r="B1782" s="43">
        <v>105.53978227884656</v>
      </c>
      <c r="C1782" s="43">
        <v>106.44932674304548</v>
      </c>
      <c r="D1782" s="43">
        <v>107.16586102680066</v>
      </c>
      <c r="E1782" s="43">
        <v>107.70544550108042</v>
      </c>
      <c r="F1782" s="43">
        <v>108.08593742922281</v>
      </c>
      <c r="G1782" s="43">
        <v>108.32538823890548</v>
      </c>
      <c r="H1782" s="43">
        <v>108.44107056578929</v>
      </c>
      <c r="I1782" s="43">
        <v>108.44895949230181</v>
      </c>
    </row>
    <row r="1783" spans="1:9">
      <c r="A1783" s="19">
        <v>537.70000000000005</v>
      </c>
      <c r="B1783" s="43">
        <v>105.55806933805846</v>
      </c>
      <c r="C1783" s="43">
        <v>106.4679551602749</v>
      </c>
      <c r="D1783" s="43">
        <v>107.18484690564645</v>
      </c>
      <c r="E1783" s="43">
        <v>107.72479223756258</v>
      </c>
      <c r="F1783" s="43">
        <v>108.10563870278423</v>
      </c>
      <c r="G1783" s="43">
        <v>108.3454307905418</v>
      </c>
      <c r="H1783" s="43">
        <v>108.46143650067114</v>
      </c>
      <c r="I1783" s="43">
        <v>108.46962805475653</v>
      </c>
    </row>
    <row r="1784" spans="1:9">
      <c r="A1784" s="19">
        <v>537.79999999999995</v>
      </c>
      <c r="B1784" s="43">
        <v>105.57635594308036</v>
      </c>
      <c r="C1784" s="43">
        <v>106.48658301862363</v>
      </c>
      <c r="D1784" s="43">
        <v>107.20383214236185</v>
      </c>
      <c r="E1784" s="43">
        <v>107.74413827159651</v>
      </c>
      <c r="F1784" s="43">
        <v>108.1253392356698</v>
      </c>
      <c r="G1784" s="43">
        <v>108.36547258319627</v>
      </c>
      <c r="H1784" s="43">
        <v>108.48180167555381</v>
      </c>
      <c r="I1784" s="43">
        <v>108.49029587081972</v>
      </c>
    </row>
    <row r="1785" spans="1:9">
      <c r="A1785" s="19">
        <v>537.9</v>
      </c>
      <c r="B1785" s="43">
        <v>105.59464209414088</v>
      </c>
      <c r="C1785" s="43">
        <v>106.50521031836359</v>
      </c>
      <c r="D1785" s="43">
        <v>107.22281673718797</v>
      </c>
      <c r="E1785" s="43">
        <v>107.76348360340279</v>
      </c>
      <c r="F1785" s="43">
        <v>108.14503902805566</v>
      </c>
      <c r="G1785" s="43">
        <v>108.38551361702633</v>
      </c>
      <c r="H1785" s="43">
        <v>108.50216609055363</v>
      </c>
      <c r="I1785" s="43">
        <v>108.51096294055353</v>
      </c>
    </row>
    <row r="1786" spans="1:9">
      <c r="A1786" s="19">
        <v>538</v>
      </c>
      <c r="B1786" s="43">
        <v>105.61292779154363</v>
      </c>
      <c r="C1786" s="43">
        <v>106.52383705977431</v>
      </c>
      <c r="D1786" s="43">
        <v>107.24180069040241</v>
      </c>
      <c r="E1786" s="43">
        <v>107.78282823320362</v>
      </c>
      <c r="F1786" s="43">
        <v>108.16473808015331</v>
      </c>
      <c r="G1786" s="43">
        <v>108.4055538921765</v>
      </c>
      <c r="H1786" s="43">
        <v>108.52252974576913</v>
      </c>
      <c r="I1786" s="43">
        <v>108.53162926403246</v>
      </c>
    </row>
    <row r="1787" spans="1:9">
      <c r="A1787" s="19">
        <v>538.1</v>
      </c>
      <c r="B1787" s="43">
        <v>105.63121303556662</v>
      </c>
      <c r="C1787" s="43">
        <v>106.5424632431222</v>
      </c>
      <c r="D1787" s="43">
        <v>107.26078400224404</v>
      </c>
      <c r="E1787" s="43">
        <v>107.80217216126823</v>
      </c>
      <c r="F1787" s="43">
        <v>108.18443639214345</v>
      </c>
      <c r="G1787" s="43">
        <v>108.42559340880345</v>
      </c>
      <c r="H1787" s="43">
        <v>108.54289264132674</v>
      </c>
      <c r="I1787" s="43">
        <v>108.55229484131954</v>
      </c>
    </row>
    <row r="1788" spans="1:9">
      <c r="A1788" s="19">
        <v>538.20000000000005</v>
      </c>
      <c r="B1788" s="43">
        <v>105.64949782653335</v>
      </c>
      <c r="C1788" s="43">
        <v>106.56108886872914</v>
      </c>
      <c r="D1788" s="43">
        <v>107.27976667303682</v>
      </c>
      <c r="E1788" s="43">
        <v>107.8215153878204</v>
      </c>
      <c r="F1788" s="43">
        <v>108.20413396425531</v>
      </c>
      <c r="G1788" s="43">
        <v>108.44563216708877</v>
      </c>
      <c r="H1788" s="43">
        <v>108.56325477734953</v>
      </c>
      <c r="I1788" s="43">
        <v>108.57295967249277</v>
      </c>
    </row>
    <row r="1789" spans="1:9">
      <c r="A1789" s="19">
        <v>538.29999999999995</v>
      </c>
      <c r="B1789" s="43">
        <v>105.66778216463572</v>
      </c>
      <c r="C1789" s="43">
        <v>106.57971393683482</v>
      </c>
      <c r="D1789" s="43">
        <v>107.2987487029738</v>
      </c>
      <c r="E1789" s="43">
        <v>107.84085791307973</v>
      </c>
      <c r="F1789" s="43">
        <v>108.22383079665812</v>
      </c>
      <c r="G1789" s="43">
        <v>108.46567016715989</v>
      </c>
      <c r="H1789" s="43">
        <v>108.58361615391701</v>
      </c>
      <c r="I1789" s="43">
        <v>108.59362375760685</v>
      </c>
    </row>
    <row r="1790" spans="1:9">
      <c r="A1790" s="19">
        <v>538.4</v>
      </c>
      <c r="B1790" s="43">
        <v>105.68606605016399</v>
      </c>
      <c r="C1790" s="43">
        <v>106.598338447684</v>
      </c>
      <c r="D1790" s="43">
        <v>107.31773009231355</v>
      </c>
      <c r="E1790" s="43">
        <v>107.86019973725377</v>
      </c>
      <c r="F1790" s="43">
        <v>108.24352688953641</v>
      </c>
      <c r="G1790" s="43">
        <v>108.48570740915846</v>
      </c>
      <c r="H1790" s="43">
        <v>108.60397677115694</v>
      </c>
      <c r="I1790" s="43">
        <v>108.61428709672873</v>
      </c>
    </row>
    <row r="1791" spans="1:9">
      <c r="A1791" s="19">
        <v>538.5</v>
      </c>
      <c r="B1791" s="43">
        <v>105.70434948348529</v>
      </c>
      <c r="C1791" s="43">
        <v>106.61696240165512</v>
      </c>
      <c r="D1791" s="43">
        <v>107.33671084141122</v>
      </c>
      <c r="E1791" s="43">
        <v>107.87954086065434</v>
      </c>
      <c r="F1791" s="43">
        <v>108.26322224314146</v>
      </c>
      <c r="G1791" s="43">
        <v>108.50574389328884</v>
      </c>
      <c r="H1791" s="43">
        <v>108.62433662918687</v>
      </c>
      <c r="I1791" s="43">
        <v>108.63494968994368</v>
      </c>
    </row>
    <row r="1792" spans="1:9">
      <c r="A1792" s="19">
        <v>538.6</v>
      </c>
      <c r="B1792" s="43">
        <v>105.72263246479474</v>
      </c>
      <c r="C1792" s="43">
        <v>106.6355857989644</v>
      </c>
      <c r="D1792" s="43">
        <v>107.35569095043962</v>
      </c>
      <c r="E1792" s="43">
        <v>107.89888128346416</v>
      </c>
      <c r="F1792" s="43">
        <v>108.28291685761664</v>
      </c>
      <c r="G1792" s="43">
        <v>108.52577961966662</v>
      </c>
      <c r="H1792" s="43">
        <v>108.64469572811419</v>
      </c>
      <c r="I1792" s="43">
        <v>108.65561153730448</v>
      </c>
    </row>
    <row r="1793" spans="1:9">
      <c r="A1793" s="19">
        <v>538.70000000000005</v>
      </c>
      <c r="B1793" s="43">
        <v>105.74091499438552</v>
      </c>
      <c r="C1793" s="43">
        <v>106.65420863988501</v>
      </c>
      <c r="D1793" s="43">
        <v>107.37467041967577</v>
      </c>
      <c r="E1793" s="43">
        <v>107.91822100590414</v>
      </c>
      <c r="F1793" s="43">
        <v>108.30261073318064</v>
      </c>
      <c r="G1793" s="43">
        <v>108.54581458845831</v>
      </c>
      <c r="H1793" s="43">
        <v>108.66505406804094</v>
      </c>
      <c r="I1793" s="43">
        <v>108.67627263888249</v>
      </c>
    </row>
    <row r="1794" spans="1:9">
      <c r="A1794" s="19">
        <v>538.79999999999995</v>
      </c>
      <c r="B1794" s="43">
        <v>105.75919707251902</v>
      </c>
      <c r="C1794" s="43">
        <v>106.67283092468011</v>
      </c>
      <c r="D1794" s="43">
        <v>107.39364924938889</v>
      </c>
      <c r="E1794" s="43">
        <v>107.93756002819723</v>
      </c>
      <c r="F1794" s="43">
        <v>108.32230386999817</v>
      </c>
      <c r="G1794" s="43">
        <v>108.56584879980247</v>
      </c>
      <c r="H1794" s="43">
        <v>108.6854116490897</v>
      </c>
      <c r="I1794" s="43">
        <v>108.69693299473897</v>
      </c>
    </row>
    <row r="1795" spans="1:9">
      <c r="A1795" s="19">
        <v>538.9</v>
      </c>
      <c r="B1795" s="43">
        <v>105.77747869950159</v>
      </c>
      <c r="C1795" s="43">
        <v>106.69145265365637</v>
      </c>
      <c r="D1795" s="43">
        <v>107.41262743983933</v>
      </c>
      <c r="E1795" s="43">
        <v>107.95689835063723</v>
      </c>
      <c r="F1795" s="43">
        <v>108.34199626830622</v>
      </c>
      <c r="G1795" s="43">
        <v>108.58588225388044</v>
      </c>
      <c r="H1795" s="43">
        <v>108.70576847136914</v>
      </c>
      <c r="I1795" s="43">
        <v>108.71759260495668</v>
      </c>
    </row>
    <row r="1796" spans="1:9">
      <c r="A1796" s="19">
        <v>539</v>
      </c>
      <c r="B1796" s="43">
        <v>105.79575987561267</v>
      </c>
      <c r="C1796" s="43">
        <v>106.71007382712654</v>
      </c>
      <c r="D1796" s="43">
        <v>107.43160499132108</v>
      </c>
      <c r="E1796" s="43">
        <v>107.97623597341197</v>
      </c>
      <c r="F1796" s="43">
        <v>108.36168792829432</v>
      </c>
      <c r="G1796" s="43">
        <v>108.60591495084046</v>
      </c>
      <c r="H1796" s="43">
        <v>108.72612453499352</v>
      </c>
      <c r="I1796" s="43">
        <v>108.73825146958842</v>
      </c>
    </row>
    <row r="1797" spans="1:9">
      <c r="A1797" s="19">
        <v>539.1</v>
      </c>
      <c r="B1797" s="43">
        <v>105.81404060109529</v>
      </c>
      <c r="C1797" s="43">
        <v>106.72869444527541</v>
      </c>
      <c r="D1797" s="43">
        <v>107.4505819040188</v>
      </c>
      <c r="E1797" s="43">
        <v>107.99557289675252</v>
      </c>
      <c r="F1797" s="43">
        <v>108.38137885013771</v>
      </c>
      <c r="G1797" s="43">
        <v>108.62594689082371</v>
      </c>
      <c r="H1797" s="43">
        <v>108.74647984007288</v>
      </c>
      <c r="I1797" s="43">
        <v>108.75890958871926</v>
      </c>
    </row>
    <row r="1798" spans="1:9">
      <c r="A1798" s="19">
        <v>539.20000000000005</v>
      </c>
      <c r="B1798" s="43">
        <v>105.83232087625365</v>
      </c>
      <c r="C1798" s="43">
        <v>106.74731450845141</v>
      </c>
      <c r="D1798" s="43">
        <v>107.46955817828228</v>
      </c>
      <c r="E1798" s="43">
        <v>108.01490912090321</v>
      </c>
      <c r="F1798" s="43">
        <v>108.40106903405174</v>
      </c>
      <c r="G1798" s="43">
        <v>108.64597807400628</v>
      </c>
      <c r="H1798" s="43">
        <v>108.76683438671031</v>
      </c>
      <c r="I1798" s="43">
        <v>108.77956696239914</v>
      </c>
    </row>
    <row r="1799" spans="1:9">
      <c r="A1799" s="19">
        <v>539.29999999999995</v>
      </c>
      <c r="B1799" s="43">
        <v>105.85060070136245</v>
      </c>
      <c r="C1799" s="43">
        <v>106.76593401691522</v>
      </c>
      <c r="D1799" s="43">
        <v>107.48853381430757</v>
      </c>
      <c r="E1799" s="43">
        <v>108.03424464609833</v>
      </c>
      <c r="F1799" s="43">
        <v>108.42075848021656</v>
      </c>
      <c r="G1799" s="43">
        <v>108.66600850051526</v>
      </c>
      <c r="H1799" s="43">
        <v>108.7871881750348</v>
      </c>
      <c r="I1799" s="43">
        <v>108.80022359071651</v>
      </c>
    </row>
    <row r="1800" spans="1:9">
      <c r="A1800" s="19">
        <v>539.4</v>
      </c>
      <c r="B1800" s="43">
        <v>105.86888007666818</v>
      </c>
      <c r="C1800" s="43">
        <v>106.78455297094456</v>
      </c>
      <c r="D1800" s="43">
        <v>107.50750881239136</v>
      </c>
      <c r="E1800" s="43">
        <v>108.05357947257374</v>
      </c>
      <c r="F1800" s="43">
        <v>108.44044718885394</v>
      </c>
      <c r="G1800" s="43">
        <v>108.68603817053287</v>
      </c>
      <c r="H1800" s="43">
        <v>108.80754120515203</v>
      </c>
      <c r="I1800" s="43">
        <v>108.82087947372437</v>
      </c>
    </row>
    <row r="1801" spans="1:9">
      <c r="A1801" s="19">
        <v>539.5</v>
      </c>
      <c r="B1801" s="43">
        <v>105.88715900246746</v>
      </c>
      <c r="C1801" s="43">
        <v>106.80317137079882</v>
      </c>
      <c r="D1801" s="43">
        <v>107.52648317277414</v>
      </c>
      <c r="E1801" s="43">
        <v>108.07291360054043</v>
      </c>
      <c r="F1801" s="43">
        <v>108.46013516011291</v>
      </c>
      <c r="G1801" s="43">
        <v>108.70606708418933</v>
      </c>
      <c r="H1801" s="43">
        <v>108.82789347716161</v>
      </c>
      <c r="I1801" s="43">
        <v>108.84153461149043</v>
      </c>
    </row>
    <row r="1802" spans="1:9">
      <c r="A1802" s="19">
        <v>539.6</v>
      </c>
      <c r="B1802" s="43">
        <v>105.90543747908805</v>
      </c>
      <c r="C1802" s="43">
        <v>106.82178921680156</v>
      </c>
      <c r="D1802" s="43">
        <v>107.54545689573939</v>
      </c>
      <c r="E1802" s="43">
        <v>108.09224703027732</v>
      </c>
      <c r="F1802" s="43">
        <v>108.47982239426267</v>
      </c>
      <c r="G1802" s="43">
        <v>108.72609524168863</v>
      </c>
      <c r="H1802" s="43">
        <v>108.84824499121001</v>
      </c>
      <c r="I1802" s="43">
        <v>108.86218900410643</v>
      </c>
    </row>
    <row r="1803" spans="1:9">
      <c r="A1803" s="19">
        <v>539.70000000000005</v>
      </c>
      <c r="B1803" s="43">
        <v>105.92371550670831</v>
      </c>
      <c r="C1803" s="43">
        <v>106.84040650916634</v>
      </c>
      <c r="D1803" s="43">
        <v>107.56442998152764</v>
      </c>
      <c r="E1803" s="43">
        <v>108.11157976196642</v>
      </c>
      <c r="F1803" s="43">
        <v>108.49950889142454</v>
      </c>
      <c r="G1803" s="43">
        <v>108.74612264312921</v>
      </c>
      <c r="H1803" s="43">
        <v>108.86859574736607</v>
      </c>
      <c r="I1803" s="43">
        <v>108.88284265160979</v>
      </c>
    </row>
    <row r="1804" spans="1:9">
      <c r="A1804" s="19">
        <v>539.79999999999995</v>
      </c>
      <c r="B1804" s="43">
        <v>105.94199308567815</v>
      </c>
      <c r="C1804" s="43">
        <v>106.85902324821026</v>
      </c>
      <c r="D1804" s="43">
        <v>107.58340243041647</v>
      </c>
      <c r="E1804" s="43">
        <v>108.1309117958757</v>
      </c>
      <c r="F1804" s="43">
        <v>108.51919465184818</v>
      </c>
      <c r="G1804" s="43">
        <v>108.76614928869307</v>
      </c>
      <c r="H1804" s="43">
        <v>108.88894574577895</v>
      </c>
      <c r="I1804" s="43">
        <v>108.90349555409315</v>
      </c>
    </row>
    <row r="1805" spans="1:9">
      <c r="A1805" s="19">
        <v>539.9</v>
      </c>
      <c r="B1805" s="43">
        <v>105.96027021623109</v>
      </c>
      <c r="C1805" s="43">
        <v>106.87763943420924</v>
      </c>
      <c r="D1805" s="43">
        <v>107.60237424265677</v>
      </c>
      <c r="E1805" s="43">
        <v>108.15024313221753</v>
      </c>
      <c r="F1805" s="43">
        <v>108.53887967571896</v>
      </c>
      <c r="G1805" s="43">
        <v>108.78617517852865</v>
      </c>
      <c r="H1805" s="43">
        <v>108.90929498652906</v>
      </c>
      <c r="I1805" s="43">
        <v>108.92414771161489</v>
      </c>
    </row>
    <row r="1806" spans="1:9">
      <c r="A1806" s="19">
        <v>540</v>
      </c>
      <c r="B1806" s="43">
        <v>105.95490128185963</v>
      </c>
      <c r="C1806" s="43">
        <v>106.87411561753609</v>
      </c>
      <c r="D1806" s="43">
        <v>107.60101459028377</v>
      </c>
      <c r="E1806" s="43">
        <v>108.15130553610877</v>
      </c>
      <c r="F1806" s="43">
        <v>108.54256408176914</v>
      </c>
      <c r="G1806" s="43">
        <v>108.79263028658869</v>
      </c>
      <c r="H1806" s="43">
        <v>108.91862601702101</v>
      </c>
      <c r="I1806" s="43">
        <v>108.93642387713336</v>
      </c>
    </row>
    <row r="1807" spans="1:9">
      <c r="A1807" s="19">
        <v>540.1</v>
      </c>
      <c r="B1807" s="43">
        <v>105.94950087608117</v>
      </c>
      <c r="C1807" s="43">
        <v>106.87055760149198</v>
      </c>
      <c r="D1807" s="43">
        <v>107.59961791733079</v>
      </c>
      <c r="E1807" s="43">
        <v>108.15232824830431</v>
      </c>
      <c r="F1807" s="43">
        <v>108.54620640873517</v>
      </c>
      <c r="G1807" s="43">
        <v>108.79904126206512</v>
      </c>
      <c r="H1807" s="43">
        <v>108.92791118929324</v>
      </c>
      <c r="I1807" s="43">
        <v>108.94865274704429</v>
      </c>
    </row>
    <row r="1808" spans="1:9">
      <c r="A1808" s="19">
        <v>540.20000000000005</v>
      </c>
      <c r="B1808" s="43">
        <v>105.96775228205473</v>
      </c>
      <c r="C1808" s="43">
        <v>106.88914458429156</v>
      </c>
      <c r="D1808" s="43">
        <v>107.61855678744973</v>
      </c>
      <c r="E1808" s="43">
        <v>108.17162284280934</v>
      </c>
      <c r="F1808" s="43">
        <v>108.56585097211328</v>
      </c>
      <c r="G1808" s="43">
        <v>108.81902314829227</v>
      </c>
      <c r="H1808" s="43">
        <v>108.94821311786475</v>
      </c>
      <c r="I1808" s="43">
        <v>108.96925455286183</v>
      </c>
    </row>
    <row r="1809" spans="1:9">
      <c r="A1809" s="19">
        <v>540.29999999999995</v>
      </c>
      <c r="B1809" s="43">
        <v>105.9860032419337</v>
      </c>
      <c r="C1809" s="43">
        <v>106.90773101799795</v>
      </c>
      <c r="D1809" s="43">
        <v>107.63749502588806</v>
      </c>
      <c r="E1809" s="43">
        <v>108.1909167450801</v>
      </c>
      <c r="F1809" s="43">
        <v>108.5854948040666</v>
      </c>
      <c r="G1809" s="43">
        <v>108.83900428329596</v>
      </c>
      <c r="H1809" s="43">
        <v>108.96851429226936</v>
      </c>
      <c r="I1809" s="43">
        <v>108.98985561589203</v>
      </c>
    </row>
    <row r="1810" spans="1:9">
      <c r="A1810" s="19">
        <v>540.4</v>
      </c>
      <c r="B1810" s="43">
        <v>106.00425375602737</v>
      </c>
      <c r="C1810" s="43">
        <v>106.92631690292413</v>
      </c>
      <c r="D1810" s="43">
        <v>107.65643263291415</v>
      </c>
      <c r="E1810" s="43">
        <v>108.21020995534397</v>
      </c>
      <c r="F1810" s="43">
        <v>108.60513790480593</v>
      </c>
      <c r="G1810" s="43">
        <v>108.85898466722207</v>
      </c>
      <c r="H1810" s="43">
        <v>108.98881471263175</v>
      </c>
      <c r="I1810" s="43">
        <v>109.01045593621762</v>
      </c>
    </row>
    <row r="1811" spans="1:9">
      <c r="A1811" s="19">
        <v>540.5</v>
      </c>
      <c r="B1811" s="43">
        <v>106.02250382458789</v>
      </c>
      <c r="C1811" s="43">
        <v>106.94490223935497</v>
      </c>
      <c r="D1811" s="43">
        <v>107.67536960879815</v>
      </c>
      <c r="E1811" s="43">
        <v>108.2295024738745</v>
      </c>
      <c r="F1811" s="43">
        <v>108.62478027452136</v>
      </c>
      <c r="G1811" s="43">
        <v>108.87896430025324</v>
      </c>
      <c r="H1811" s="43">
        <v>109.00911437907021</v>
      </c>
      <c r="I1811" s="43">
        <v>109.03105551391846</v>
      </c>
    </row>
    <row r="1812" spans="1:9">
      <c r="A1812" s="19">
        <v>540.6</v>
      </c>
      <c r="B1812" s="43">
        <v>106.04075344786523</v>
      </c>
      <c r="C1812" s="43">
        <v>106.96348702747713</v>
      </c>
      <c r="D1812" s="43">
        <v>107.69430595374806</v>
      </c>
      <c r="E1812" s="43">
        <v>108.24879430082498</v>
      </c>
      <c r="F1812" s="43">
        <v>108.64442191340603</v>
      </c>
      <c r="G1812" s="43">
        <v>108.89894318250626</v>
      </c>
      <c r="H1812" s="43">
        <v>109.02941329168675</v>
      </c>
      <c r="I1812" s="43">
        <v>109.05165434904535</v>
      </c>
    </row>
    <row r="1813" spans="1:9">
      <c r="A1813" s="19">
        <v>540.70000000000005</v>
      </c>
      <c r="B1813" s="43">
        <v>106.05900262619153</v>
      </c>
      <c r="C1813" s="43">
        <v>106.9820712676769</v>
      </c>
      <c r="D1813" s="43">
        <v>107.7132416680852</v>
      </c>
      <c r="E1813" s="43">
        <v>108.26808543651055</v>
      </c>
      <c r="F1813" s="43">
        <v>108.66406282166531</v>
      </c>
      <c r="G1813" s="43">
        <v>108.91892131418484</v>
      </c>
      <c r="H1813" s="43">
        <v>109.04971145061307</v>
      </c>
      <c r="I1813" s="43">
        <v>109.07225244170129</v>
      </c>
    </row>
    <row r="1814" spans="1:9">
      <c r="A1814" s="19">
        <v>540.79999999999995</v>
      </c>
      <c r="B1814" s="43">
        <v>106.07725135976872</v>
      </c>
      <c r="C1814" s="43">
        <v>107.00065496013045</v>
      </c>
      <c r="D1814" s="43">
        <v>107.73217675202443</v>
      </c>
      <c r="E1814" s="43">
        <v>108.28737588110292</v>
      </c>
      <c r="F1814" s="43">
        <v>108.68370299946875</v>
      </c>
      <c r="G1814" s="43">
        <v>108.93889869541641</v>
      </c>
      <c r="H1814" s="43">
        <v>109.07000885595309</v>
      </c>
      <c r="I1814" s="43">
        <v>109.09284979193487</v>
      </c>
    </row>
    <row r="1815" spans="1:9">
      <c r="A1815" s="19">
        <v>540.9</v>
      </c>
      <c r="B1815" s="43">
        <v>106.09549964889149</v>
      </c>
      <c r="C1815" s="43">
        <v>107.01923810516135</v>
      </c>
      <c r="D1815" s="43">
        <v>107.75111120584373</v>
      </c>
      <c r="E1815" s="43">
        <v>108.30666563485363</v>
      </c>
      <c r="F1815" s="43">
        <v>108.70334244705762</v>
      </c>
      <c r="G1815" s="43">
        <v>108.95887532636732</v>
      </c>
      <c r="H1815" s="43">
        <v>109.09030550783646</v>
      </c>
      <c r="I1815" s="43">
        <v>109.11344639984173</v>
      </c>
    </row>
    <row r="1816" spans="1:9">
      <c r="A1816" s="19">
        <v>541</v>
      </c>
      <c r="B1816" s="43">
        <v>106.1137474938233</v>
      </c>
      <c r="C1816" s="43">
        <v>107.03782070302253</v>
      </c>
      <c r="D1816" s="43">
        <v>107.77004502977212</v>
      </c>
      <c r="E1816" s="43">
        <v>108.32595469799793</v>
      </c>
      <c r="F1816" s="43">
        <v>108.72298116458705</v>
      </c>
      <c r="G1816" s="43">
        <v>108.97885120719295</v>
      </c>
      <c r="H1816" s="43">
        <v>109.11060140636198</v>
      </c>
      <c r="I1816" s="43">
        <v>109.13404226547988</v>
      </c>
    </row>
    <row r="1817" spans="1:9">
      <c r="A1817" s="19">
        <v>541.1</v>
      </c>
      <c r="B1817" s="43">
        <v>106.13199489486092</v>
      </c>
      <c r="C1817" s="43">
        <v>107.05640275400617</v>
      </c>
      <c r="D1817" s="43">
        <v>107.78897822410926</v>
      </c>
      <c r="E1817" s="43">
        <v>108.34524307077697</v>
      </c>
      <c r="F1817" s="43">
        <v>108.74261915230059</v>
      </c>
      <c r="G1817" s="43">
        <v>108.99882633807118</v>
      </c>
      <c r="H1817" s="43">
        <v>109.13089655166232</v>
      </c>
      <c r="I1817" s="43">
        <v>109.15463738893811</v>
      </c>
    </row>
    <row r="1818" spans="1:9">
      <c r="A1818" s="19">
        <v>541.20000000000005</v>
      </c>
      <c r="B1818" s="43">
        <v>106.15024185221736</v>
      </c>
      <c r="C1818" s="43">
        <v>107.07498425834299</v>
      </c>
      <c r="D1818" s="43">
        <v>107.80791078908157</v>
      </c>
      <c r="E1818" s="43">
        <v>108.36453075339259</v>
      </c>
      <c r="F1818" s="43">
        <v>108.76225641033042</v>
      </c>
      <c r="G1818" s="43">
        <v>109.01880071911879</v>
      </c>
      <c r="H1818" s="43">
        <v>109.15119094384588</v>
      </c>
      <c r="I1818" s="43">
        <v>109.17523177027184</v>
      </c>
    </row>
    <row r="1819" spans="1:9">
      <c r="A1819" s="19">
        <v>541.29999999999995</v>
      </c>
      <c r="B1819" s="43">
        <v>106.16848836618652</v>
      </c>
      <c r="C1819" s="43">
        <v>107.09356521631912</v>
      </c>
      <c r="D1819" s="43">
        <v>107.82684272494666</v>
      </c>
      <c r="E1819" s="43">
        <v>108.38381774607808</v>
      </c>
      <c r="F1819" s="43">
        <v>108.78189293891256</v>
      </c>
      <c r="G1819" s="43">
        <v>109.0387743505062</v>
      </c>
      <c r="H1819" s="43">
        <v>109.17148458302577</v>
      </c>
      <c r="I1819" s="43">
        <v>109.19582540956895</v>
      </c>
    </row>
    <row r="1820" spans="1:9">
      <c r="A1820" s="19">
        <v>541.4</v>
      </c>
      <c r="B1820" s="43">
        <v>106.18673443705703</v>
      </c>
      <c r="C1820" s="43">
        <v>107.11214562822306</v>
      </c>
      <c r="D1820" s="43">
        <v>107.84577403196363</v>
      </c>
      <c r="E1820" s="43">
        <v>108.40310404908243</v>
      </c>
      <c r="F1820" s="43">
        <v>108.80152873824392</v>
      </c>
      <c r="G1820" s="43">
        <v>109.05874723242141</v>
      </c>
      <c r="H1820" s="43">
        <v>109.19177746933048</v>
      </c>
      <c r="I1820" s="43">
        <v>109.21641830690544</v>
      </c>
    </row>
    <row r="1821" spans="1:9">
      <c r="A1821" s="19">
        <v>541.5</v>
      </c>
      <c r="B1821" s="43">
        <v>106.20498006510371</v>
      </c>
      <c r="C1821" s="43">
        <v>107.13072549434398</v>
      </c>
      <c r="D1821" s="43">
        <v>107.86470471042117</v>
      </c>
      <c r="E1821" s="43">
        <v>108.4223896626404</v>
      </c>
      <c r="F1821" s="43">
        <v>108.82116380852841</v>
      </c>
      <c r="G1821" s="43">
        <v>109.07871936500243</v>
      </c>
      <c r="H1821" s="43">
        <v>109.21206960286506</v>
      </c>
      <c r="I1821" s="43">
        <v>109.23701046234945</v>
      </c>
    </row>
    <row r="1822" spans="1:9">
      <c r="A1822" s="19">
        <v>541.6</v>
      </c>
      <c r="B1822" s="43">
        <v>106.22322525053062</v>
      </c>
      <c r="C1822" s="43">
        <v>107.14930481488787</v>
      </c>
      <c r="D1822" s="43">
        <v>107.88363476051245</v>
      </c>
      <c r="E1822" s="43">
        <v>108.44167458695966</v>
      </c>
      <c r="F1822" s="43">
        <v>108.84079814994007</v>
      </c>
      <c r="G1822" s="43">
        <v>109.0986907483879</v>
      </c>
      <c r="H1822" s="43">
        <v>109.23236098374105</v>
      </c>
      <c r="I1822" s="43">
        <v>109.25760187597672</v>
      </c>
    </row>
    <row r="1823" spans="1:9">
      <c r="A1823" s="19">
        <v>541.70000000000005</v>
      </c>
      <c r="B1823" s="43">
        <v>106.24146999372402</v>
      </c>
      <c r="C1823" s="43">
        <v>107.16788359022328</v>
      </c>
      <c r="D1823" s="43">
        <v>107.90256418259148</v>
      </c>
      <c r="E1823" s="43">
        <v>108.46095882232368</v>
      </c>
      <c r="F1823" s="43">
        <v>108.8604317627109</v>
      </c>
      <c r="G1823" s="43">
        <v>109.11866138278901</v>
      </c>
      <c r="H1823" s="43">
        <v>109.25265161211323</v>
      </c>
      <c r="I1823" s="43">
        <v>109.27819254788733</v>
      </c>
    </row>
    <row r="1824" spans="1:9">
      <c r="A1824" s="19">
        <v>541.79999999999995</v>
      </c>
      <c r="B1824" s="43">
        <v>106.2597142947896</v>
      </c>
      <c r="C1824" s="43">
        <v>107.1864618204705</v>
      </c>
      <c r="D1824" s="43">
        <v>107.9214929767995</v>
      </c>
      <c r="E1824" s="43">
        <v>108.4802423688715</v>
      </c>
      <c r="F1824" s="43">
        <v>108.88006464696423</v>
      </c>
      <c r="G1824" s="43">
        <v>109.13863126828295</v>
      </c>
      <c r="H1824" s="43">
        <v>109.27294148802957</v>
      </c>
      <c r="I1824" s="43">
        <v>109.29878247810029</v>
      </c>
    </row>
    <row r="1825" spans="1:9">
      <c r="A1825" s="19">
        <v>541.9</v>
      </c>
      <c r="B1825" s="43">
        <v>106.2779581540818</v>
      </c>
      <c r="C1825" s="43">
        <v>107.20503950602119</v>
      </c>
      <c r="D1825" s="43">
        <v>107.94042114345214</v>
      </c>
      <c r="E1825" s="43">
        <v>108.49952522689082</v>
      </c>
      <c r="F1825" s="43">
        <v>108.89969680295994</v>
      </c>
      <c r="G1825" s="43">
        <v>109.15860040509099</v>
      </c>
      <c r="H1825" s="43">
        <v>109.29323061166423</v>
      </c>
      <c r="I1825" s="43">
        <v>109.31937166673907</v>
      </c>
    </row>
    <row r="1826" spans="1:9">
      <c r="A1826" s="19">
        <v>542</v>
      </c>
      <c r="B1826" s="43">
        <v>106.29620157191519</v>
      </c>
      <c r="C1826" s="43">
        <v>107.22361664716013</v>
      </c>
      <c r="D1826" s="43">
        <v>107.95934868283169</v>
      </c>
      <c r="E1826" s="43">
        <v>108.51880739663287</v>
      </c>
      <c r="F1826" s="43">
        <v>108.91932823090454</v>
      </c>
      <c r="G1826" s="43">
        <v>109.17856879336833</v>
      </c>
      <c r="H1826" s="43">
        <v>109.31351898312346</v>
      </c>
      <c r="I1826" s="43">
        <v>109.33996011387012</v>
      </c>
    </row>
    <row r="1827" spans="1:9">
      <c r="A1827" s="19">
        <v>542.1</v>
      </c>
      <c r="B1827" s="43">
        <v>106.31444454847383</v>
      </c>
      <c r="C1827" s="43">
        <v>107.24219324404507</v>
      </c>
      <c r="D1827" s="43">
        <v>107.97827559514477</v>
      </c>
      <c r="E1827" s="43">
        <v>108.53808887829015</v>
      </c>
      <c r="F1827" s="43">
        <v>108.93895893092918</v>
      </c>
      <c r="G1827" s="43">
        <v>109.19853643322631</v>
      </c>
      <c r="H1827" s="43">
        <v>109.33380660250069</v>
      </c>
      <c r="I1827" s="43">
        <v>109.36054781955136</v>
      </c>
    </row>
    <row r="1828" spans="1:9">
      <c r="A1828" s="19">
        <v>542.20000000000005</v>
      </c>
      <c r="B1828" s="43">
        <v>106.3326870840657</v>
      </c>
      <c r="C1828" s="43">
        <v>107.2607692970297</v>
      </c>
      <c r="D1828" s="43">
        <v>107.99720188066524</v>
      </c>
      <c r="E1828" s="43">
        <v>108.55736967208645</v>
      </c>
      <c r="F1828" s="43">
        <v>108.95858890329461</v>
      </c>
      <c r="G1828" s="43">
        <v>109.21850332486213</v>
      </c>
      <c r="H1828" s="43">
        <v>109.35409346993549</v>
      </c>
      <c r="I1828" s="43">
        <v>109.38113478386558</v>
      </c>
    </row>
    <row r="1829" spans="1:9">
      <c r="A1829" s="19">
        <v>542.29999999999995</v>
      </c>
      <c r="B1829" s="43">
        <v>106.35092917897202</v>
      </c>
      <c r="C1829" s="43">
        <v>107.27934480640175</v>
      </c>
      <c r="D1829" s="43">
        <v>108.01612753968908</v>
      </c>
      <c r="E1829" s="43">
        <v>108.57664977830549</v>
      </c>
      <c r="F1829" s="43">
        <v>108.97821814818053</v>
      </c>
      <c r="G1829" s="43">
        <v>109.23846946843952</v>
      </c>
      <c r="H1829" s="43">
        <v>109.37437958555122</v>
      </c>
      <c r="I1829" s="43">
        <v>109.40172100690233</v>
      </c>
    </row>
    <row r="1830" spans="1:9">
      <c r="A1830" s="19">
        <v>542.4</v>
      </c>
      <c r="B1830" s="43">
        <v>106.3691708334089</v>
      </c>
      <c r="C1830" s="43">
        <v>107.29791977236903</v>
      </c>
      <c r="D1830" s="43">
        <v>108.03505257239854</v>
      </c>
      <c r="E1830" s="43">
        <v>108.59592919712316</v>
      </c>
      <c r="F1830" s="43">
        <v>108.99784666576898</v>
      </c>
      <c r="G1830" s="43">
        <v>109.25843486408846</v>
      </c>
      <c r="H1830" s="43">
        <v>109.39466494943926</v>
      </c>
      <c r="I1830" s="43">
        <v>109.42230648872547</v>
      </c>
    </row>
    <row r="1831" spans="1:9">
      <c r="A1831" s="19">
        <v>542.5</v>
      </c>
      <c r="B1831" s="43">
        <v>106.3874120477125</v>
      </c>
      <c r="C1831" s="43">
        <v>107.31649419523436</v>
      </c>
      <c r="D1831" s="43">
        <v>108.05397697911965</v>
      </c>
      <c r="E1831" s="43">
        <v>108.61520792882089</v>
      </c>
      <c r="F1831" s="43">
        <v>109.0174744562683</v>
      </c>
      <c r="G1831" s="43">
        <v>109.27839951199505</v>
      </c>
      <c r="H1831" s="43">
        <v>109.41494956173403</v>
      </c>
      <c r="I1831" s="43">
        <v>109.44289122941356</v>
      </c>
    </row>
    <row r="1832" spans="1:9">
      <c r="A1832" s="19">
        <v>542.6</v>
      </c>
      <c r="B1832" s="43">
        <v>106.40565282209138</v>
      </c>
      <c r="C1832" s="43">
        <v>107.33506807527615</v>
      </c>
      <c r="D1832" s="43">
        <v>108.07290076006794</v>
      </c>
      <c r="E1832" s="43">
        <v>108.63448597358814</v>
      </c>
      <c r="F1832" s="43">
        <v>109.03710151988042</v>
      </c>
      <c r="G1832" s="43">
        <v>109.29836341231098</v>
      </c>
      <c r="H1832" s="43">
        <v>109.43523342256222</v>
      </c>
      <c r="I1832" s="43">
        <v>109.46347522904671</v>
      </c>
    </row>
    <row r="1833" spans="1:9">
      <c r="A1833" s="19">
        <v>542.70000000000005</v>
      </c>
      <c r="B1833" s="43">
        <v>106.42389315684269</v>
      </c>
      <c r="C1833" s="43">
        <v>107.35364141273843</v>
      </c>
      <c r="D1833" s="43">
        <v>108.09182391549291</v>
      </c>
      <c r="E1833" s="43">
        <v>108.65376333164474</v>
      </c>
      <c r="F1833" s="43">
        <v>109.05672785677893</v>
      </c>
      <c r="G1833" s="43">
        <v>109.3183265651557</v>
      </c>
      <c r="H1833" s="43">
        <v>109.45551653201392</v>
      </c>
      <c r="I1833" s="43">
        <v>109.48405848768269</v>
      </c>
    </row>
    <row r="1834" spans="1:9">
      <c r="A1834" s="19">
        <v>542.79999999999995</v>
      </c>
      <c r="B1834" s="43">
        <v>106.4421330522124</v>
      </c>
      <c r="C1834" s="43">
        <v>107.37221420792801</v>
      </c>
      <c r="D1834" s="43">
        <v>108.11074644570508</v>
      </c>
      <c r="E1834" s="43">
        <v>108.67304000327505</v>
      </c>
      <c r="F1834" s="43">
        <v>109.07635346718541</v>
      </c>
      <c r="G1834" s="43">
        <v>109.33828897074758</v>
      </c>
      <c r="H1834" s="43">
        <v>109.4757988902295</v>
      </c>
      <c r="I1834" s="43">
        <v>109.5046410054189</v>
      </c>
    </row>
    <row r="1835" spans="1:9">
      <c r="A1835" s="19">
        <v>542.9</v>
      </c>
      <c r="B1835" s="43">
        <v>106.4603725084751</v>
      </c>
      <c r="C1835" s="43">
        <v>107.39078646106259</v>
      </c>
      <c r="D1835" s="43">
        <v>108.12966835091544</v>
      </c>
      <c r="E1835" s="43">
        <v>108.69231598867952</v>
      </c>
      <c r="F1835" s="43">
        <v>109.0959783513006</v>
      </c>
      <c r="G1835" s="43">
        <v>109.35825062921347</v>
      </c>
      <c r="H1835" s="43">
        <v>109.49608049732402</v>
      </c>
      <c r="I1835" s="43">
        <v>109.52522278233099</v>
      </c>
    </row>
    <row r="1836" spans="1:9">
      <c r="A1836" s="19">
        <v>543</v>
      </c>
      <c r="B1836" s="43">
        <v>106.47861152589226</v>
      </c>
      <c r="C1836" s="43">
        <v>107.40935817242931</v>
      </c>
      <c r="D1836" s="43">
        <v>108.14858963137769</v>
      </c>
      <c r="E1836" s="43">
        <v>108.71159128805695</v>
      </c>
      <c r="F1836" s="43">
        <v>109.11560250926905</v>
      </c>
      <c r="G1836" s="43">
        <v>109.37821154069388</v>
      </c>
      <c r="H1836" s="43">
        <v>109.51636135338515</v>
      </c>
      <c r="I1836" s="43">
        <v>109.54580381846711</v>
      </c>
    </row>
    <row r="1837" spans="1:9">
      <c r="A1837" s="19">
        <v>543.1</v>
      </c>
      <c r="B1837" s="43">
        <v>106.49685010477111</v>
      </c>
      <c r="C1837" s="43">
        <v>107.42792934235317</v>
      </c>
      <c r="D1837" s="43">
        <v>108.16751028737571</v>
      </c>
      <c r="E1837" s="43">
        <v>108.73086590170942</v>
      </c>
      <c r="F1837" s="43">
        <v>109.13522594136234</v>
      </c>
      <c r="G1837" s="43">
        <v>109.39817170539533</v>
      </c>
      <c r="H1837" s="43">
        <v>109.53664145859182</v>
      </c>
      <c r="I1837" s="43">
        <v>109.56638411393789</v>
      </c>
    </row>
    <row r="1838" spans="1:9">
      <c r="A1838" s="19">
        <v>543.20000000000005</v>
      </c>
      <c r="B1838" s="43">
        <v>106.51508824531811</v>
      </c>
      <c r="C1838" s="43">
        <v>107.44649997103861</v>
      </c>
      <c r="D1838" s="43">
        <v>108.18643031913669</v>
      </c>
      <c r="E1838" s="43">
        <v>108.75013982980064</v>
      </c>
      <c r="F1838" s="43">
        <v>109.15484864773489</v>
      </c>
      <c r="G1838" s="43">
        <v>109.41813112343925</v>
      </c>
      <c r="H1838" s="43">
        <v>109.55692081300134</v>
      </c>
      <c r="I1838" s="43">
        <v>109.58696366881011</v>
      </c>
    </row>
    <row r="1839" spans="1:9">
      <c r="A1839" s="19">
        <v>543.29999999999995</v>
      </c>
      <c r="B1839" s="43">
        <v>106.5333259478252</v>
      </c>
      <c r="C1839" s="43">
        <v>107.46507005874531</v>
      </c>
      <c r="D1839" s="43">
        <v>108.20534972691928</v>
      </c>
      <c r="E1839" s="43">
        <v>108.7694130725817</v>
      </c>
      <c r="F1839" s="43">
        <v>109.17447062857005</v>
      </c>
      <c r="G1839" s="43">
        <v>109.43808979498371</v>
      </c>
      <c r="H1839" s="43">
        <v>109.57719941675103</v>
      </c>
      <c r="I1839" s="43">
        <v>109.60754248313506</v>
      </c>
    </row>
    <row r="1840" spans="1:9">
      <c r="A1840" s="19">
        <v>543.4</v>
      </c>
      <c r="B1840" s="43">
        <v>106.55156321256646</v>
      </c>
      <c r="C1840" s="43">
        <v>107.48363960581136</v>
      </c>
      <c r="D1840" s="43">
        <v>108.22426851101926</v>
      </c>
      <c r="E1840" s="43">
        <v>108.78868563031682</v>
      </c>
      <c r="F1840" s="43">
        <v>109.19409188410771</v>
      </c>
      <c r="G1840" s="43">
        <v>109.45804772020816</v>
      </c>
      <c r="H1840" s="43">
        <v>109.5974772699754</v>
      </c>
      <c r="I1840" s="43">
        <v>109.62812055702912</v>
      </c>
    </row>
    <row r="1841" spans="1:9">
      <c r="A1841" s="19">
        <v>543.5</v>
      </c>
      <c r="B1841" s="43">
        <v>106.56980003981673</v>
      </c>
      <c r="C1841" s="43">
        <v>107.50220861246791</v>
      </c>
      <c r="D1841" s="43">
        <v>108.243186671659</v>
      </c>
      <c r="E1841" s="43">
        <v>108.80795750320766</v>
      </c>
      <c r="F1841" s="43">
        <v>109.21371241452778</v>
      </c>
      <c r="G1841" s="43">
        <v>109.47800489927246</v>
      </c>
      <c r="H1841" s="43">
        <v>109.61775437278604</v>
      </c>
      <c r="I1841" s="43">
        <v>109.64869789054836</v>
      </c>
    </row>
    <row r="1842" spans="1:9">
      <c r="A1842" s="19">
        <v>543.6</v>
      </c>
      <c r="B1842" s="43">
        <v>106.58803642977981</v>
      </c>
      <c r="C1842" s="43">
        <v>107.52077707895438</v>
      </c>
      <c r="D1842" s="43">
        <v>108.26210420908777</v>
      </c>
      <c r="E1842" s="43">
        <v>108.82722869147636</v>
      </c>
      <c r="F1842" s="43">
        <v>109.23333221999422</v>
      </c>
      <c r="G1842" s="43">
        <v>109.497961332302</v>
      </c>
      <c r="H1842" s="43">
        <v>109.63803072528322</v>
      </c>
      <c r="I1842" s="43">
        <v>109.6692744837635</v>
      </c>
    </row>
    <row r="1843" spans="1:9">
      <c r="A1843" s="19">
        <v>543.70000000000005</v>
      </c>
      <c r="B1843" s="43">
        <v>106.60627238281938</v>
      </c>
      <c r="C1843" s="43">
        <v>107.53934500560652</v>
      </c>
      <c r="D1843" s="43">
        <v>108.28102112358491</v>
      </c>
      <c r="E1843" s="43">
        <v>108.84649919537151</v>
      </c>
      <c r="F1843" s="43">
        <v>109.25295130076722</v>
      </c>
      <c r="G1843" s="43">
        <v>109.5179170194973</v>
      </c>
      <c r="H1843" s="43">
        <v>109.65830632760199</v>
      </c>
      <c r="I1843" s="43">
        <v>109.68985033676114</v>
      </c>
    </row>
    <row r="1844" spans="1:9">
      <c r="A1844" s="19">
        <v>543.79999999999995</v>
      </c>
      <c r="B1844" s="43">
        <v>106.62450789914865</v>
      </c>
      <c r="C1844" s="43">
        <v>107.55791239264539</v>
      </c>
      <c r="D1844" s="43">
        <v>108.29993741541549</v>
      </c>
      <c r="E1844" s="43">
        <v>108.86576901513754</v>
      </c>
      <c r="F1844" s="43">
        <v>109.27256965700366</v>
      </c>
      <c r="G1844" s="43">
        <v>109.5378719609987</v>
      </c>
      <c r="H1844" s="43">
        <v>109.6785811798604</v>
      </c>
      <c r="I1844" s="43">
        <v>109.71042544962441</v>
      </c>
    </row>
    <row r="1845" spans="1:9">
      <c r="A1845" s="19">
        <v>543.9</v>
      </c>
      <c r="B1845" s="43">
        <v>106.64274297901628</v>
      </c>
      <c r="C1845" s="43">
        <v>107.576479240336</v>
      </c>
      <c r="D1845" s="43">
        <v>108.31885308479843</v>
      </c>
      <c r="E1845" s="43">
        <v>108.88503815095689</v>
      </c>
      <c r="F1845" s="43">
        <v>109.29218728888418</v>
      </c>
      <c r="G1845" s="43">
        <v>109.55782615695819</v>
      </c>
      <c r="H1845" s="43">
        <v>109.69885528216381</v>
      </c>
      <c r="I1845" s="43">
        <v>109.73099982241462</v>
      </c>
    </row>
    <row r="1846" spans="1:9">
      <c r="A1846" s="19">
        <v>544</v>
      </c>
      <c r="B1846" s="43">
        <v>106.66097762268777</v>
      </c>
      <c r="C1846" s="43">
        <v>107.59504554897177</v>
      </c>
      <c r="D1846" s="43">
        <v>108.33776813198963</v>
      </c>
      <c r="E1846" s="43">
        <v>108.90430660308692</v>
      </c>
      <c r="F1846" s="43">
        <v>109.31180419664165</v>
      </c>
      <c r="G1846" s="43">
        <v>109.57777960753194</v>
      </c>
      <c r="H1846" s="43">
        <v>109.71912863464493</v>
      </c>
      <c r="I1846" s="43">
        <v>109.75157345521197</v>
      </c>
    </row>
    <row r="1847" spans="1:9">
      <c r="A1847" s="19">
        <v>544.1</v>
      </c>
      <c r="B1847" s="43">
        <v>106.67921183048693</v>
      </c>
      <c r="C1847" s="43">
        <v>107.61361131883004</v>
      </c>
      <c r="D1847" s="43">
        <v>108.35668255728783</v>
      </c>
      <c r="E1847" s="43">
        <v>108.9235743717837</v>
      </c>
      <c r="F1847" s="43">
        <v>109.33142038046597</v>
      </c>
      <c r="G1847" s="43">
        <v>109.59773231289881</v>
      </c>
      <c r="H1847" s="43">
        <v>109.73940123742804</v>
      </c>
      <c r="I1847" s="43">
        <v>109.77214634811338</v>
      </c>
    </row>
    <row r="1848" spans="1:9">
      <c r="A1848" s="19">
        <v>544.20000000000005</v>
      </c>
      <c r="B1848" s="43">
        <v>106.69744560262856</v>
      </c>
      <c r="C1848" s="43">
        <v>107.63217655015916</v>
      </c>
      <c r="D1848" s="43">
        <v>108.37559636093832</v>
      </c>
      <c r="E1848" s="43">
        <v>108.94284145723771</v>
      </c>
      <c r="F1848" s="43">
        <v>109.35103584053098</v>
      </c>
      <c r="G1848" s="43">
        <v>109.61768427320024</v>
      </c>
      <c r="H1848" s="43">
        <v>109.75967309059934</v>
      </c>
      <c r="I1848" s="43">
        <v>109.79271850117391</v>
      </c>
    </row>
    <row r="1849" spans="1:9">
      <c r="A1849" s="19">
        <v>544.29999999999995</v>
      </c>
      <c r="B1849" s="43">
        <v>106.71567893935429</v>
      </c>
      <c r="C1849" s="43">
        <v>107.65074124321563</v>
      </c>
      <c r="D1849" s="43">
        <v>108.39450954314214</v>
      </c>
      <c r="E1849" s="43">
        <v>108.96210785968785</v>
      </c>
      <c r="F1849" s="43">
        <v>109.37065057705689</v>
      </c>
      <c r="G1849" s="43">
        <v>109.63763548859845</v>
      </c>
      <c r="H1849" s="43">
        <v>109.7799441943061</v>
      </c>
      <c r="I1849" s="43">
        <v>109.81328991447526</v>
      </c>
    </row>
    <row r="1850" spans="1:9">
      <c r="A1850" s="19">
        <v>544.4</v>
      </c>
      <c r="B1850" s="43">
        <v>106.73391184100373</v>
      </c>
      <c r="C1850" s="43">
        <v>107.66930539829735</v>
      </c>
      <c r="D1850" s="43">
        <v>108.41342210422619</v>
      </c>
      <c r="E1850" s="43">
        <v>108.98137357939859</v>
      </c>
      <c r="F1850" s="43">
        <v>109.39026459026081</v>
      </c>
      <c r="G1850" s="43">
        <v>109.65758595928554</v>
      </c>
      <c r="H1850" s="43">
        <v>109.80021454867259</v>
      </c>
      <c r="I1850" s="43">
        <v>109.8338605881039</v>
      </c>
    </row>
    <row r="1851" spans="1:9">
      <c r="A1851" s="19">
        <v>544.5</v>
      </c>
      <c r="B1851" s="43">
        <v>106.75214430775188</v>
      </c>
      <c r="C1851" s="43">
        <v>107.68786901564175</v>
      </c>
      <c r="D1851" s="43">
        <v>108.4323340444021</v>
      </c>
      <c r="E1851" s="43">
        <v>109.00063861654857</v>
      </c>
      <c r="F1851" s="43">
        <v>109.40987788027687</v>
      </c>
      <c r="G1851" s="43">
        <v>109.67753568535684</v>
      </c>
      <c r="H1851" s="43">
        <v>109.82048415379359</v>
      </c>
      <c r="I1851" s="43">
        <v>109.85443052212369</v>
      </c>
    </row>
    <row r="1852" spans="1:9">
      <c r="A1852" s="19">
        <v>544.6</v>
      </c>
      <c r="B1852" s="43">
        <v>106.77037633996289</v>
      </c>
      <c r="C1852" s="43">
        <v>107.70643209555598</v>
      </c>
      <c r="D1852" s="43">
        <v>108.45124536395207</v>
      </c>
      <c r="E1852" s="43">
        <v>109.01990297140338</v>
      </c>
      <c r="F1852" s="43">
        <v>109.42949044735806</v>
      </c>
      <c r="G1852" s="43">
        <v>109.69748466702646</v>
      </c>
      <c r="H1852" s="43">
        <v>109.84075300979643</v>
      </c>
      <c r="I1852" s="43">
        <v>109.87499971662447</v>
      </c>
    </row>
    <row r="1853" spans="1:9">
      <c r="A1853" s="19">
        <v>544.70000000000005</v>
      </c>
      <c r="B1853" s="43">
        <v>106.78860793786728</v>
      </c>
      <c r="C1853" s="43">
        <v>107.72499463830491</v>
      </c>
      <c r="D1853" s="43">
        <v>108.47015606312956</v>
      </c>
      <c r="E1853" s="43">
        <v>109.03916664421499</v>
      </c>
      <c r="F1853" s="43">
        <v>109.44910229170404</v>
      </c>
      <c r="G1853" s="43">
        <v>109.71743290443607</v>
      </c>
      <c r="H1853" s="43">
        <v>109.86102111682192</v>
      </c>
      <c r="I1853" s="43">
        <v>109.89556817169174</v>
      </c>
    </row>
    <row r="1854" spans="1:9">
      <c r="A1854" s="19">
        <v>544.79999999999995</v>
      </c>
      <c r="B1854" s="43">
        <v>106.80683910164279</v>
      </c>
      <c r="C1854" s="43">
        <v>107.74355664407742</v>
      </c>
      <c r="D1854" s="43">
        <v>108.48906614214397</v>
      </c>
      <c r="E1854" s="43">
        <v>109.05842963514536</v>
      </c>
      <c r="F1854" s="43">
        <v>109.4687134134476</v>
      </c>
      <c r="G1854" s="43">
        <v>109.73738039772886</v>
      </c>
      <c r="H1854" s="43">
        <v>109.88128847493897</v>
      </c>
      <c r="I1854" s="43">
        <v>109.91613588737459</v>
      </c>
    </row>
    <row r="1855" spans="1:9">
      <c r="A1855" s="19">
        <v>544.9</v>
      </c>
      <c r="B1855" s="43">
        <v>106.82506983165155</v>
      </c>
      <c r="C1855" s="43">
        <v>107.76211811323063</v>
      </c>
      <c r="D1855" s="43">
        <v>108.50797560129476</v>
      </c>
      <c r="E1855" s="43">
        <v>109.07769194445794</v>
      </c>
      <c r="F1855" s="43">
        <v>109.48832381283827</v>
      </c>
      <c r="G1855" s="43">
        <v>109.75732714706476</v>
      </c>
      <c r="H1855" s="43">
        <v>109.90155508431329</v>
      </c>
      <c r="I1855" s="43">
        <v>109.9367028637713</v>
      </c>
    </row>
    <row r="1856" spans="1:9">
      <c r="A1856" s="19">
        <v>545</v>
      </c>
      <c r="B1856" s="43">
        <v>106.84330012814814</v>
      </c>
      <c r="C1856" s="43">
        <v>107.7806790460441</v>
      </c>
      <c r="D1856" s="43">
        <v>108.52688444084865</v>
      </c>
      <c r="E1856" s="43">
        <v>109.09695357242282</v>
      </c>
      <c r="F1856" s="43">
        <v>109.50793349010519</v>
      </c>
      <c r="G1856" s="43">
        <v>109.77727315264937</v>
      </c>
      <c r="H1856" s="43">
        <v>109.9218209450585</v>
      </c>
      <c r="I1856" s="43">
        <v>109.95726910097031</v>
      </c>
    </row>
    <row r="1857" spans="1:9">
      <c r="A1857" s="19">
        <v>545.1</v>
      </c>
      <c r="B1857" s="43">
        <v>106.86152999137934</v>
      </c>
      <c r="C1857" s="43">
        <v>107.79923944272073</v>
      </c>
      <c r="D1857" s="43">
        <v>108.54579266103946</v>
      </c>
      <c r="E1857" s="43">
        <v>109.11621451923216</v>
      </c>
      <c r="F1857" s="43">
        <v>109.52754244536513</v>
      </c>
      <c r="G1857" s="43">
        <v>109.79721841458561</v>
      </c>
      <c r="H1857" s="43">
        <v>109.94208605726422</v>
      </c>
      <c r="I1857" s="43">
        <v>109.97783459901507</v>
      </c>
    </row>
    <row r="1858" spans="1:9">
      <c r="A1858" s="19">
        <v>545.20000000000005</v>
      </c>
      <c r="B1858" s="43">
        <v>106.87975942159551</v>
      </c>
      <c r="C1858" s="43">
        <v>107.81779930354622</v>
      </c>
      <c r="D1858" s="43">
        <v>108.56470026211795</v>
      </c>
      <c r="E1858" s="43">
        <v>109.1354747850902</v>
      </c>
      <c r="F1858" s="43">
        <v>109.54715067886684</v>
      </c>
      <c r="G1858" s="43">
        <v>109.81716293306556</v>
      </c>
      <c r="H1858" s="43">
        <v>109.96235042107597</v>
      </c>
      <c r="I1858" s="43">
        <v>109.99839935801751</v>
      </c>
    </row>
    <row r="1859" spans="1:9">
      <c r="A1859" s="19">
        <v>545.29999999999995</v>
      </c>
      <c r="B1859" s="43">
        <v>106.89798841911559</v>
      </c>
      <c r="C1859" s="43">
        <v>107.83635862883116</v>
      </c>
      <c r="D1859" s="43">
        <v>108.58360724436071</v>
      </c>
      <c r="E1859" s="43">
        <v>109.15473437028916</v>
      </c>
      <c r="F1859" s="43">
        <v>109.56675819081727</v>
      </c>
      <c r="G1859" s="43">
        <v>109.83710670824644</v>
      </c>
      <c r="H1859" s="43">
        <v>109.98261403662005</v>
      </c>
      <c r="I1859" s="43">
        <v>110.01896337804658</v>
      </c>
    </row>
    <row r="1860" spans="1:9">
      <c r="A1860" s="19">
        <v>545.4</v>
      </c>
      <c r="B1860" s="43">
        <v>106.91621698409907</v>
      </c>
      <c r="C1860" s="43">
        <v>107.8549174187593</v>
      </c>
      <c r="D1860" s="43">
        <v>108.6025136079756</v>
      </c>
      <c r="E1860" s="43">
        <v>109.1739932749864</v>
      </c>
      <c r="F1860" s="43">
        <v>109.5863649813613</v>
      </c>
      <c r="G1860" s="43">
        <v>109.85704974026049</v>
      </c>
      <c r="H1860" s="43">
        <v>110.00287690397568</v>
      </c>
      <c r="I1860" s="43">
        <v>110.03952665917038</v>
      </c>
    </row>
    <row r="1861" spans="1:9">
      <c r="A1861" s="19">
        <v>545.5</v>
      </c>
      <c r="B1861" s="43">
        <v>106.93444511688614</v>
      </c>
      <c r="C1861" s="43">
        <v>107.87347567368016</v>
      </c>
      <c r="D1861" s="43">
        <v>108.62141935328495</v>
      </c>
      <c r="E1861" s="43">
        <v>109.19325149949532</v>
      </c>
      <c r="F1861" s="43">
        <v>109.6059710507464</v>
      </c>
      <c r="G1861" s="43">
        <v>109.87699202929502</v>
      </c>
      <c r="H1861" s="43">
        <v>110.02313902330951</v>
      </c>
      <c r="I1861" s="43">
        <v>110.06008920147713</v>
      </c>
    </row>
    <row r="1862" spans="1:9">
      <c r="A1862" s="19">
        <v>545.6</v>
      </c>
      <c r="B1862" s="43">
        <v>106.95267281779641</v>
      </c>
      <c r="C1862" s="43">
        <v>107.89203339385955</v>
      </c>
      <c r="D1862" s="43">
        <v>108.64032448052083</v>
      </c>
      <c r="E1862" s="43">
        <v>109.21250904401055</v>
      </c>
      <c r="F1862" s="43">
        <v>109.62557639916824</v>
      </c>
      <c r="G1862" s="43">
        <v>109.89693357552616</v>
      </c>
      <c r="H1862" s="43">
        <v>110.04340039472828</v>
      </c>
      <c r="I1862" s="43">
        <v>110.08065100505198</v>
      </c>
    </row>
    <row r="1863" spans="1:9">
      <c r="A1863" s="19">
        <v>545.70000000000005</v>
      </c>
      <c r="B1863" s="43">
        <v>106.97090008696054</v>
      </c>
      <c r="C1863" s="43">
        <v>107.9105905795021</v>
      </c>
      <c r="D1863" s="43">
        <v>108.65922898989271</v>
      </c>
      <c r="E1863" s="43">
        <v>109.23176590873709</v>
      </c>
      <c r="F1863" s="43">
        <v>109.64518102678403</v>
      </c>
      <c r="G1863" s="43">
        <v>109.9168743790631</v>
      </c>
      <c r="H1863" s="43">
        <v>110.06366101831983</v>
      </c>
      <c r="I1863" s="43">
        <v>110.1012120699551</v>
      </c>
    </row>
    <row r="1864" spans="1:9">
      <c r="A1864" s="19">
        <v>545.79999999999995</v>
      </c>
      <c r="B1864" s="43">
        <v>106.98912692472814</v>
      </c>
      <c r="C1864" s="43">
        <v>107.92914723093261</v>
      </c>
      <c r="D1864" s="43">
        <v>108.67813288171732</v>
      </c>
      <c r="E1864" s="43">
        <v>109.25102209393401</v>
      </c>
      <c r="F1864" s="43">
        <v>109.66478493382004</v>
      </c>
      <c r="G1864" s="43">
        <v>109.93681444010457</v>
      </c>
      <c r="H1864" s="43">
        <v>110.08392089423984</v>
      </c>
      <c r="I1864" s="43">
        <v>110.12177239627269</v>
      </c>
    </row>
    <row r="1865" spans="1:9">
      <c r="A1865" s="19">
        <v>545.9</v>
      </c>
      <c r="B1865" s="43">
        <v>107.00735333136319</v>
      </c>
      <c r="C1865" s="43">
        <v>107.94770334840339</v>
      </c>
      <c r="D1865" s="43">
        <v>108.69703615623703</v>
      </c>
      <c r="E1865" s="43">
        <v>109.27027759984352</v>
      </c>
      <c r="F1865" s="43">
        <v>109.68438812049604</v>
      </c>
      <c r="G1865" s="43">
        <v>109.95675375880774</v>
      </c>
      <c r="H1865" s="43">
        <v>110.10418002260266</v>
      </c>
      <c r="I1865" s="43">
        <v>110.14233198410315</v>
      </c>
    </row>
    <row r="1866" spans="1:9">
      <c r="A1866" s="19">
        <v>546</v>
      </c>
      <c r="B1866" s="43">
        <v>107.02557930706988</v>
      </c>
      <c r="C1866" s="43">
        <v>107.9662589321355</v>
      </c>
      <c r="D1866" s="43">
        <v>108.71593881364126</v>
      </c>
      <c r="E1866" s="43">
        <v>109.2895324266313</v>
      </c>
      <c r="F1866" s="43">
        <v>109.70399058694088</v>
      </c>
      <c r="G1866" s="43">
        <v>109.97669233529857</v>
      </c>
      <c r="H1866" s="43">
        <v>110.12443840350028</v>
      </c>
      <c r="I1866" s="43">
        <v>110.16289083348312</v>
      </c>
    </row>
    <row r="1867" spans="1:9">
      <c r="A1867" s="19">
        <v>546.1</v>
      </c>
      <c r="B1867" s="43">
        <v>107.04380485218419</v>
      </c>
      <c r="C1867" s="43">
        <v>107.98481398245738</v>
      </c>
      <c r="D1867" s="43">
        <v>108.73484085428947</v>
      </c>
      <c r="E1867" s="43">
        <v>109.30878657460624</v>
      </c>
      <c r="F1867" s="43">
        <v>109.72359233342334</v>
      </c>
      <c r="G1867" s="43">
        <v>109.99663016978238</v>
      </c>
      <c r="H1867" s="43">
        <v>110.14469603709242</v>
      </c>
      <c r="I1867" s="43">
        <v>110.18344894453739</v>
      </c>
    </row>
    <row r="1868" spans="1:9">
      <c r="A1868" s="19">
        <v>546.20000000000005</v>
      </c>
      <c r="B1868" s="43">
        <v>107.06202996690487</v>
      </c>
      <c r="C1868" s="43">
        <v>108.00336849961678</v>
      </c>
      <c r="D1868" s="43">
        <v>108.7537422783613</v>
      </c>
      <c r="E1868" s="43">
        <v>109.32804004395845</v>
      </c>
      <c r="F1868" s="43">
        <v>109.74319336011013</v>
      </c>
      <c r="G1868" s="43">
        <v>110.01656726238969</v>
      </c>
      <c r="H1868" s="43">
        <v>110.16495292347895</v>
      </c>
      <c r="I1868" s="43">
        <v>110.20400631732946</v>
      </c>
    </row>
    <row r="1869" spans="1:9">
      <c r="A1869" s="19">
        <v>546.29999999999995</v>
      </c>
      <c r="B1869" s="43">
        <v>107.08025465155444</v>
      </c>
      <c r="C1869" s="43">
        <v>108.02192248387087</v>
      </c>
      <c r="D1869" s="43">
        <v>108.77264308614718</v>
      </c>
      <c r="E1869" s="43">
        <v>109.34729283492217</v>
      </c>
      <c r="F1869" s="43">
        <v>109.76279366719527</v>
      </c>
      <c r="G1869" s="43">
        <v>110.03650361328954</v>
      </c>
      <c r="H1869" s="43">
        <v>110.18520906277234</v>
      </c>
      <c r="I1869" s="43">
        <v>110.22456295191176</v>
      </c>
    </row>
    <row r="1870" spans="1:9">
      <c r="A1870" s="19">
        <v>546.4</v>
      </c>
      <c r="B1870" s="43">
        <v>107.09847890635211</v>
      </c>
      <c r="C1870" s="43">
        <v>108.04047593552681</v>
      </c>
      <c r="D1870" s="43">
        <v>108.79154327788561</v>
      </c>
      <c r="E1870" s="43">
        <v>109.36654494774336</v>
      </c>
      <c r="F1870" s="43">
        <v>109.78239325489011</v>
      </c>
      <c r="G1870" s="43">
        <v>110.05643922265341</v>
      </c>
      <c r="H1870" s="43">
        <v>110.20546445510985</v>
      </c>
      <c r="I1870" s="43">
        <v>110.24511884840354</v>
      </c>
    </row>
    <row r="1871" spans="1:9">
      <c r="A1871" s="19">
        <v>546.5</v>
      </c>
      <c r="B1871" s="43">
        <v>107.1167027315777</v>
      </c>
      <c r="C1871" s="43">
        <v>108.05902885480074</v>
      </c>
      <c r="D1871" s="43">
        <v>108.81044285384448</v>
      </c>
      <c r="E1871" s="43">
        <v>109.38579638263516</v>
      </c>
      <c r="F1871" s="43">
        <v>109.80199212338391</v>
      </c>
      <c r="G1871" s="43">
        <v>110.07637409062673</v>
      </c>
      <c r="H1871" s="43">
        <v>110.22571910060722</v>
      </c>
      <c r="I1871" s="43">
        <v>110.26567400686949</v>
      </c>
    </row>
    <row r="1872" spans="1:9">
      <c r="A1872" s="19">
        <v>546.6</v>
      </c>
      <c r="B1872" s="43">
        <v>107.13492612751423</v>
      </c>
      <c r="C1872" s="43">
        <v>108.0775812419773</v>
      </c>
      <c r="D1872" s="43">
        <v>108.82934181427419</v>
      </c>
      <c r="E1872" s="43">
        <v>109.40504713983421</v>
      </c>
      <c r="F1872" s="43">
        <v>109.82159027286372</v>
      </c>
      <c r="G1872" s="43">
        <v>110.096308217363</v>
      </c>
      <c r="H1872" s="43">
        <v>110.24597299937435</v>
      </c>
      <c r="I1872" s="43">
        <v>110.28622842737821</v>
      </c>
    </row>
    <row r="1873" spans="1:9">
      <c r="A1873" s="19">
        <v>546.70000000000005</v>
      </c>
      <c r="B1873" s="43">
        <v>107.15314909435492</v>
      </c>
      <c r="C1873" s="43">
        <v>108.09613309732521</v>
      </c>
      <c r="D1873" s="43">
        <v>108.84824015940177</v>
      </c>
      <c r="E1873" s="43">
        <v>109.42429721955051</v>
      </c>
      <c r="F1873" s="43">
        <v>109.84118770355491</v>
      </c>
      <c r="G1873" s="43">
        <v>110.11624160303194</v>
      </c>
      <c r="H1873" s="43">
        <v>110.26622615153869</v>
      </c>
      <c r="I1873" s="43">
        <v>110.30678211001018</v>
      </c>
    </row>
    <row r="1874" spans="1:9">
      <c r="A1874" s="19">
        <v>546.79999999999995</v>
      </c>
      <c r="B1874" s="43">
        <v>107.17137163243174</v>
      </c>
      <c r="C1874" s="43">
        <v>108.11468442111664</v>
      </c>
      <c r="D1874" s="43">
        <v>108.86713788953503</v>
      </c>
      <c r="E1874" s="43">
        <v>109.44354662205672</v>
      </c>
      <c r="F1874" s="43">
        <v>109.86078441563419</v>
      </c>
      <c r="G1874" s="43">
        <v>110.13617424780236</v>
      </c>
      <c r="H1874" s="43">
        <v>110.28647855722875</v>
      </c>
      <c r="I1874" s="43">
        <v>110.32733505487329</v>
      </c>
    </row>
    <row r="1875" spans="1:9">
      <c r="A1875" s="19">
        <v>546.9</v>
      </c>
      <c r="B1875" s="43">
        <v>107.18959374199753</v>
      </c>
      <c r="C1875" s="43">
        <v>108.13323521361716</v>
      </c>
      <c r="D1875" s="43">
        <v>108.88603500489026</v>
      </c>
      <c r="E1875" s="43">
        <v>109.46279534754893</v>
      </c>
      <c r="F1875" s="43">
        <v>109.88038040929183</v>
      </c>
      <c r="G1875" s="43">
        <v>110.15610615182558</v>
      </c>
      <c r="H1875" s="43">
        <v>110.30673021654511</v>
      </c>
      <c r="I1875" s="43">
        <v>110.34788726201373</v>
      </c>
    </row>
    <row r="1876" spans="1:9">
      <c r="A1876" s="19">
        <v>547</v>
      </c>
      <c r="B1876" s="43">
        <v>107.20781542330027</v>
      </c>
      <c r="C1876" s="43">
        <v>108.15178547508737</v>
      </c>
      <c r="D1876" s="43">
        <v>108.9049315057425</v>
      </c>
      <c r="E1876" s="43">
        <v>109.48204339628305</v>
      </c>
      <c r="F1876" s="43">
        <v>109.89997568475516</v>
      </c>
      <c r="G1876" s="43">
        <v>110.17603731526589</v>
      </c>
      <c r="H1876" s="43">
        <v>110.32698112962956</v>
      </c>
      <c r="I1876" s="43">
        <v>110.36843873152461</v>
      </c>
    </row>
    <row r="1877" spans="1:9">
      <c r="A1877" s="19">
        <v>547.1</v>
      </c>
      <c r="B1877" s="43">
        <v>107.22603667658751</v>
      </c>
      <c r="C1877" s="43">
        <v>108.1703352058027</v>
      </c>
      <c r="D1877" s="43">
        <v>108.92382739233264</v>
      </c>
      <c r="E1877" s="43">
        <v>109.50129076847924</v>
      </c>
      <c r="F1877" s="43">
        <v>109.91957024220122</v>
      </c>
      <c r="G1877" s="43">
        <v>110.19596773827621</v>
      </c>
      <c r="H1877" s="43">
        <v>110.34723129659176</v>
      </c>
      <c r="I1877" s="43">
        <v>110.38898946349445</v>
      </c>
    </row>
    <row r="1878" spans="1:9">
      <c r="A1878" s="19">
        <v>547.20000000000005</v>
      </c>
      <c r="B1878" s="43">
        <v>107.24425750215693</v>
      </c>
      <c r="C1878" s="43">
        <v>108.18888440600074</v>
      </c>
      <c r="D1878" s="43">
        <v>108.94272266489449</v>
      </c>
      <c r="E1878" s="43">
        <v>109.52053746434106</v>
      </c>
      <c r="F1878" s="43">
        <v>109.93916408183097</v>
      </c>
      <c r="G1878" s="43">
        <v>110.21589742102415</v>
      </c>
      <c r="H1878" s="43">
        <v>110.36748071754394</v>
      </c>
      <c r="I1878" s="43">
        <v>110.40953945798103</v>
      </c>
    </row>
    <row r="1879" spans="1:9">
      <c r="A1879" s="19">
        <v>547.29999999999995</v>
      </c>
      <c r="B1879" s="43">
        <v>107.26247790022032</v>
      </c>
      <c r="C1879" s="43">
        <v>108.20743307598667</v>
      </c>
      <c r="D1879" s="43">
        <v>108.96161732372556</v>
      </c>
      <c r="E1879" s="43">
        <v>109.53978348412858</v>
      </c>
      <c r="F1879" s="43">
        <v>109.95875720383432</v>
      </c>
      <c r="G1879" s="43">
        <v>110.23582636366143</v>
      </c>
      <c r="H1879" s="43">
        <v>110.38772939262179</v>
      </c>
      <c r="I1879" s="43">
        <v>110.43008871508476</v>
      </c>
    </row>
    <row r="1880" spans="1:9">
      <c r="A1880" s="19">
        <v>547.4</v>
      </c>
      <c r="B1880" s="43">
        <v>107.28069787109484</v>
      </c>
      <c r="C1880" s="43">
        <v>108.22598121601197</v>
      </c>
      <c r="D1880" s="43">
        <v>108.98051136907037</v>
      </c>
      <c r="E1880" s="43">
        <v>109.55902882808905</v>
      </c>
      <c r="F1880" s="43">
        <v>109.97834960843727</v>
      </c>
      <c r="G1880" s="43">
        <v>110.25575456636901</v>
      </c>
      <c r="H1880" s="43">
        <v>110.40797732195531</v>
      </c>
      <c r="I1880" s="43">
        <v>110.450637234889</v>
      </c>
    </row>
    <row r="1881" spans="1:9">
      <c r="A1881" s="19">
        <v>547.5</v>
      </c>
      <c r="B1881" s="43">
        <v>107.29891741503107</v>
      </c>
      <c r="C1881" s="43">
        <v>108.24452882634387</v>
      </c>
      <c r="D1881" s="43">
        <v>108.99940480116402</v>
      </c>
      <c r="E1881" s="43">
        <v>109.57827349638981</v>
      </c>
      <c r="F1881" s="43">
        <v>109.99794129579433</v>
      </c>
      <c r="G1881" s="43">
        <v>110.27568202928555</v>
      </c>
      <c r="H1881" s="43">
        <v>110.42822450563474</v>
      </c>
      <c r="I1881" s="43">
        <v>110.47118501745342</v>
      </c>
    </row>
    <row r="1882" spans="1:9">
      <c r="A1882" s="19">
        <v>547.6</v>
      </c>
      <c r="B1882" s="43">
        <v>107.31713653227123</v>
      </c>
      <c r="C1882" s="43">
        <v>108.26307590726151</v>
      </c>
      <c r="D1882" s="43">
        <v>109.01829762027853</v>
      </c>
      <c r="E1882" s="43">
        <v>109.59751748932794</v>
      </c>
      <c r="F1882" s="43">
        <v>110.01753226614355</v>
      </c>
      <c r="G1882" s="43">
        <v>110.29560875257519</v>
      </c>
      <c r="H1882" s="43">
        <v>110.44847094380935</v>
      </c>
      <c r="I1882" s="43">
        <v>110.49173206287657</v>
      </c>
    </row>
    <row r="1883" spans="1:9">
      <c r="A1883" s="19">
        <v>547.70000000000005</v>
      </c>
      <c r="B1883" s="43">
        <v>107.33535522307534</v>
      </c>
      <c r="C1883" s="43">
        <v>108.28162245900268</v>
      </c>
      <c r="D1883" s="43">
        <v>109.0371898266591</v>
      </c>
      <c r="E1883" s="43">
        <v>109.61676080710041</v>
      </c>
      <c r="F1883" s="43">
        <v>110.03712251966522</v>
      </c>
      <c r="G1883" s="43">
        <v>110.31553473640869</v>
      </c>
      <c r="H1883" s="43">
        <v>110.46871663658175</v>
      </c>
      <c r="I1883" s="43">
        <v>110.51227837122829</v>
      </c>
    </row>
    <row r="1884" spans="1:9">
      <c r="A1884" s="19">
        <v>547.79999999999995</v>
      </c>
      <c r="B1884" s="43">
        <v>107.35357348771731</v>
      </c>
      <c r="C1884" s="43">
        <v>108.300168481832</v>
      </c>
      <c r="D1884" s="43">
        <v>109.05608142055789</v>
      </c>
      <c r="E1884" s="43">
        <v>109.63600344993796</v>
      </c>
      <c r="F1884" s="43">
        <v>110.05671205655216</v>
      </c>
      <c r="G1884" s="43">
        <v>110.33545998094408</v>
      </c>
      <c r="H1884" s="43">
        <v>110.48896158407555</v>
      </c>
      <c r="I1884" s="43">
        <v>110.53282394259642</v>
      </c>
    </row>
    <row r="1885" spans="1:9">
      <c r="A1885" s="19">
        <v>547.9</v>
      </c>
      <c r="B1885" s="43">
        <v>107.37179132645892</v>
      </c>
      <c r="C1885" s="43">
        <v>108.31871397604749</v>
      </c>
      <c r="D1885" s="43">
        <v>109.07497240224566</v>
      </c>
      <c r="E1885" s="43">
        <v>109.6552454180862</v>
      </c>
      <c r="F1885" s="43">
        <v>110.07630087701253</v>
      </c>
      <c r="G1885" s="43">
        <v>110.35538448633127</v>
      </c>
      <c r="H1885" s="43">
        <v>110.50920578642484</v>
      </c>
      <c r="I1885" s="43">
        <v>110.55336877705355</v>
      </c>
    </row>
    <row r="1886" spans="1:9">
      <c r="A1886" s="19">
        <v>548</v>
      </c>
      <c r="B1886" s="43">
        <v>107.39000873958034</v>
      </c>
      <c r="C1886" s="43">
        <v>108.33725894192631</v>
      </c>
      <c r="D1886" s="43">
        <v>109.09386277198684</v>
      </c>
      <c r="E1886" s="43">
        <v>109.67448671177169</v>
      </c>
      <c r="F1886" s="43">
        <v>110.09588898125656</v>
      </c>
      <c r="G1886" s="43">
        <v>110.37530825276485</v>
      </c>
      <c r="H1886" s="43">
        <v>110.52944924375171</v>
      </c>
      <c r="I1886" s="43">
        <v>110.57391287469929</v>
      </c>
    </row>
    <row r="1887" spans="1:9">
      <c r="A1887" s="19">
        <v>548.1</v>
      </c>
      <c r="B1887" s="43">
        <v>107.4082257272554</v>
      </c>
      <c r="C1887" s="43">
        <v>108.35580337965584</v>
      </c>
      <c r="D1887" s="43">
        <v>109.11275252996575</v>
      </c>
      <c r="E1887" s="43">
        <v>109.69372733119491</v>
      </c>
      <c r="F1887" s="43">
        <v>110.11547636943195</v>
      </c>
      <c r="G1887" s="43">
        <v>110.39523128033949</v>
      </c>
      <c r="H1887" s="43">
        <v>110.54969195613731</v>
      </c>
      <c r="I1887" s="43">
        <v>110.59445623557721</v>
      </c>
    </row>
    <row r="1888" spans="1:9">
      <c r="A1888" s="19">
        <v>548.20000000000005</v>
      </c>
      <c r="B1888" s="43">
        <v>107.4264422898805</v>
      </c>
      <c r="C1888" s="43">
        <v>108.37434728959295</v>
      </c>
      <c r="D1888" s="43">
        <v>109.13164167652795</v>
      </c>
      <c r="E1888" s="43">
        <v>109.71296727663292</v>
      </c>
      <c r="F1888" s="43">
        <v>110.1350630417993</v>
      </c>
      <c r="G1888" s="43">
        <v>110.4151535692848</v>
      </c>
      <c r="H1888" s="43">
        <v>110.56993392375412</v>
      </c>
      <c r="I1888" s="43">
        <v>110.61499885980842</v>
      </c>
    </row>
    <row r="1889" spans="1:9">
      <c r="A1889" s="19">
        <v>548.29999999999995</v>
      </c>
      <c r="B1889" s="43">
        <v>107.44465842769927</v>
      </c>
      <c r="C1889" s="43">
        <v>108.3928906720285</v>
      </c>
      <c r="D1889" s="43">
        <v>109.15053021192449</v>
      </c>
      <c r="E1889" s="43">
        <v>109.73220654832943</v>
      </c>
      <c r="F1889" s="43">
        <v>110.15464899856511</v>
      </c>
      <c r="G1889" s="43">
        <v>110.43507511976316</v>
      </c>
      <c r="H1889" s="43">
        <v>110.59017514673457</v>
      </c>
      <c r="I1889" s="43">
        <v>110.63554074748018</v>
      </c>
    </row>
    <row r="1890" spans="1:9">
      <c r="A1890" s="19">
        <v>548.4</v>
      </c>
      <c r="B1890" s="43">
        <v>107.46287414076488</v>
      </c>
      <c r="C1890" s="43">
        <v>108.41143352699859</v>
      </c>
      <c r="D1890" s="43">
        <v>109.16941813623635</v>
      </c>
      <c r="E1890" s="43">
        <v>109.75144514638012</v>
      </c>
      <c r="F1890" s="43">
        <v>110.17423423978966</v>
      </c>
      <c r="G1890" s="43">
        <v>110.45499593183274</v>
      </c>
      <c r="H1890" s="43">
        <v>110.61041562510107</v>
      </c>
      <c r="I1890" s="43">
        <v>110.65608189860157</v>
      </c>
    </row>
    <row r="1891" spans="1:9">
      <c r="A1891" s="19">
        <v>548.5</v>
      </c>
      <c r="B1891" s="43">
        <v>107.48108942955892</v>
      </c>
      <c r="C1891" s="43">
        <v>108.42997585503221</v>
      </c>
      <c r="D1891" s="43">
        <v>109.18830544993446</v>
      </c>
      <c r="E1891" s="43">
        <v>109.77068307117972</v>
      </c>
      <c r="F1891" s="43">
        <v>110.19381876584072</v>
      </c>
      <c r="G1891" s="43">
        <v>110.47491600576382</v>
      </c>
      <c r="H1891" s="43">
        <v>110.63065535908302</v>
      </c>
      <c r="I1891" s="43">
        <v>110.67662231332912</v>
      </c>
    </row>
    <row r="1892" spans="1:9">
      <c r="A1892" s="19">
        <v>548.6</v>
      </c>
      <c r="B1892" s="43">
        <v>107.49930429429313</v>
      </c>
      <c r="C1892" s="43">
        <v>108.44851765627826</v>
      </c>
      <c r="D1892" s="43">
        <v>109.20719215317646</v>
      </c>
      <c r="E1892" s="43">
        <v>109.7899203228655</v>
      </c>
      <c r="F1892" s="43">
        <v>110.21340257683866</v>
      </c>
      <c r="G1892" s="43">
        <v>110.494835341683</v>
      </c>
      <c r="H1892" s="43">
        <v>110.6508943487554</v>
      </c>
      <c r="I1892" s="43">
        <v>110.69716199172072</v>
      </c>
    </row>
    <row r="1893" spans="1:9">
      <c r="A1893" s="19">
        <v>548.70000000000005</v>
      </c>
      <c r="B1893" s="43">
        <v>107.51751873519308</v>
      </c>
      <c r="C1893" s="43">
        <v>108.46705893101873</v>
      </c>
      <c r="D1893" s="43">
        <v>109.22607824623432</v>
      </c>
      <c r="E1893" s="43">
        <v>109.80915690171079</v>
      </c>
      <c r="F1893" s="43">
        <v>110.23298567297959</v>
      </c>
      <c r="G1893" s="43">
        <v>110.51475393974022</v>
      </c>
      <c r="H1893" s="43">
        <v>110.67113259424761</v>
      </c>
      <c r="I1893" s="43">
        <v>110.71770093384956</v>
      </c>
    </row>
    <row r="1894" spans="1:9">
      <c r="A1894" s="19">
        <v>548.79999999999995</v>
      </c>
      <c r="B1894" s="43">
        <v>107.53573275257199</v>
      </c>
      <c r="C1894" s="43">
        <v>108.48559967954586</v>
      </c>
      <c r="D1894" s="43">
        <v>109.24496372936972</v>
      </c>
      <c r="E1894" s="43">
        <v>109.82839280792228</v>
      </c>
      <c r="F1894" s="43">
        <v>110.25256805448282</v>
      </c>
      <c r="G1894" s="43">
        <v>110.53467180011819</v>
      </c>
      <c r="H1894" s="43">
        <v>110.69137009567532</v>
      </c>
      <c r="I1894" s="43">
        <v>110.7382391398109</v>
      </c>
    </row>
    <row r="1895" spans="1:9">
      <c r="A1895" s="19">
        <v>548.9</v>
      </c>
      <c r="B1895" s="43">
        <v>107.55394634665541</v>
      </c>
      <c r="C1895" s="43">
        <v>108.50413990211493</v>
      </c>
      <c r="D1895" s="43">
        <v>109.26384860283727</v>
      </c>
      <c r="E1895" s="43">
        <v>109.84762804176972</v>
      </c>
      <c r="F1895" s="43">
        <v>110.27214972156531</v>
      </c>
      <c r="G1895" s="43">
        <v>110.55458892298205</v>
      </c>
      <c r="H1895" s="43">
        <v>110.71160685318858</v>
      </c>
      <c r="I1895" s="43">
        <v>110.75877660968493</v>
      </c>
    </row>
    <row r="1896" spans="1:9">
      <c r="A1896" s="19">
        <v>549</v>
      </c>
      <c r="B1896" s="43">
        <v>107.57215951765977</v>
      </c>
      <c r="C1896" s="43">
        <v>108.52267959892646</v>
      </c>
      <c r="D1896" s="43">
        <v>109.28273286683759</v>
      </c>
      <c r="E1896" s="43">
        <v>109.86686260340051</v>
      </c>
      <c r="F1896" s="43">
        <v>110.2917306743519</v>
      </c>
      <c r="G1896" s="43">
        <v>110.57450530845006</v>
      </c>
      <c r="H1896" s="43">
        <v>110.73184286686393</v>
      </c>
      <c r="I1896" s="43">
        <v>110.77931334352391</v>
      </c>
    </row>
    <row r="1897" spans="1:9">
      <c r="A1897" s="19">
        <v>549.1</v>
      </c>
      <c r="B1897" s="43">
        <v>107.59037226591087</v>
      </c>
      <c r="C1897" s="43">
        <v>108.54121877031972</v>
      </c>
      <c r="D1897" s="43">
        <v>109.30161652169451</v>
      </c>
      <c r="E1897" s="43">
        <v>109.88609649312102</v>
      </c>
      <c r="F1897" s="43">
        <v>110.31131091310314</v>
      </c>
      <c r="G1897" s="43">
        <v>110.59442095672196</v>
      </c>
      <c r="H1897" s="43">
        <v>110.75207813685273</v>
      </c>
      <c r="I1897" s="43">
        <v>110.79984934145335</v>
      </c>
    </row>
    <row r="1898" spans="1:9">
      <c r="A1898" s="19">
        <v>549.20000000000005</v>
      </c>
      <c r="B1898" s="43">
        <v>107.60858459166664</v>
      </c>
      <c r="C1898" s="43">
        <v>108.5597574165277</v>
      </c>
      <c r="D1898" s="43">
        <v>109.32049956759826</v>
      </c>
      <c r="E1898" s="43">
        <v>109.90532971113257</v>
      </c>
      <c r="F1898" s="43">
        <v>110.33089043799671</v>
      </c>
      <c r="G1898" s="43">
        <v>110.61433586794092</v>
      </c>
      <c r="H1898" s="43">
        <v>110.77231266326066</v>
      </c>
      <c r="I1898" s="43">
        <v>110.82038460352746</v>
      </c>
    </row>
    <row r="1899" spans="1:9">
      <c r="A1899" s="19">
        <v>549.29999999999995</v>
      </c>
      <c r="B1899" s="43">
        <v>107.62679649515277</v>
      </c>
      <c r="C1899" s="43">
        <v>108.57829553783395</v>
      </c>
      <c r="D1899" s="43">
        <v>109.33938200486679</v>
      </c>
      <c r="E1899" s="43">
        <v>109.92456225767012</v>
      </c>
      <c r="F1899" s="43">
        <v>110.35046924923381</v>
      </c>
      <c r="G1899" s="43">
        <v>110.63425004228634</v>
      </c>
      <c r="H1899" s="43">
        <v>110.79254644622708</v>
      </c>
      <c r="I1899" s="43">
        <v>110.84091912983845</v>
      </c>
    </row>
    <row r="1900" spans="1:9">
      <c r="A1900" s="19">
        <v>549.4</v>
      </c>
      <c r="B1900" s="43">
        <v>107.64500797666375</v>
      </c>
      <c r="C1900" s="43">
        <v>108.59683313449574</v>
      </c>
      <c r="D1900" s="43">
        <v>109.35826383371756</v>
      </c>
      <c r="E1900" s="43">
        <v>109.94379413295613</v>
      </c>
      <c r="F1900" s="43">
        <v>110.37004734701935</v>
      </c>
      <c r="G1900" s="43">
        <v>110.65416347990654</v>
      </c>
      <c r="H1900" s="43">
        <v>110.81277948587214</v>
      </c>
      <c r="I1900" s="43">
        <v>110.86145292046353</v>
      </c>
    </row>
    <row r="1901" spans="1:9">
      <c r="A1901" s="19">
        <v>549.5</v>
      </c>
      <c r="B1901" s="43">
        <v>107.66321903643185</v>
      </c>
      <c r="C1901" s="43">
        <v>108.61537020676923</v>
      </c>
      <c r="D1901" s="43">
        <v>109.37714505440891</v>
      </c>
      <c r="E1901" s="43">
        <v>109.96302533723357</v>
      </c>
      <c r="F1901" s="43">
        <v>110.3896247315588</v>
      </c>
      <c r="G1901" s="43">
        <v>110.67407618097533</v>
      </c>
      <c r="H1901" s="43">
        <v>110.83301178230721</v>
      </c>
      <c r="I1901" s="43">
        <v>110.88198597548779</v>
      </c>
    </row>
    <row r="1902" spans="1:9">
      <c r="A1902" s="19">
        <v>549.6</v>
      </c>
      <c r="B1902" s="43">
        <v>107.68142967472997</v>
      </c>
      <c r="C1902" s="43">
        <v>108.63390675493463</v>
      </c>
      <c r="D1902" s="43">
        <v>109.39602566720521</v>
      </c>
      <c r="E1902" s="43">
        <v>109.98225587072588</v>
      </c>
      <c r="F1902" s="43">
        <v>110.40920140301779</v>
      </c>
      <c r="G1902" s="43">
        <v>110.69398814563235</v>
      </c>
      <c r="H1902" s="43">
        <v>110.85324333566882</v>
      </c>
      <c r="I1902" s="43">
        <v>110.90251829499536</v>
      </c>
    </row>
    <row r="1903" spans="1:9">
      <c r="A1903" s="19">
        <v>549.70000000000005</v>
      </c>
      <c r="B1903" s="43">
        <v>107.69963989180266</v>
      </c>
      <c r="C1903" s="43">
        <v>108.65244277922878</v>
      </c>
      <c r="D1903" s="43">
        <v>109.41490567234291</v>
      </c>
      <c r="E1903" s="43">
        <v>110.0014857336549</v>
      </c>
      <c r="F1903" s="43">
        <v>110.42877736161114</v>
      </c>
      <c r="G1903" s="43">
        <v>110.71389937405939</v>
      </c>
      <c r="H1903" s="43">
        <v>110.87347414605881</v>
      </c>
      <c r="I1903" s="43">
        <v>110.92304987906192</v>
      </c>
    </row>
    <row r="1904" spans="1:9">
      <c r="A1904" s="19">
        <v>549.79999999999995</v>
      </c>
      <c r="B1904" s="43">
        <v>107.7178496879302</v>
      </c>
      <c r="C1904" s="43">
        <v>108.67097827996395</v>
      </c>
      <c r="D1904" s="43">
        <v>109.4337850700839</v>
      </c>
      <c r="E1904" s="43">
        <v>110.02071492626862</v>
      </c>
      <c r="F1904" s="43">
        <v>110.44835260756454</v>
      </c>
      <c r="G1904" s="43">
        <v>110.73380986640782</v>
      </c>
      <c r="H1904" s="43">
        <v>110.89370421362113</v>
      </c>
      <c r="I1904" s="43">
        <v>110.94358072778326</v>
      </c>
    </row>
    <row r="1905" spans="1:9">
      <c r="A1905" s="19">
        <v>549.9</v>
      </c>
      <c r="B1905" s="43">
        <v>107.73605906336618</v>
      </c>
      <c r="C1905" s="43">
        <v>108.68951325735466</v>
      </c>
      <c r="D1905" s="43">
        <v>109.45266386067328</v>
      </c>
      <c r="E1905" s="43">
        <v>110.03994344877057</v>
      </c>
      <c r="F1905" s="43">
        <v>110.46792714101701</v>
      </c>
      <c r="G1905" s="43">
        <v>110.75371962282324</v>
      </c>
      <c r="H1905" s="43">
        <v>110.91393353846067</v>
      </c>
      <c r="I1905" s="43">
        <v>110.96411084121615</v>
      </c>
    </row>
    <row r="1906" spans="1:9">
      <c r="A1906" s="19">
        <v>550</v>
      </c>
      <c r="B1906" s="43">
        <v>107.7329948722263</v>
      </c>
      <c r="C1906" s="43">
        <v>108.68810345393686</v>
      </c>
      <c r="D1906" s="43">
        <v>109.45316771459937</v>
      </c>
      <c r="E1906" s="43">
        <v>110.04256999927046</v>
      </c>
      <c r="F1906" s="43">
        <v>110.47283795427197</v>
      </c>
      <c r="G1906" s="43">
        <v>110.76103430497179</v>
      </c>
      <c r="H1906" s="43">
        <v>110.92373609747219</v>
      </c>
      <c r="I1906" s="43">
        <v>110.97645581206373</v>
      </c>
    </row>
    <row r="1907" spans="1:9">
      <c r="A1907" s="19">
        <v>550.1</v>
      </c>
      <c r="B1907" s="43">
        <v>107.72989699544547</v>
      </c>
      <c r="C1907" s="43">
        <v>108.68665808852512</v>
      </c>
      <c r="D1907" s="43">
        <v>109.45363409977935</v>
      </c>
      <c r="E1907" s="43">
        <v>110.04515731165662</v>
      </c>
      <c r="F1907" s="43">
        <v>110.47770798922997</v>
      </c>
      <c r="G1907" s="43">
        <v>110.76830693156435</v>
      </c>
      <c r="H1907" s="43">
        <v>110.93349558129086</v>
      </c>
      <c r="I1907" s="43">
        <v>110.98875691673595</v>
      </c>
    </row>
    <row r="1908" spans="1:9">
      <c r="A1908" s="19">
        <v>550.20000000000005</v>
      </c>
      <c r="B1908" s="43">
        <v>107.74808056524299</v>
      </c>
      <c r="C1908" s="43">
        <v>108.7051644474835</v>
      </c>
      <c r="D1908" s="43">
        <v>109.47248125619635</v>
      </c>
      <c r="E1908" s="43">
        <v>110.06435113635516</v>
      </c>
      <c r="F1908" s="43">
        <v>110.49724482476313</v>
      </c>
      <c r="G1908" s="43">
        <v>110.78817612837537</v>
      </c>
      <c r="H1908" s="43">
        <v>110.95368167061361</v>
      </c>
      <c r="I1908" s="43">
        <v>111.00924133255381</v>
      </c>
    </row>
    <row r="1909" spans="1:9">
      <c r="A1909" s="19">
        <v>550.29999999999995</v>
      </c>
      <c r="B1909" s="43">
        <v>107.76626371449197</v>
      </c>
      <c r="C1909" s="43">
        <v>108.72367028453888</v>
      </c>
      <c r="D1909" s="43">
        <v>109.49132780771421</v>
      </c>
      <c r="E1909" s="43">
        <v>110.08354429352829</v>
      </c>
      <c r="F1909" s="43">
        <v>110.51678095030451</v>
      </c>
      <c r="G1909" s="43">
        <v>110.8080445912899</v>
      </c>
      <c r="H1909" s="43">
        <v>110.97386701848356</v>
      </c>
      <c r="I1909" s="43">
        <v>111.02972501336373</v>
      </c>
    </row>
    <row r="1910" spans="1:9">
      <c r="A1910" s="19">
        <v>550.4</v>
      </c>
      <c r="B1910" s="43">
        <v>107.78444644353178</v>
      </c>
      <c r="C1910" s="43">
        <v>108.74217560009552</v>
      </c>
      <c r="D1910" s="43">
        <v>109.51017375467802</v>
      </c>
      <c r="E1910" s="43">
        <v>110.10273678349569</v>
      </c>
      <c r="F1910" s="43">
        <v>110.5363163661147</v>
      </c>
      <c r="G1910" s="43">
        <v>110.827912320499</v>
      </c>
      <c r="H1910" s="43">
        <v>110.99405162505769</v>
      </c>
      <c r="I1910" s="43">
        <v>111.05020795928951</v>
      </c>
    </row>
    <row r="1911" spans="1:9">
      <c r="A1911" s="19">
        <v>550.5</v>
      </c>
      <c r="B1911" s="43">
        <v>107.80262875261676</v>
      </c>
      <c r="C1911" s="43">
        <v>108.76068039439039</v>
      </c>
      <c r="D1911" s="43">
        <v>109.52901909732944</v>
      </c>
      <c r="E1911" s="43">
        <v>110.1219286064522</v>
      </c>
      <c r="F1911" s="43">
        <v>110.55585107238338</v>
      </c>
      <c r="G1911" s="43">
        <v>110.84777931618652</v>
      </c>
      <c r="H1911" s="43">
        <v>111.01423549047246</v>
      </c>
      <c r="I1911" s="43">
        <v>111.0706901704082</v>
      </c>
    </row>
    <row r="1912" spans="1:9">
      <c r="A1912" s="19">
        <v>550.6</v>
      </c>
      <c r="B1912" s="43">
        <v>107.82081064197629</v>
      </c>
      <c r="C1912" s="43">
        <v>108.7791846676235</v>
      </c>
      <c r="D1912" s="43">
        <v>109.54786383588544</v>
      </c>
      <c r="E1912" s="43">
        <v>110.14111976261086</v>
      </c>
      <c r="F1912" s="43">
        <v>110.57538506927611</v>
      </c>
      <c r="G1912" s="43">
        <v>110.86764557849389</v>
      </c>
      <c r="H1912" s="43">
        <v>111.03441861481846</v>
      </c>
      <c r="I1912" s="43">
        <v>111.09117164680231</v>
      </c>
    </row>
    <row r="1913" spans="1:9">
      <c r="A1913" s="19">
        <v>550.70000000000005</v>
      </c>
      <c r="B1913" s="43">
        <v>107.83899211190098</v>
      </c>
      <c r="C1913" s="43">
        <v>108.79768842010057</v>
      </c>
      <c r="D1913" s="43">
        <v>109.56670797063651</v>
      </c>
      <c r="E1913" s="43">
        <v>110.160310252241</v>
      </c>
      <c r="F1913" s="43">
        <v>110.59491835703074</v>
      </c>
      <c r="G1913" s="43">
        <v>110.88751110757846</v>
      </c>
      <c r="H1913" s="43">
        <v>111.05460099822568</v>
      </c>
      <c r="I1913" s="43">
        <v>111.11165238856597</v>
      </c>
    </row>
    <row r="1914" spans="1:9">
      <c r="A1914" s="19">
        <v>550.79999999999995</v>
      </c>
      <c r="B1914" s="43">
        <v>107.85717316255568</v>
      </c>
      <c r="C1914" s="43">
        <v>108.81619165204924</v>
      </c>
      <c r="D1914" s="43">
        <v>109.58555150175332</v>
      </c>
      <c r="E1914" s="43">
        <v>110.17950007550425</v>
      </c>
      <c r="F1914" s="43">
        <v>110.61445093579775</v>
      </c>
      <c r="G1914" s="43">
        <v>110.90737590360126</v>
      </c>
      <c r="H1914" s="43">
        <v>111.07478264083625</v>
      </c>
      <c r="I1914" s="43">
        <v>111.13213239575944</v>
      </c>
    </row>
    <row r="1915" spans="1:9">
      <c r="A1915" s="19">
        <v>550.9</v>
      </c>
      <c r="B1915" s="43">
        <v>107.87535379426606</v>
      </c>
      <c r="C1915" s="43">
        <v>108.83469436372758</v>
      </c>
      <c r="D1915" s="43">
        <v>109.60439442955121</v>
      </c>
      <c r="E1915" s="43">
        <v>110.19868923267313</v>
      </c>
      <c r="F1915" s="43">
        <v>110.63398280579369</v>
      </c>
      <c r="G1915" s="43">
        <v>110.92723996673433</v>
      </c>
      <c r="H1915" s="43">
        <v>111.0949635427566</v>
      </c>
      <c r="I1915" s="43">
        <v>111.15261166849945</v>
      </c>
    </row>
    <row r="1916" spans="1:9">
      <c r="A1916" s="19">
        <v>551</v>
      </c>
      <c r="B1916" s="43">
        <v>107.89353400729436</v>
      </c>
      <c r="C1916" s="43">
        <v>108.85319655547681</v>
      </c>
      <c r="D1916" s="43">
        <v>109.62323675427501</v>
      </c>
      <c r="E1916" s="43">
        <v>110.21787772398585</v>
      </c>
      <c r="F1916" s="43">
        <v>110.65351396724745</v>
      </c>
      <c r="G1916" s="43">
        <v>110.94710329713712</v>
      </c>
      <c r="H1916" s="43">
        <v>111.11514370413434</v>
      </c>
      <c r="I1916" s="43">
        <v>111.17309020685002</v>
      </c>
    </row>
    <row r="1917" spans="1:9">
      <c r="A1917" s="19">
        <v>551.1</v>
      </c>
      <c r="B1917" s="43">
        <v>107.91171380184434</v>
      </c>
      <c r="C1917" s="43">
        <v>108.87169822744292</v>
      </c>
      <c r="D1917" s="43">
        <v>109.64207847616947</v>
      </c>
      <c r="E1917" s="43">
        <v>110.23706554963019</v>
      </c>
      <c r="F1917" s="43">
        <v>110.67304442032039</v>
      </c>
      <c r="G1917" s="43">
        <v>110.9669658949646</v>
      </c>
      <c r="H1917" s="43">
        <v>111.13532312506567</v>
      </c>
      <c r="I1917" s="43">
        <v>111.19356801091362</v>
      </c>
    </row>
    <row r="1918" spans="1:9">
      <c r="A1918" s="19">
        <v>551.20000000000005</v>
      </c>
      <c r="B1918" s="43">
        <v>107.92989317820283</v>
      </c>
      <c r="C1918" s="43">
        <v>108.89019937994851</v>
      </c>
      <c r="D1918" s="43">
        <v>109.66091959545167</v>
      </c>
      <c r="E1918" s="43">
        <v>110.25625270987436</v>
      </c>
      <c r="F1918" s="43">
        <v>110.69257416521953</v>
      </c>
      <c r="G1918" s="43">
        <v>110.98682776039149</v>
      </c>
      <c r="H1918" s="43">
        <v>111.15550180570924</v>
      </c>
      <c r="I1918" s="43">
        <v>111.21404508077254</v>
      </c>
    </row>
    <row r="1919" spans="1:9">
      <c r="A1919" s="19">
        <v>551.29999999999995</v>
      </c>
      <c r="B1919" s="43">
        <v>107.94807213660047</v>
      </c>
      <c r="C1919" s="43">
        <v>108.90870001322943</v>
      </c>
      <c r="D1919" s="43">
        <v>109.67976011241856</v>
      </c>
      <c r="E1919" s="43">
        <v>110.27543920490479</v>
      </c>
      <c r="F1919" s="43">
        <v>110.71210320214178</v>
      </c>
      <c r="G1919" s="43">
        <v>111.00668889357976</v>
      </c>
      <c r="H1919" s="43">
        <v>111.17567974615238</v>
      </c>
      <c r="I1919" s="43">
        <v>111.23452141650375</v>
      </c>
    </row>
    <row r="1920" spans="1:9">
      <c r="A1920" s="19">
        <v>551.4</v>
      </c>
      <c r="B1920" s="43">
        <v>107.96625067733282</v>
      </c>
      <c r="C1920" s="43">
        <v>108.92720012759614</v>
      </c>
      <c r="D1920" s="43">
        <v>109.69860002731909</v>
      </c>
      <c r="E1920" s="43">
        <v>110.29462503500508</v>
      </c>
      <c r="F1920" s="43">
        <v>110.73163153130182</v>
      </c>
      <c r="G1920" s="43">
        <v>111.02654929468585</v>
      </c>
      <c r="H1920" s="43">
        <v>111.19585694655115</v>
      </c>
      <c r="I1920" s="43">
        <v>111.25499701820343</v>
      </c>
    </row>
    <row r="1921" spans="1:9">
      <c r="A1921" s="19">
        <v>551.5</v>
      </c>
      <c r="B1921" s="43">
        <v>107.9844288006031</v>
      </c>
      <c r="C1921" s="43">
        <v>108.94569972323049</v>
      </c>
      <c r="D1921" s="43">
        <v>109.71743934034237</v>
      </c>
      <c r="E1921" s="43">
        <v>110.31381020034098</v>
      </c>
      <c r="F1921" s="43">
        <v>110.75115915285701</v>
      </c>
      <c r="G1921" s="43">
        <v>111.04640896387252</v>
      </c>
      <c r="H1921" s="43">
        <v>111.21603340701165</v>
      </c>
      <c r="I1921" s="43">
        <v>111.27547188594914</v>
      </c>
    </row>
    <row r="1922" spans="1:9">
      <c r="A1922" s="19">
        <v>551.6</v>
      </c>
      <c r="B1922" s="43">
        <v>108.00260650671987</v>
      </c>
      <c r="C1922" s="43">
        <v>108.96419880046133</v>
      </c>
      <c r="D1922" s="43">
        <v>109.73627805182619</v>
      </c>
      <c r="E1922" s="43">
        <v>110.33299470119613</v>
      </c>
      <c r="F1922" s="43">
        <v>110.77068606706982</v>
      </c>
      <c r="G1922" s="43">
        <v>111.06626790132168</v>
      </c>
      <c r="H1922" s="43">
        <v>111.2362091276834</v>
      </c>
      <c r="I1922" s="43">
        <v>111.29594601984309</v>
      </c>
    </row>
    <row r="1923" spans="1:9">
      <c r="A1923" s="19">
        <v>551.70000000000005</v>
      </c>
      <c r="B1923" s="43">
        <v>108.02078379586771</v>
      </c>
      <c r="C1923" s="43">
        <v>108.98269735950058</v>
      </c>
      <c r="D1923" s="43">
        <v>109.75511616194859</v>
      </c>
      <c r="E1923" s="43">
        <v>110.35217853776484</v>
      </c>
      <c r="F1923" s="43">
        <v>110.79021227407497</v>
      </c>
      <c r="G1923" s="43">
        <v>111.08612610716852</v>
      </c>
      <c r="H1923" s="43">
        <v>111.25638410866546</v>
      </c>
      <c r="I1923" s="43">
        <v>111.3164194199536</v>
      </c>
    </row>
    <row r="1924" spans="1:9">
      <c r="A1924" s="19">
        <v>551.79999999999995</v>
      </c>
      <c r="B1924" s="43">
        <v>108.03896066835523</v>
      </c>
      <c r="C1924" s="43">
        <v>109.00119540062499</v>
      </c>
      <c r="D1924" s="43">
        <v>109.77395367097827</v>
      </c>
      <c r="E1924" s="43">
        <v>110.3713617102766</v>
      </c>
      <c r="F1924" s="43">
        <v>110.80973777410003</v>
      </c>
      <c r="G1924" s="43">
        <v>111.10598358157614</v>
      </c>
      <c r="H1924" s="43">
        <v>111.27655835008659</v>
      </c>
      <c r="I1924" s="43">
        <v>111.3368920863837</v>
      </c>
    </row>
    <row r="1925" spans="1:9">
      <c r="A1925" s="19">
        <v>551.9</v>
      </c>
      <c r="B1925" s="43">
        <v>108.0571371244146</v>
      </c>
      <c r="C1925" s="43">
        <v>109.01969292408285</v>
      </c>
      <c r="D1925" s="43">
        <v>109.79279057919888</v>
      </c>
      <c r="E1925" s="43">
        <v>110.39054421896731</v>
      </c>
      <c r="F1925" s="43">
        <v>110.82926256735215</v>
      </c>
      <c r="G1925" s="43">
        <v>111.12584032473859</v>
      </c>
      <c r="H1925" s="43">
        <v>111.29673185208713</v>
      </c>
      <c r="I1925" s="43">
        <v>111.35736401921358</v>
      </c>
    </row>
    <row r="1926" spans="1:9">
      <c r="A1926" s="19">
        <v>552</v>
      </c>
      <c r="B1926" s="43">
        <v>108.0753131643043</v>
      </c>
      <c r="C1926" s="43">
        <v>109.03818993015807</v>
      </c>
      <c r="D1926" s="43">
        <v>109.81162688682258</v>
      </c>
      <c r="E1926" s="43">
        <v>110.40972606407195</v>
      </c>
      <c r="F1926" s="43">
        <v>110.84878665400299</v>
      </c>
      <c r="G1926" s="43">
        <v>111.14569633678326</v>
      </c>
      <c r="H1926" s="43">
        <v>111.31690461477882</v>
      </c>
      <c r="I1926" s="43">
        <v>111.37783521852177</v>
      </c>
    </row>
    <row r="1927" spans="1:9">
      <c r="A1927" s="19">
        <v>552.1</v>
      </c>
      <c r="B1927" s="43">
        <v>108.09348878828513</v>
      </c>
      <c r="C1927" s="43">
        <v>109.05668641910694</v>
      </c>
      <c r="D1927" s="43">
        <v>109.83046259411697</v>
      </c>
      <c r="E1927" s="43">
        <v>110.42890724582048</v>
      </c>
      <c r="F1927" s="43">
        <v>110.86831003427713</v>
      </c>
      <c r="G1927" s="43">
        <v>111.16555161791121</v>
      </c>
      <c r="H1927" s="43">
        <v>111.33707663829972</v>
      </c>
      <c r="I1927" s="43">
        <v>111.39830568441528</v>
      </c>
    </row>
    <row r="1928" spans="1:9">
      <c r="A1928" s="19">
        <v>552.20000000000005</v>
      </c>
      <c r="B1928" s="43">
        <v>108.11166399652984</v>
      </c>
      <c r="C1928" s="43">
        <v>109.07518239113307</v>
      </c>
      <c r="D1928" s="43">
        <v>109.84929770128991</v>
      </c>
      <c r="E1928" s="43">
        <v>110.44808776439311</v>
      </c>
      <c r="F1928" s="43">
        <v>110.88783270833426</v>
      </c>
      <c r="G1928" s="43">
        <v>111.18540616823384</v>
      </c>
      <c r="H1928" s="43">
        <v>111.35724792275366</v>
      </c>
      <c r="I1928" s="43">
        <v>111.41877541694777</v>
      </c>
    </row>
    <row r="1929" spans="1:9">
      <c r="A1929" s="19">
        <v>552.29999999999995</v>
      </c>
      <c r="B1929" s="43">
        <v>108.12983878942026</v>
      </c>
      <c r="C1929" s="43">
        <v>109.0936778465765</v>
      </c>
      <c r="D1929" s="43">
        <v>109.86813220866313</v>
      </c>
      <c r="E1929" s="43">
        <v>110.46726762008183</v>
      </c>
      <c r="F1929" s="43">
        <v>110.907354676415</v>
      </c>
      <c r="G1929" s="43">
        <v>111.2052599879699</v>
      </c>
      <c r="H1929" s="43">
        <v>111.37741846829476</v>
      </c>
      <c r="I1929" s="43">
        <v>111.43924441623957</v>
      </c>
    </row>
    <row r="1930" spans="1:9">
      <c r="A1930" s="19">
        <v>552.4</v>
      </c>
      <c r="B1930" s="43">
        <v>108.14801316709287</v>
      </c>
      <c r="C1930" s="43">
        <v>109.11217278561514</v>
      </c>
      <c r="D1930" s="43">
        <v>109.88696611641495</v>
      </c>
      <c r="E1930" s="43">
        <v>110.48644681307081</v>
      </c>
      <c r="F1930" s="43">
        <v>110.92687593869184</v>
      </c>
      <c r="G1930" s="43">
        <v>111.22511307722934</v>
      </c>
      <c r="H1930" s="43">
        <v>111.39758827502502</v>
      </c>
      <c r="I1930" s="43">
        <v>111.45971268236309</v>
      </c>
    </row>
    <row r="1931" spans="1:9">
      <c r="A1931" s="19">
        <v>552.5</v>
      </c>
      <c r="B1931" s="43">
        <v>108.16618712992121</v>
      </c>
      <c r="C1931" s="43">
        <v>109.13066720862116</v>
      </c>
      <c r="D1931" s="43">
        <v>109.90579942486659</v>
      </c>
      <c r="E1931" s="43">
        <v>110.50562534363129</v>
      </c>
      <c r="F1931" s="43">
        <v>110.94639649538371</v>
      </c>
      <c r="G1931" s="43">
        <v>111.24496543624085</v>
      </c>
      <c r="H1931" s="43">
        <v>111.41775734308601</v>
      </c>
      <c r="I1931" s="43">
        <v>111.48018021541699</v>
      </c>
    </row>
    <row r="1932" spans="1:9">
      <c r="A1932" s="19">
        <v>552.6</v>
      </c>
      <c r="B1932" s="43">
        <v>108.18436067799877</v>
      </c>
      <c r="C1932" s="43">
        <v>109.14916111569724</v>
      </c>
      <c r="D1932" s="43">
        <v>109.92463213417508</v>
      </c>
      <c r="E1932" s="43">
        <v>110.52480321192942</v>
      </c>
      <c r="F1932" s="43">
        <v>110.96591634665117</v>
      </c>
      <c r="G1932" s="43">
        <v>111.26481706508702</v>
      </c>
      <c r="H1932" s="43">
        <v>111.43792567258834</v>
      </c>
      <c r="I1932" s="43">
        <v>111.50064701546671</v>
      </c>
    </row>
    <row r="1933" spans="1:9">
      <c r="A1933" s="19">
        <v>552.70000000000005</v>
      </c>
      <c r="B1933" s="43">
        <v>108.20253381172046</v>
      </c>
      <c r="C1933" s="43">
        <v>109.16765450723327</v>
      </c>
      <c r="D1933" s="43">
        <v>109.94346424467759</v>
      </c>
      <c r="E1933" s="43">
        <v>110.54398041825459</v>
      </c>
      <c r="F1933" s="43">
        <v>110.9854354927341</v>
      </c>
      <c r="G1933" s="43">
        <v>111.28466796400122</v>
      </c>
      <c r="H1933" s="43">
        <v>111.4580932636689</v>
      </c>
      <c r="I1933" s="43">
        <v>111.52111308262755</v>
      </c>
    </row>
    <row r="1934" spans="1:9">
      <c r="A1934" s="19">
        <v>552.79999999999995</v>
      </c>
      <c r="B1934" s="43">
        <v>108.22070653127687</v>
      </c>
      <c r="C1934" s="43">
        <v>109.18614738343754</v>
      </c>
      <c r="D1934" s="43">
        <v>109.96229575657901</v>
      </c>
      <c r="E1934" s="43">
        <v>110.56315696280069</v>
      </c>
      <c r="F1934" s="43">
        <v>111.00495393382073</v>
      </c>
      <c r="G1934" s="43">
        <v>111.30451813311208</v>
      </c>
      <c r="H1934" s="43">
        <v>111.47826011646194</v>
      </c>
      <c r="I1934" s="43">
        <v>111.54157841696099</v>
      </c>
    </row>
    <row r="1935" spans="1:9">
      <c r="A1935" s="19">
        <v>552.9</v>
      </c>
      <c r="B1935" s="43">
        <v>108.23887883698242</v>
      </c>
      <c r="C1935" s="43">
        <v>109.20463974460245</v>
      </c>
      <c r="D1935" s="43">
        <v>109.9811266701692</v>
      </c>
      <c r="E1935" s="43">
        <v>110.58233284582323</v>
      </c>
      <c r="F1935" s="43">
        <v>111.02447167010416</v>
      </c>
      <c r="G1935" s="43">
        <v>111.32436757261019</v>
      </c>
      <c r="H1935" s="43">
        <v>111.49842623108319</v>
      </c>
      <c r="I1935" s="43">
        <v>111.56204301858148</v>
      </c>
    </row>
    <row r="1936" spans="1:9">
      <c r="A1936" s="19">
        <v>553</v>
      </c>
      <c r="B1936" s="43">
        <v>108.2570507289073</v>
      </c>
      <c r="C1936" s="43">
        <v>109.2231315908673</v>
      </c>
      <c r="D1936" s="43">
        <v>109.99995698558797</v>
      </c>
      <c r="E1936" s="43">
        <v>110.60150806747333</v>
      </c>
      <c r="F1936" s="43">
        <v>111.04398870173361</v>
      </c>
      <c r="G1936" s="43">
        <v>111.34421628258724</v>
      </c>
      <c r="H1936" s="43">
        <v>111.51859160764371</v>
      </c>
      <c r="I1936" s="43">
        <v>111.58250688753841</v>
      </c>
    </row>
    <row r="1937" spans="1:9">
      <c r="A1937" s="19">
        <v>553.1</v>
      </c>
      <c r="B1937" s="43">
        <v>108.27522220748699</v>
      </c>
      <c r="C1937" s="43">
        <v>109.24162292261363</v>
      </c>
      <c r="D1937" s="43">
        <v>110.01878670319363</v>
      </c>
      <c r="E1937" s="43">
        <v>110.62068262805161</v>
      </c>
      <c r="F1937" s="43">
        <v>111.06350502898263</v>
      </c>
      <c r="G1937" s="43">
        <v>111.36406426329145</v>
      </c>
      <c r="H1937" s="43">
        <v>111.53875624628256</v>
      </c>
      <c r="I1937" s="43">
        <v>111.60297002395387</v>
      </c>
    </row>
    <row r="1938" spans="1:9">
      <c r="A1938" s="19">
        <v>553.20000000000005</v>
      </c>
      <c r="B1938" s="43">
        <v>108.29339327295619</v>
      </c>
      <c r="C1938" s="43">
        <v>109.26011374009158</v>
      </c>
      <c r="D1938" s="43">
        <v>110.03761582323148</v>
      </c>
      <c r="E1938" s="43">
        <v>110.63985652779783</v>
      </c>
      <c r="F1938" s="43">
        <v>111.08302065203816</v>
      </c>
      <c r="G1938" s="43">
        <v>111.38391151485075</v>
      </c>
      <c r="H1938" s="43">
        <v>111.55892014715062</v>
      </c>
      <c r="I1938" s="43">
        <v>111.62343242790013</v>
      </c>
    </row>
    <row r="1939" spans="1:9">
      <c r="A1939" s="19">
        <v>553.29999999999995</v>
      </c>
      <c r="B1939" s="43">
        <v>108.3115639255019</v>
      </c>
      <c r="C1939" s="43">
        <v>109.27860404353908</v>
      </c>
      <c r="D1939" s="43">
        <v>110.05644434592929</v>
      </c>
      <c r="E1939" s="43">
        <v>110.65902976690481</v>
      </c>
      <c r="F1939" s="43">
        <v>111.10253557107546</v>
      </c>
      <c r="G1939" s="43">
        <v>111.40375803744587</v>
      </c>
      <c r="H1939" s="43">
        <v>111.57908331035134</v>
      </c>
      <c r="I1939" s="43">
        <v>111.64389409948612</v>
      </c>
    </row>
    <row r="1940" spans="1:9">
      <c r="A1940" s="19">
        <v>553.4</v>
      </c>
      <c r="B1940" s="43">
        <v>108.3297341653867</v>
      </c>
      <c r="C1940" s="43">
        <v>109.2970938331805</v>
      </c>
      <c r="D1940" s="43">
        <v>110.07527227149373</v>
      </c>
      <c r="E1940" s="43">
        <v>110.67820234559727</v>
      </c>
      <c r="F1940" s="43">
        <v>111.12204978628324</v>
      </c>
      <c r="G1940" s="43">
        <v>111.42360383121232</v>
      </c>
      <c r="H1940" s="43">
        <v>111.59924573599133</v>
      </c>
      <c r="I1940" s="43">
        <v>111.66435503877446</v>
      </c>
    </row>
    <row r="1941" spans="1:9">
      <c r="A1941" s="19">
        <v>553.5</v>
      </c>
      <c r="B1941" s="43">
        <v>108.34790399287249</v>
      </c>
      <c r="C1941" s="43">
        <v>109.31558310931064</v>
      </c>
      <c r="D1941" s="43">
        <v>110.09409960023152</v>
      </c>
      <c r="E1941" s="43">
        <v>110.6973742641336</v>
      </c>
      <c r="F1941" s="43">
        <v>111.14156329788889</v>
      </c>
      <c r="G1941" s="43">
        <v>111.44344889632993</v>
      </c>
      <c r="H1941" s="43">
        <v>111.61940742423909</v>
      </c>
      <c r="I1941" s="43">
        <v>111.6848152458638</v>
      </c>
    </row>
    <row r="1942" spans="1:9">
      <c r="A1942" s="19">
        <v>553.6</v>
      </c>
      <c r="B1942" s="43">
        <v>108.36607340823426</v>
      </c>
      <c r="C1942" s="43">
        <v>109.33407187218398</v>
      </c>
      <c r="D1942" s="43">
        <v>110.11292633237579</v>
      </c>
      <c r="E1942" s="43">
        <v>110.71654552270041</v>
      </c>
      <c r="F1942" s="43">
        <v>111.16107610606892</v>
      </c>
      <c r="G1942" s="43">
        <v>111.46329323296487</v>
      </c>
      <c r="H1942" s="43">
        <v>111.63956837519825</v>
      </c>
      <c r="I1942" s="43">
        <v>111.70527472084285</v>
      </c>
    </row>
    <row r="1943" spans="1:9">
      <c r="A1943" s="19">
        <v>553.70000000000005</v>
      </c>
      <c r="B1943" s="43">
        <v>108.38424241166231</v>
      </c>
      <c r="C1943" s="43">
        <v>109.35256012201663</v>
      </c>
      <c r="D1943" s="43">
        <v>110.13175246812864</v>
      </c>
      <c r="E1943" s="43">
        <v>110.73571612152298</v>
      </c>
      <c r="F1943" s="43">
        <v>111.18058821102025</v>
      </c>
      <c r="G1943" s="43">
        <v>111.48313684125486</v>
      </c>
      <c r="H1943" s="43">
        <v>111.6597285889614</v>
      </c>
      <c r="I1943" s="43">
        <v>111.72573346378829</v>
      </c>
    </row>
    <row r="1944" spans="1:9">
      <c r="A1944" s="19">
        <v>553.79999999999995</v>
      </c>
      <c r="B1944" s="43">
        <v>108.40241100346947</v>
      </c>
      <c r="C1944" s="43">
        <v>109.37104785915434</v>
      </c>
      <c r="D1944" s="43">
        <v>110.1505780078358</v>
      </c>
      <c r="E1944" s="43">
        <v>110.75488606089468</v>
      </c>
      <c r="F1944" s="43">
        <v>111.20009961295676</v>
      </c>
      <c r="G1944" s="43">
        <v>111.50297972140396</v>
      </c>
      <c r="H1944" s="43">
        <v>111.6798880657324</v>
      </c>
      <c r="I1944" s="43">
        <v>111.74619147480965</v>
      </c>
    </row>
    <row r="1945" spans="1:9">
      <c r="A1945" s="19">
        <v>553.9</v>
      </c>
      <c r="B1945" s="43">
        <v>108.42057918389037</v>
      </c>
      <c r="C1945" s="43">
        <v>109.38953508377941</v>
      </c>
      <c r="D1945" s="43">
        <v>110.16940295164724</v>
      </c>
      <c r="E1945" s="43">
        <v>110.77405534096627</v>
      </c>
      <c r="F1945" s="43">
        <v>111.21961031207286</v>
      </c>
      <c r="G1945" s="43">
        <v>111.52282187354766</v>
      </c>
      <c r="H1945" s="43">
        <v>111.70004680557352</v>
      </c>
      <c r="I1945" s="43">
        <v>111.76664875398259</v>
      </c>
    </row>
    <row r="1946" spans="1:9">
      <c r="A1946" s="19">
        <v>554</v>
      </c>
      <c r="B1946" s="43">
        <v>108.43874695314776</v>
      </c>
      <c r="C1946" s="43">
        <v>109.40802179614187</v>
      </c>
      <c r="D1946" s="43">
        <v>110.18822729985075</v>
      </c>
      <c r="E1946" s="43">
        <v>110.79322396202048</v>
      </c>
      <c r="F1946" s="43">
        <v>111.23912030855291</v>
      </c>
      <c r="G1946" s="43">
        <v>111.54266329785651</v>
      </c>
      <c r="H1946" s="43">
        <v>111.72020480863469</v>
      </c>
      <c r="I1946" s="43">
        <v>111.78710530138912</v>
      </c>
    </row>
    <row r="1947" spans="1:9">
      <c r="A1947" s="19">
        <v>554.1</v>
      </c>
      <c r="B1947" s="43">
        <v>108.45691431152346</v>
      </c>
      <c r="C1947" s="43">
        <v>109.42650799655632</v>
      </c>
      <c r="D1947" s="43">
        <v>110.20705105271523</v>
      </c>
      <c r="E1947" s="43">
        <v>110.8123919242347</v>
      </c>
      <c r="F1947" s="43">
        <v>111.25862960261864</v>
      </c>
      <c r="G1947" s="43">
        <v>111.56250399449596</v>
      </c>
      <c r="H1947" s="43">
        <v>111.74036207504324</v>
      </c>
      <c r="I1947" s="43">
        <v>111.80756111713453</v>
      </c>
    </row>
    <row r="1948" spans="1:9">
      <c r="A1948" s="19">
        <v>554.20000000000005</v>
      </c>
      <c r="B1948" s="43">
        <v>108.47508125926385</v>
      </c>
      <c r="C1948" s="43">
        <v>109.44499368525464</v>
      </c>
      <c r="D1948" s="43">
        <v>110.22587421047857</v>
      </c>
      <c r="E1948" s="43">
        <v>110.83155922789521</v>
      </c>
      <c r="F1948" s="43">
        <v>111.27813819444188</v>
      </c>
      <c r="G1948" s="43">
        <v>111.5823439636419</v>
      </c>
      <c r="H1948" s="43">
        <v>111.76051860492714</v>
      </c>
      <c r="I1948" s="43">
        <v>111.8280162012999</v>
      </c>
    </row>
    <row r="1949" spans="1:9">
      <c r="A1949" s="19">
        <v>554.29999999999995</v>
      </c>
      <c r="B1949" s="43">
        <v>108.49324779658517</v>
      </c>
      <c r="C1949" s="43">
        <v>109.46347886245135</v>
      </c>
      <c r="D1949" s="43">
        <v>110.24469677335154</v>
      </c>
      <c r="E1949" s="43">
        <v>110.85072587316495</v>
      </c>
      <c r="F1949" s="43">
        <v>111.29764608423145</v>
      </c>
      <c r="G1949" s="43">
        <v>111.60218320544101</v>
      </c>
      <c r="H1949" s="43">
        <v>111.78067439841305</v>
      </c>
      <c r="I1949" s="43">
        <v>111.84847055395883</v>
      </c>
    </row>
    <row r="1950" spans="1:9">
      <c r="A1950" s="19">
        <v>554.4</v>
      </c>
      <c r="B1950" s="43">
        <v>108.51141392377318</v>
      </c>
      <c r="C1950" s="43">
        <v>109.4819635284849</v>
      </c>
      <c r="D1950" s="43">
        <v>110.26351874162231</v>
      </c>
      <c r="E1950" s="43">
        <v>110.86989186032721</v>
      </c>
      <c r="F1950" s="43">
        <v>111.31715327219652</v>
      </c>
      <c r="G1950" s="43">
        <v>111.62202172005527</v>
      </c>
      <c r="H1950" s="43">
        <v>111.80082945561387</v>
      </c>
      <c r="I1950" s="43">
        <v>111.86892417522856</v>
      </c>
    </row>
    <row r="1951" spans="1:9">
      <c r="A1951" s="19">
        <v>554.5</v>
      </c>
      <c r="B1951" s="43">
        <v>108.52957964107705</v>
      </c>
      <c r="C1951" s="43">
        <v>109.50044768357577</v>
      </c>
      <c r="D1951" s="43">
        <v>110.28234011554443</v>
      </c>
      <c r="E1951" s="43">
        <v>110.88905718958944</v>
      </c>
      <c r="F1951" s="43">
        <v>111.33665975853143</v>
      </c>
      <c r="G1951" s="43">
        <v>111.64185950766731</v>
      </c>
      <c r="H1951" s="43">
        <v>111.82098377668436</v>
      </c>
      <c r="I1951" s="43">
        <v>111.88937706518865</v>
      </c>
    </row>
    <row r="1952" spans="1:9">
      <c r="A1952" s="19">
        <v>554.6</v>
      </c>
      <c r="B1952" s="43">
        <v>108.54774494874738</v>
      </c>
      <c r="C1952" s="43">
        <v>109.51893132795274</v>
      </c>
      <c r="D1952" s="43">
        <v>110.30116089534079</v>
      </c>
      <c r="E1952" s="43">
        <v>110.90822186117174</v>
      </c>
      <c r="F1952" s="43">
        <v>111.35616554342153</v>
      </c>
      <c r="G1952" s="43">
        <v>111.66169656842783</v>
      </c>
      <c r="H1952" s="43">
        <v>111.84113736171571</v>
      </c>
      <c r="I1952" s="43">
        <v>111.90982922391402</v>
      </c>
    </row>
    <row r="1953" spans="1:9">
      <c r="A1953" s="19">
        <v>554.70000000000005</v>
      </c>
      <c r="B1953" s="43">
        <v>108.56590984700497</v>
      </c>
      <c r="C1953" s="43">
        <v>109.53741446189352</v>
      </c>
      <c r="D1953" s="43">
        <v>110.31998108127385</v>
      </c>
      <c r="E1953" s="43">
        <v>110.92738587529394</v>
      </c>
      <c r="F1953" s="43">
        <v>111.37567062707748</v>
      </c>
      <c r="G1953" s="43">
        <v>111.68153290248688</v>
      </c>
      <c r="H1953" s="43">
        <v>111.86129021086606</v>
      </c>
      <c r="I1953" s="43">
        <v>111.93028065150517</v>
      </c>
    </row>
    <row r="1954" spans="1:9">
      <c r="A1954" s="19">
        <v>554.79999999999995</v>
      </c>
      <c r="B1954" s="43">
        <v>108.58407433617077</v>
      </c>
      <c r="C1954" s="43">
        <v>109.5558970857152</v>
      </c>
      <c r="D1954" s="43">
        <v>110.33880067361846</v>
      </c>
      <c r="E1954" s="43">
        <v>110.94654923224064</v>
      </c>
      <c r="F1954" s="43">
        <v>111.39517500971925</v>
      </c>
      <c r="G1954" s="43">
        <v>111.70136851005807</v>
      </c>
      <c r="H1954" s="43">
        <v>111.88144232427499</v>
      </c>
      <c r="I1954" s="43">
        <v>111.95073134806418</v>
      </c>
    </row>
    <row r="1955" spans="1:9">
      <c r="A1955" s="19">
        <v>554.9</v>
      </c>
      <c r="B1955" s="43">
        <v>108.6022384163509</v>
      </c>
      <c r="C1955" s="43">
        <v>109.57437919953028</v>
      </c>
      <c r="D1955" s="43">
        <v>110.35761967252023</v>
      </c>
      <c r="E1955" s="43">
        <v>110.9657119321266</v>
      </c>
      <c r="F1955" s="43">
        <v>111.41467869146229</v>
      </c>
      <c r="G1955" s="43">
        <v>111.72120339122804</v>
      </c>
      <c r="H1955" s="43">
        <v>111.90159370199419</v>
      </c>
      <c r="I1955" s="43">
        <v>111.97118131363507</v>
      </c>
    </row>
    <row r="1956" spans="1:9">
      <c r="A1956" s="19">
        <v>555</v>
      </c>
      <c r="B1956" s="43">
        <v>108.6204020879334</v>
      </c>
      <c r="C1956" s="43">
        <v>109.59286080371697</v>
      </c>
      <c r="D1956" s="43">
        <v>110.37643807834195</v>
      </c>
      <c r="E1956" s="43">
        <v>110.98487397528251</v>
      </c>
      <c r="F1956" s="43">
        <v>111.43418167259159</v>
      </c>
      <c r="G1956" s="43">
        <v>111.74103754623397</v>
      </c>
      <c r="H1956" s="43">
        <v>111.92174434422878</v>
      </c>
      <c r="I1956" s="43">
        <v>111.99163054835583</v>
      </c>
    </row>
    <row r="1957" spans="1:9">
      <c r="A1957" s="19">
        <v>555.1</v>
      </c>
      <c r="B1957" s="43">
        <v>108.63856535113837</v>
      </c>
      <c r="C1957" s="43">
        <v>109.61134189850802</v>
      </c>
      <c r="D1957" s="43">
        <v>110.39525589128243</v>
      </c>
      <c r="E1957" s="43">
        <v>111.00403536191735</v>
      </c>
      <c r="F1957" s="43">
        <v>111.45368395329263</v>
      </c>
      <c r="G1957" s="43">
        <v>111.76087097521338</v>
      </c>
      <c r="H1957" s="43">
        <v>111.94189425108911</v>
      </c>
      <c r="I1957" s="43">
        <v>112.01207905229668</v>
      </c>
    </row>
    <row r="1958" spans="1:9">
      <c r="A1958" s="19">
        <v>555.20000000000005</v>
      </c>
      <c r="B1958" s="43">
        <v>108.65672820622581</v>
      </c>
      <c r="C1958" s="43">
        <v>109.62982248417958</v>
      </c>
      <c r="D1958" s="43">
        <v>110.41407311163917</v>
      </c>
      <c r="E1958" s="43">
        <v>111.02319609223528</v>
      </c>
      <c r="F1958" s="43">
        <v>111.47318553376164</v>
      </c>
      <c r="G1958" s="43">
        <v>111.78070367833911</v>
      </c>
      <c r="H1958" s="43">
        <v>111.96204342269561</v>
      </c>
      <c r="I1958" s="43">
        <v>112.03252682556234</v>
      </c>
    </row>
    <row r="1959" spans="1:9">
      <c r="A1959" s="19">
        <v>555.29999999999995</v>
      </c>
      <c r="B1959" s="43">
        <v>108.6748906533264</v>
      </c>
      <c r="C1959" s="43">
        <v>109.64830256087052</v>
      </c>
      <c r="D1959" s="43">
        <v>110.43288973952539</v>
      </c>
      <c r="E1959" s="43">
        <v>111.04235616641483</v>
      </c>
      <c r="F1959" s="43">
        <v>111.49268641410697</v>
      </c>
      <c r="G1959" s="43">
        <v>111.80053565571077</v>
      </c>
      <c r="H1959" s="43">
        <v>111.98219185913831</v>
      </c>
      <c r="I1959" s="43">
        <v>112.05297386819385</v>
      </c>
    </row>
    <row r="1960" spans="1:9">
      <c r="A1960" s="19">
        <v>555.4</v>
      </c>
      <c r="B1960" s="43">
        <v>108.69305269284092</v>
      </c>
      <c r="C1960" s="43">
        <v>109.66678212897929</v>
      </c>
      <c r="D1960" s="43">
        <v>110.45170577535319</v>
      </c>
      <c r="E1960" s="43">
        <v>111.06151558480332</v>
      </c>
      <c r="F1960" s="43">
        <v>111.51218659465886</v>
      </c>
      <c r="G1960" s="43">
        <v>111.82036690759031</v>
      </c>
      <c r="H1960" s="43">
        <v>112.00233956061516</v>
      </c>
      <c r="I1960" s="43">
        <v>112.07342018033995</v>
      </c>
    </row>
    <row r="1961" spans="1:9">
      <c r="A1961" s="19">
        <v>555.5</v>
      </c>
      <c r="B1961" s="43">
        <v>108.71121432496255</v>
      </c>
      <c r="C1961" s="43">
        <v>109.68526118871276</v>
      </c>
      <c r="D1961" s="43">
        <v>110.47052121927328</v>
      </c>
      <c r="E1961" s="43">
        <v>111.08067434754426</v>
      </c>
      <c r="F1961" s="43">
        <v>111.53168607555151</v>
      </c>
      <c r="G1961" s="43">
        <v>111.84019743409689</v>
      </c>
      <c r="H1961" s="43">
        <v>112.02248652720635</v>
      </c>
      <c r="I1961" s="43">
        <v>112.09386576206046</v>
      </c>
    </row>
    <row r="1962" spans="1:9">
      <c r="A1962" s="19">
        <v>555.6</v>
      </c>
      <c r="B1962" s="43">
        <v>108.72937554989434</v>
      </c>
      <c r="C1962" s="43">
        <v>109.70373974027612</v>
      </c>
      <c r="D1962" s="43">
        <v>110.48933607152898</v>
      </c>
      <c r="E1962" s="43">
        <v>111.09983245485304</v>
      </c>
      <c r="F1962" s="43">
        <v>111.55118485696966</v>
      </c>
      <c r="G1962" s="43">
        <v>111.8600272353745</v>
      </c>
      <c r="H1962" s="43">
        <v>112.04263275904336</v>
      </c>
      <c r="I1962" s="43">
        <v>112.11431061345181</v>
      </c>
    </row>
    <row r="1963" spans="1:9">
      <c r="A1963" s="19">
        <v>555.70000000000005</v>
      </c>
      <c r="B1963" s="43">
        <v>108.7475363679832</v>
      </c>
      <c r="C1963" s="43">
        <v>109.7222177840344</v>
      </c>
      <c r="D1963" s="43">
        <v>110.50815033246565</v>
      </c>
      <c r="E1963" s="43">
        <v>111.11898990704719</v>
      </c>
      <c r="F1963" s="43">
        <v>111.570682939177</v>
      </c>
      <c r="G1963" s="43">
        <v>111.87985631163522</v>
      </c>
      <c r="H1963" s="43">
        <v>112.06277825629061</v>
      </c>
      <c r="I1963" s="43">
        <v>112.13475473460593</v>
      </c>
    </row>
    <row r="1964" spans="1:9">
      <c r="A1964" s="19">
        <v>555.79999999999995</v>
      </c>
      <c r="B1964" s="43">
        <v>108.76569677941063</v>
      </c>
      <c r="C1964" s="43">
        <v>109.74069532016514</v>
      </c>
      <c r="D1964" s="43">
        <v>110.52696400223485</v>
      </c>
      <c r="E1964" s="43">
        <v>111.13814670426058</v>
      </c>
      <c r="F1964" s="43">
        <v>111.59018032230915</v>
      </c>
      <c r="G1964" s="43">
        <v>111.89968466301411</v>
      </c>
      <c r="H1964" s="43">
        <v>112.08292301902421</v>
      </c>
      <c r="I1964" s="43">
        <v>112.15519812560936</v>
      </c>
    </row>
    <row r="1965" spans="1:9">
      <c r="A1965" s="19">
        <v>555.9</v>
      </c>
      <c r="B1965" s="43">
        <v>108.7838567843869</v>
      </c>
      <c r="C1965" s="43">
        <v>109.75917234889997</v>
      </c>
      <c r="D1965" s="43">
        <v>110.54577708109181</v>
      </c>
      <c r="E1965" s="43">
        <v>111.15730284674106</v>
      </c>
      <c r="F1965" s="43">
        <v>111.60967700657002</v>
      </c>
      <c r="G1965" s="43">
        <v>111.91951228965948</v>
      </c>
      <c r="H1965" s="43">
        <v>112.10306704739008</v>
      </c>
      <c r="I1965" s="43">
        <v>112.17564078654149</v>
      </c>
    </row>
    <row r="1966" spans="1:9">
      <c r="A1966" s="19">
        <v>556</v>
      </c>
      <c r="B1966" s="43">
        <v>108.80201638325579</v>
      </c>
      <c r="C1966" s="43">
        <v>109.77764887055429</v>
      </c>
      <c r="D1966" s="43">
        <v>110.56458956931684</v>
      </c>
      <c r="E1966" s="43">
        <v>111.17645833474728</v>
      </c>
      <c r="F1966" s="43">
        <v>111.62917299217295</v>
      </c>
      <c r="G1966" s="43">
        <v>111.93933919177869</v>
      </c>
      <c r="H1966" s="43">
        <v>112.12321034153274</v>
      </c>
      <c r="I1966" s="43">
        <v>112.1960827175092</v>
      </c>
    </row>
    <row r="1967" spans="1:9">
      <c r="A1967" s="19">
        <v>556.1</v>
      </c>
      <c r="B1967" s="43">
        <v>108.82017557620833</v>
      </c>
      <c r="C1967" s="43">
        <v>109.79612488538578</v>
      </c>
      <c r="D1967" s="43">
        <v>110.58340146715224</v>
      </c>
      <c r="E1967" s="43">
        <v>111.19561316848441</v>
      </c>
      <c r="F1967" s="43">
        <v>111.64866827933034</v>
      </c>
      <c r="G1967" s="43">
        <v>111.95916536950068</v>
      </c>
      <c r="H1967" s="43">
        <v>112.14335290157416</v>
      </c>
      <c r="I1967" s="43">
        <v>112.21652391859843</v>
      </c>
    </row>
    <row r="1968" spans="1:9">
      <c r="A1968" s="19">
        <v>556.20000000000005</v>
      </c>
      <c r="B1968" s="43">
        <v>108.83833436350696</v>
      </c>
      <c r="C1968" s="43">
        <v>109.81460039360866</v>
      </c>
      <c r="D1968" s="43">
        <v>110.6022127748239</v>
      </c>
      <c r="E1968" s="43">
        <v>111.21476734818023</v>
      </c>
      <c r="F1968" s="43">
        <v>111.6681628682183</v>
      </c>
      <c r="G1968" s="43">
        <v>111.97899082300452</v>
      </c>
      <c r="H1968" s="43">
        <v>112.16349472762454</v>
      </c>
      <c r="I1968" s="43">
        <v>112.23696438989751</v>
      </c>
    </row>
    <row r="1969" spans="1:9">
      <c r="A1969" s="19">
        <v>556.29999999999995</v>
      </c>
      <c r="B1969" s="43">
        <v>108.8564927453692</v>
      </c>
      <c r="C1969" s="43">
        <v>109.83307539549233</v>
      </c>
      <c r="D1969" s="43">
        <v>110.62102349260158</v>
      </c>
      <c r="E1969" s="43">
        <v>111.23392087407024</v>
      </c>
      <c r="F1969" s="43">
        <v>111.68765675902665</v>
      </c>
      <c r="G1969" s="43">
        <v>111.99881555243928</v>
      </c>
      <c r="H1969" s="43">
        <v>112.18363581982541</v>
      </c>
      <c r="I1969" s="43">
        <v>112.25740413149862</v>
      </c>
    </row>
    <row r="1970" spans="1:9">
      <c r="A1970" s="19">
        <v>556.4</v>
      </c>
      <c r="B1970" s="43">
        <v>108.87465072213988</v>
      </c>
      <c r="C1970" s="43">
        <v>109.85154989134566</v>
      </c>
      <c r="D1970" s="43">
        <v>110.63983362075453</v>
      </c>
      <c r="E1970" s="43">
        <v>111.25307374640724</v>
      </c>
      <c r="F1970" s="43">
        <v>111.70714995201055</v>
      </c>
      <c r="G1970" s="43">
        <v>112.01863955800934</v>
      </c>
      <c r="H1970" s="43">
        <v>112.2037761783163</v>
      </c>
      <c r="I1970" s="43">
        <v>112.27784314349611</v>
      </c>
    </row>
    <row r="1971" spans="1:9">
      <c r="A1971" s="19">
        <v>556.5</v>
      </c>
      <c r="B1971" s="43">
        <v>108.89280829394482</v>
      </c>
      <c r="C1971" s="43">
        <v>109.87002388132268</v>
      </c>
      <c r="D1971" s="43">
        <v>110.65864315945547</v>
      </c>
      <c r="E1971" s="43">
        <v>111.27222596533707</v>
      </c>
      <c r="F1971" s="43">
        <v>111.72664244728671</v>
      </c>
      <c r="G1971" s="43">
        <v>112.03846283983361</v>
      </c>
      <c r="H1971" s="43">
        <v>112.22391580320038</v>
      </c>
      <c r="I1971" s="43">
        <v>112.29828142596418</v>
      </c>
    </row>
    <row r="1972" spans="1:9">
      <c r="A1972" s="19">
        <v>556.6</v>
      </c>
      <c r="B1972" s="43">
        <v>108.91096546108201</v>
      </c>
      <c r="C1972" s="43">
        <v>109.88849736572044</v>
      </c>
      <c r="D1972" s="43">
        <v>110.67745210900318</v>
      </c>
      <c r="E1972" s="43">
        <v>111.29137753114023</v>
      </c>
      <c r="F1972" s="43">
        <v>111.74613424510795</v>
      </c>
      <c r="G1972" s="43">
        <v>112.05828539809374</v>
      </c>
      <c r="H1972" s="43">
        <v>112.24405469461814</v>
      </c>
      <c r="I1972" s="43">
        <v>112.31871897900601</v>
      </c>
    </row>
    <row r="1973" spans="1:9">
      <c r="A1973" s="19">
        <v>556.70000000000005</v>
      </c>
      <c r="B1973" s="43">
        <v>108.92912222383333</v>
      </c>
      <c r="C1973" s="43">
        <v>109.90697034486635</v>
      </c>
      <c r="D1973" s="43">
        <v>110.69626046966417</v>
      </c>
      <c r="E1973" s="43">
        <v>111.31052844407208</v>
      </c>
      <c r="F1973" s="43">
        <v>111.76562534565804</v>
      </c>
      <c r="G1973" s="43">
        <v>112.07810723296905</v>
      </c>
      <c r="H1973" s="43">
        <v>112.26419285270481</v>
      </c>
      <c r="I1973" s="43">
        <v>112.3391558027127</v>
      </c>
    </row>
    <row r="1974" spans="1:9">
      <c r="A1974" s="19">
        <v>556.79999999999995</v>
      </c>
      <c r="B1974" s="43">
        <v>108.94727858239307</v>
      </c>
      <c r="C1974" s="43">
        <v>109.92544281891853</v>
      </c>
      <c r="D1974" s="43">
        <v>110.71506824163228</v>
      </c>
      <c r="E1974" s="43">
        <v>111.32967870430028</v>
      </c>
      <c r="F1974" s="43">
        <v>111.78511574914083</v>
      </c>
      <c r="G1974" s="43">
        <v>112.09792834460887</v>
      </c>
      <c r="H1974" s="43">
        <v>112.28433027757333</v>
      </c>
      <c r="I1974" s="43">
        <v>112.35959189716809</v>
      </c>
    </row>
    <row r="1975" spans="1:9">
      <c r="A1975" s="19">
        <v>556.9</v>
      </c>
      <c r="B1975" s="43">
        <v>108.9654345370412</v>
      </c>
      <c r="C1975" s="43">
        <v>109.94391478818781</v>
      </c>
      <c r="D1975" s="43">
        <v>110.73387542520126</v>
      </c>
      <c r="E1975" s="43">
        <v>111.34882831210592</v>
      </c>
      <c r="F1975" s="43">
        <v>111.80460545574809</v>
      </c>
      <c r="G1975" s="43">
        <v>112.1177487331806</v>
      </c>
      <c r="H1975" s="43">
        <v>112.30446696936815</v>
      </c>
      <c r="I1975" s="43">
        <v>112.38002726247322</v>
      </c>
    </row>
    <row r="1976" spans="1:9">
      <c r="A1976" s="19">
        <v>557</v>
      </c>
      <c r="B1976" s="43">
        <v>108.98359008802757</v>
      </c>
      <c r="C1976" s="43">
        <v>109.96238625289305</v>
      </c>
      <c r="D1976" s="43">
        <v>110.7526820205882</v>
      </c>
      <c r="E1976" s="43">
        <v>111.36797726767924</v>
      </c>
      <c r="F1976" s="43">
        <v>111.82409446567959</v>
      </c>
      <c r="G1976" s="43">
        <v>112.13756839885127</v>
      </c>
      <c r="H1976" s="43">
        <v>112.32460292820639</v>
      </c>
      <c r="I1976" s="43">
        <v>112.40046189871637</v>
      </c>
    </row>
    <row r="1977" spans="1:9">
      <c r="A1977" s="19">
        <v>557.1</v>
      </c>
      <c r="B1977" s="43">
        <v>109.00174523562788</v>
      </c>
      <c r="C1977" s="43">
        <v>109.98085721337117</v>
      </c>
      <c r="D1977" s="43">
        <v>110.7714880280999</v>
      </c>
      <c r="E1977" s="43">
        <v>111.38712557127275</v>
      </c>
      <c r="F1977" s="43">
        <v>111.84358277917411</v>
      </c>
      <c r="G1977" s="43">
        <v>112.15738734180087</v>
      </c>
      <c r="H1977" s="43">
        <v>112.34473815423928</v>
      </c>
      <c r="I1977" s="43">
        <v>112.42089580599475</v>
      </c>
    </row>
    <row r="1978" spans="1:9">
      <c r="A1978" s="19">
        <v>557.20000000000005</v>
      </c>
      <c r="B1978" s="43">
        <v>109.01989997995776</v>
      </c>
      <c r="C1978" s="43">
        <v>109.99932766972444</v>
      </c>
      <c r="D1978" s="43">
        <v>110.79029344786619</v>
      </c>
      <c r="E1978" s="43">
        <v>111.406273223076</v>
      </c>
      <c r="F1978" s="43">
        <v>111.86307039633829</v>
      </c>
      <c r="G1978" s="43">
        <v>112.17720556215431</v>
      </c>
      <c r="H1978" s="43">
        <v>112.36487264755411</v>
      </c>
      <c r="I1978" s="43">
        <v>112.44132898437292</v>
      </c>
    </row>
    <row r="1979" spans="1:9">
      <c r="A1979" s="19">
        <v>557.29999999999995</v>
      </c>
      <c r="B1979" s="43">
        <v>109.03805432139865</v>
      </c>
      <c r="C1979" s="43">
        <v>110.01779762233403</v>
      </c>
      <c r="D1979" s="43">
        <v>110.80909828021666</v>
      </c>
      <c r="E1979" s="43">
        <v>111.42542022332833</v>
      </c>
      <c r="F1979" s="43">
        <v>111.88255731743342</v>
      </c>
      <c r="G1979" s="43">
        <v>112.19702306010365</v>
      </c>
      <c r="H1979" s="43">
        <v>112.38500640829017</v>
      </c>
      <c r="I1979" s="43">
        <v>112.4617614339594</v>
      </c>
    </row>
    <row r="1980" spans="1:9">
      <c r="A1980" s="19">
        <v>557.4</v>
      </c>
      <c r="B1980" s="43">
        <v>109.05620826016118</v>
      </c>
      <c r="C1980" s="43">
        <v>110.03626707143786</v>
      </c>
      <c r="D1980" s="43">
        <v>110.82790252542338</v>
      </c>
      <c r="E1980" s="43">
        <v>111.44456657229867</v>
      </c>
      <c r="F1980" s="43">
        <v>111.90204354266308</v>
      </c>
      <c r="G1980" s="43">
        <v>112.21683983582037</v>
      </c>
      <c r="H1980" s="43">
        <v>112.40513943661907</v>
      </c>
      <c r="I1980" s="43">
        <v>112.48219315485372</v>
      </c>
    </row>
    <row r="1981" spans="1:9">
      <c r="A1981" s="19">
        <v>557.5</v>
      </c>
      <c r="B1981" s="43">
        <v>109.07436179651839</v>
      </c>
      <c r="C1981" s="43">
        <v>110.05473601728781</v>
      </c>
      <c r="D1981" s="43">
        <v>110.84670618368972</v>
      </c>
      <c r="E1981" s="43">
        <v>111.46371227019651</v>
      </c>
      <c r="F1981" s="43">
        <v>111.92152907222308</v>
      </c>
      <c r="G1981" s="43">
        <v>112.23665588947085</v>
      </c>
      <c r="H1981" s="43">
        <v>112.42527173263275</v>
      </c>
      <c r="I1981" s="43">
        <v>112.50262414715274</v>
      </c>
    </row>
    <row r="1982" spans="1:9">
      <c r="A1982" s="19">
        <v>557.6</v>
      </c>
      <c r="B1982" s="43">
        <v>109.09251493060995</v>
      </c>
      <c r="C1982" s="43">
        <v>110.07320446003652</v>
      </c>
      <c r="D1982" s="43">
        <v>110.86550925520308</v>
      </c>
      <c r="E1982" s="43">
        <v>111.48285731717607</v>
      </c>
      <c r="F1982" s="43">
        <v>111.94101390625207</v>
      </c>
      <c r="G1982" s="43">
        <v>112.25647122117383</v>
      </c>
      <c r="H1982" s="43">
        <v>112.44540329644403</v>
      </c>
      <c r="I1982" s="43">
        <v>112.52305441089817</v>
      </c>
    </row>
    <row r="1983" spans="1:9">
      <c r="A1983" s="19">
        <v>557.70000000000005</v>
      </c>
      <c r="B1983" s="43">
        <v>109.11066766284003</v>
      </c>
      <c r="C1983" s="43">
        <v>110.09167240010359</v>
      </c>
      <c r="D1983" s="43">
        <v>110.8843117403373</v>
      </c>
      <c r="E1983" s="43">
        <v>111.50200171356005</v>
      </c>
      <c r="F1983" s="43">
        <v>111.96049804503326</v>
      </c>
      <c r="G1983" s="43">
        <v>112.27628583115026</v>
      </c>
      <c r="H1983" s="43">
        <v>112.4655341282174</v>
      </c>
      <c r="I1983" s="43">
        <v>112.54348394624589</v>
      </c>
    </row>
    <row r="1984" spans="1:9">
      <c r="A1984" s="19">
        <v>557.79999999999995</v>
      </c>
      <c r="B1984" s="43">
        <v>109.12881999330966</v>
      </c>
      <c r="C1984" s="43">
        <v>110.11013983762015</v>
      </c>
      <c r="D1984" s="43">
        <v>110.90311363925278</v>
      </c>
      <c r="E1984" s="43">
        <v>111.52114545952341</v>
      </c>
      <c r="F1984" s="43">
        <v>111.97998148872225</v>
      </c>
      <c r="G1984" s="43">
        <v>112.29609971954491</v>
      </c>
      <c r="H1984" s="43">
        <v>112.48566422806883</v>
      </c>
      <c r="I1984" s="43">
        <v>112.56391275325376</v>
      </c>
    </row>
    <row r="1985" spans="1:9">
      <c r="A1985" s="19">
        <v>557.9</v>
      </c>
      <c r="B1985" s="43">
        <v>109.14697192239643</v>
      </c>
      <c r="C1985" s="43">
        <v>110.12860677292659</v>
      </c>
      <c r="D1985" s="43">
        <v>110.9219149522562</v>
      </c>
      <c r="E1985" s="43">
        <v>111.54028855534082</v>
      </c>
      <c r="F1985" s="43">
        <v>111.99946423753821</v>
      </c>
      <c r="G1985" s="43">
        <v>112.31591288654718</v>
      </c>
      <c r="H1985" s="43">
        <v>112.50579359613403</v>
      </c>
      <c r="I1985" s="43">
        <v>112.58434083201919</v>
      </c>
    </row>
    <row r="1986" spans="1:9">
      <c r="A1986" s="19">
        <v>558</v>
      </c>
      <c r="B1986" s="43">
        <v>109.16512345022835</v>
      </c>
      <c r="C1986" s="43">
        <v>110.14707320620198</v>
      </c>
      <c r="D1986" s="43">
        <v>110.94071567951033</v>
      </c>
      <c r="E1986" s="43">
        <v>111.55943100117682</v>
      </c>
      <c r="F1986" s="43">
        <v>112.01894629164852</v>
      </c>
      <c r="G1986" s="43">
        <v>112.3357253322568</v>
      </c>
      <c r="H1986" s="43">
        <v>112.52592223251517</v>
      </c>
      <c r="I1986" s="43">
        <v>112.60476818262637</v>
      </c>
    </row>
    <row r="1987" spans="1:9">
      <c r="A1987" s="19">
        <v>558.1</v>
      </c>
      <c r="B1987" s="43">
        <v>109.18327457708526</v>
      </c>
      <c r="C1987" s="43">
        <v>110.16553913771151</v>
      </c>
      <c r="D1987" s="43">
        <v>110.95951582130454</v>
      </c>
      <c r="E1987" s="43">
        <v>111.57857279727406</v>
      </c>
      <c r="F1987" s="43">
        <v>112.0384276512531</v>
      </c>
      <c r="G1987" s="43">
        <v>112.35553705688699</v>
      </c>
      <c r="H1987" s="43">
        <v>112.54605013736406</v>
      </c>
      <c r="I1987" s="43">
        <v>112.62519480516767</v>
      </c>
    </row>
    <row r="1988" spans="1:9">
      <c r="A1988" s="19">
        <v>558.20000000000005</v>
      </c>
      <c r="B1988" s="43">
        <v>109.20142530325256</v>
      </c>
      <c r="C1988" s="43">
        <v>110.18400456774816</v>
      </c>
      <c r="D1988" s="43">
        <v>110.97831537790833</v>
      </c>
      <c r="E1988" s="43">
        <v>111.59771394389421</v>
      </c>
      <c r="F1988" s="43">
        <v>112.05790831658078</v>
      </c>
      <c r="G1988" s="43">
        <v>112.37534806059853</v>
      </c>
      <c r="H1988" s="43">
        <v>112.56617731081593</v>
      </c>
      <c r="I1988" s="43">
        <v>112.64562069974772</v>
      </c>
    </row>
    <row r="1989" spans="1:9">
      <c r="A1989" s="19">
        <v>558.29999999999995</v>
      </c>
      <c r="B1989" s="43">
        <v>109.21957562898999</v>
      </c>
      <c r="C1989" s="43">
        <v>110.20246949657715</v>
      </c>
      <c r="D1989" s="43">
        <v>110.99711434957572</v>
      </c>
      <c r="E1989" s="43">
        <v>111.61685444123702</v>
      </c>
      <c r="F1989" s="43">
        <v>112.07738828782684</v>
      </c>
      <c r="G1989" s="43">
        <v>112.39515834356621</v>
      </c>
      <c r="H1989" s="43">
        <v>112.58630375298497</v>
      </c>
      <c r="I1989" s="43">
        <v>112.66604586645914</v>
      </c>
    </row>
    <row r="1990" spans="1:9">
      <c r="A1990" s="19">
        <v>558.4</v>
      </c>
      <c r="B1990" s="43">
        <v>109.23772555450387</v>
      </c>
      <c r="C1990" s="43">
        <v>110.22093392441832</v>
      </c>
      <c r="D1990" s="43">
        <v>111.01591273649464</v>
      </c>
      <c r="E1990" s="43">
        <v>111.63599428955516</v>
      </c>
      <c r="F1990" s="43">
        <v>112.09686756516984</v>
      </c>
      <c r="G1990" s="43">
        <v>112.41496790593393</v>
      </c>
      <c r="H1990" s="43">
        <v>112.60642946400992</v>
      </c>
      <c r="I1990" s="43">
        <v>112.6864703053833</v>
      </c>
    </row>
    <row r="1991" spans="1:9">
      <c r="A1991" s="19">
        <v>558.5</v>
      </c>
      <c r="B1991" s="43">
        <v>109.25587508003096</v>
      </c>
      <c r="C1991" s="43">
        <v>110.23939785153999</v>
      </c>
      <c r="D1991" s="43">
        <v>111.03471053897263</v>
      </c>
      <c r="E1991" s="43">
        <v>111.65513348904602</v>
      </c>
      <c r="F1991" s="43">
        <v>112.11634614882985</v>
      </c>
      <c r="G1991" s="43">
        <v>112.4347767478975</v>
      </c>
      <c r="H1991" s="43">
        <v>112.62655444401048</v>
      </c>
      <c r="I1991" s="43">
        <v>112.70689401661966</v>
      </c>
    </row>
    <row r="1992" spans="1:9">
      <c r="A1992" s="19">
        <v>558.6</v>
      </c>
      <c r="B1992" s="43">
        <v>109.27402420583519</v>
      </c>
      <c r="C1992" s="43">
        <v>110.25786127815874</v>
      </c>
      <c r="D1992" s="43">
        <v>111.05350775719805</v>
      </c>
      <c r="E1992" s="43">
        <v>111.67427203992014</v>
      </c>
      <c r="F1992" s="43">
        <v>112.13582403897763</v>
      </c>
      <c r="G1992" s="43">
        <v>112.4545848695698</v>
      </c>
      <c r="H1992" s="43">
        <v>112.64667869312208</v>
      </c>
      <c r="I1992" s="43">
        <v>112.72731700024107</v>
      </c>
    </row>
    <row r="1993" spans="1:9">
      <c r="A1993" s="19">
        <v>558.70000000000005</v>
      </c>
      <c r="B1993" s="43">
        <v>109.29217293214521</v>
      </c>
      <c r="C1993" s="43">
        <v>110.27632420458031</v>
      </c>
      <c r="D1993" s="43">
        <v>111.07230439145781</v>
      </c>
      <c r="E1993" s="43">
        <v>111.69340994244078</v>
      </c>
      <c r="F1993" s="43">
        <v>112.15530123583656</v>
      </c>
      <c r="G1993" s="43">
        <v>112.4743922711634</v>
      </c>
      <c r="H1993" s="43">
        <v>112.66680221147647</v>
      </c>
      <c r="I1993" s="43">
        <v>112.747739256366</v>
      </c>
    </row>
    <row r="1994" spans="1:9">
      <c r="A1994" s="19">
        <v>558.79999999999995</v>
      </c>
      <c r="B1994" s="43">
        <v>109.31032125923844</v>
      </c>
      <c r="C1994" s="43">
        <v>110.29478663102603</v>
      </c>
      <c r="D1994" s="43">
        <v>111.09110044199087</v>
      </c>
      <c r="E1994" s="43">
        <v>111.7125471968329</v>
      </c>
      <c r="F1994" s="43">
        <v>112.17477773959698</v>
      </c>
      <c r="G1994" s="43">
        <v>112.49419895282671</v>
      </c>
      <c r="H1994" s="43">
        <v>112.68692499919695</v>
      </c>
      <c r="I1994" s="43">
        <v>112.76816078507233</v>
      </c>
    </row>
    <row r="1995" spans="1:9">
      <c r="A1995" s="19">
        <v>558.9</v>
      </c>
      <c r="B1995" s="43">
        <v>109.32846918735012</v>
      </c>
      <c r="C1995" s="43">
        <v>110.31324855777407</v>
      </c>
      <c r="D1995" s="43">
        <v>111.10989590904657</v>
      </c>
      <c r="E1995" s="43">
        <v>111.73168380331575</v>
      </c>
      <c r="F1995" s="43">
        <v>112.1942535504609</v>
      </c>
      <c r="G1995" s="43">
        <v>112.51400491473532</v>
      </c>
      <c r="H1995" s="43">
        <v>112.70704705642027</v>
      </c>
      <c r="I1995" s="43">
        <v>112.78858158645855</v>
      </c>
    </row>
    <row r="1996" spans="1:9">
      <c r="A1996" s="19">
        <v>559</v>
      </c>
      <c r="B1996" s="43">
        <v>109.34661671675138</v>
      </c>
      <c r="C1996" s="43">
        <v>110.33170998507308</v>
      </c>
      <c r="D1996" s="43">
        <v>111.12869079286895</v>
      </c>
      <c r="E1996" s="43">
        <v>111.75081976212778</v>
      </c>
      <c r="F1996" s="43">
        <v>112.21372866861299</v>
      </c>
      <c r="G1996" s="43">
        <v>112.53381015704429</v>
      </c>
      <c r="H1996" s="43">
        <v>112.7271683832798</v>
      </c>
      <c r="I1996" s="43">
        <v>112.80900166062256</v>
      </c>
    </row>
    <row r="1997" spans="1:9">
      <c r="A1997" s="19">
        <v>559.1</v>
      </c>
      <c r="B1997" s="43">
        <v>109.36476384758797</v>
      </c>
      <c r="C1997" s="43">
        <v>110.35017091313441</v>
      </c>
      <c r="D1997" s="43">
        <v>111.14748509366353</v>
      </c>
      <c r="E1997" s="43">
        <v>111.76995507345336</v>
      </c>
      <c r="F1997" s="43">
        <v>112.23320309426629</v>
      </c>
      <c r="G1997" s="43">
        <v>112.55361467991602</v>
      </c>
      <c r="H1997" s="43">
        <v>112.74728897987723</v>
      </c>
      <c r="I1997" s="43">
        <v>112.82942100763478</v>
      </c>
    </row>
    <row r="1998" spans="1:9">
      <c r="A1998" s="19">
        <v>559.20000000000005</v>
      </c>
      <c r="B1998" s="43">
        <v>109.38291058022159</v>
      </c>
      <c r="C1998" s="43">
        <v>110.36863134226766</v>
      </c>
      <c r="D1998" s="43">
        <v>111.16627881175239</v>
      </c>
      <c r="E1998" s="43">
        <v>111.78908973755458</v>
      </c>
      <c r="F1998" s="43">
        <v>112.25267682760816</v>
      </c>
      <c r="G1998" s="43">
        <v>112.5734184835116</v>
      </c>
      <c r="H1998" s="43">
        <v>112.76740884637007</v>
      </c>
      <c r="I1998" s="43">
        <v>112.84983962761277</v>
      </c>
    </row>
    <row r="1999" spans="1:9">
      <c r="A1999" s="19">
        <v>559.29999999999995</v>
      </c>
      <c r="B1999" s="43">
        <v>109.40105691482742</v>
      </c>
      <c r="C1999" s="43">
        <v>110.38709127268459</v>
      </c>
      <c r="D1999" s="43">
        <v>111.18507194733635</v>
      </c>
      <c r="E1999" s="43">
        <v>111.80822375466215</v>
      </c>
      <c r="F1999" s="43">
        <v>112.27214986885454</v>
      </c>
      <c r="G1999" s="43">
        <v>112.59322156802526</v>
      </c>
      <c r="H1999" s="43">
        <v>112.78752798287982</v>
      </c>
      <c r="I1999" s="43">
        <v>112.87025752062542</v>
      </c>
    </row>
    <row r="2000" spans="1:9">
      <c r="A2000" s="19">
        <v>559.4</v>
      </c>
      <c r="B2000" s="43">
        <v>109.41920285167728</v>
      </c>
      <c r="C2000" s="43">
        <v>110.40555070467963</v>
      </c>
      <c r="D2000" s="43">
        <v>111.20386450065016</v>
      </c>
      <c r="E2000" s="43">
        <v>111.82735712497407</v>
      </c>
      <c r="F2000" s="43">
        <v>112.29162221819166</v>
      </c>
      <c r="G2000" s="43">
        <v>112.61302393360091</v>
      </c>
      <c r="H2000" s="43">
        <v>112.80764638953636</v>
      </c>
      <c r="I2000" s="43">
        <v>112.8906746867863</v>
      </c>
    </row>
    <row r="2001" spans="1:9">
      <c r="A2001" s="19">
        <v>559.5</v>
      </c>
      <c r="B2001" s="43">
        <v>109.43734839102203</v>
      </c>
      <c r="C2001" s="43">
        <v>110.42400963848272</v>
      </c>
      <c r="D2001" s="43">
        <v>111.22265647196048</v>
      </c>
      <c r="E2001" s="43">
        <v>111.84648984873877</v>
      </c>
      <c r="F2001" s="43">
        <v>112.31109387582151</v>
      </c>
      <c r="G2001" s="43">
        <v>112.63282558040603</v>
      </c>
      <c r="H2001" s="43">
        <v>112.82776406647037</v>
      </c>
      <c r="I2001" s="43">
        <v>112.91109112617974</v>
      </c>
    </row>
    <row r="2002" spans="1:9">
      <c r="A2002" s="19">
        <v>559.6</v>
      </c>
      <c r="B2002" s="43">
        <v>109.45549353308672</v>
      </c>
      <c r="C2002" s="43">
        <v>110.442468074343</v>
      </c>
      <c r="D2002" s="43">
        <v>111.24144786151822</v>
      </c>
      <c r="E2002" s="43">
        <v>111.86562192620264</v>
      </c>
      <c r="F2002" s="43">
        <v>112.33056484195268</v>
      </c>
      <c r="G2002" s="43">
        <v>112.65262650860916</v>
      </c>
      <c r="H2002" s="43">
        <v>112.84788101382256</v>
      </c>
      <c r="I2002" s="43">
        <v>112.93150683889678</v>
      </c>
    </row>
    <row r="2003" spans="1:9">
      <c r="A2003" s="19">
        <v>559.70000000000005</v>
      </c>
      <c r="B2003" s="43">
        <v>109.4736382781083</v>
      </c>
      <c r="C2003" s="43">
        <v>110.46092601248591</v>
      </c>
      <c r="D2003" s="43">
        <v>111.26023866954097</v>
      </c>
      <c r="E2003" s="43">
        <v>111.88475335754205</v>
      </c>
      <c r="F2003" s="43">
        <v>112.35003511675734</v>
      </c>
      <c r="G2003" s="43">
        <v>112.67242671835652</v>
      </c>
      <c r="H2003" s="43">
        <v>112.86799723168983</v>
      </c>
      <c r="I2003" s="43">
        <v>112.95192182502876</v>
      </c>
    </row>
    <row r="2004" spans="1:9">
      <c r="A2004" s="19">
        <v>559.79999999999995</v>
      </c>
      <c r="B2004" s="43">
        <v>109.49178262641979</v>
      </c>
      <c r="C2004" s="43">
        <v>110.47938345325835</v>
      </c>
      <c r="D2004" s="43">
        <v>111.27902889633967</v>
      </c>
      <c r="E2004" s="43">
        <v>111.90388414303882</v>
      </c>
      <c r="F2004" s="43">
        <v>112.3695047004685</v>
      </c>
      <c r="G2004" s="43">
        <v>112.69222620985866</v>
      </c>
      <c r="H2004" s="43">
        <v>112.88811272025382</v>
      </c>
      <c r="I2004" s="43">
        <v>112.9723360846809</v>
      </c>
    </row>
    <row r="2005" spans="1:9">
      <c r="A2005" s="19">
        <v>559.9</v>
      </c>
      <c r="B2005" s="43">
        <v>109.50992657810485</v>
      </c>
      <c r="C2005" s="43">
        <v>110.49784039678278</v>
      </c>
      <c r="D2005" s="43">
        <v>111.29781854204472</v>
      </c>
      <c r="E2005" s="43">
        <v>111.9230142828392</v>
      </c>
      <c r="F2005" s="43">
        <v>112.38897359323281</v>
      </c>
      <c r="G2005" s="43">
        <v>112.71202498322415</v>
      </c>
      <c r="H2005" s="43">
        <v>112.90822747958347</v>
      </c>
      <c r="I2005" s="43">
        <v>112.99274961792179</v>
      </c>
    </row>
    <row r="2006" spans="1:9">
      <c r="A2006" s="19">
        <v>560</v>
      </c>
      <c r="B2006" s="43">
        <v>109.51237067419873</v>
      </c>
      <c r="C2006" s="43">
        <v>110.50109925514101</v>
      </c>
      <c r="D2006" s="43">
        <v>111.30219276424205</v>
      </c>
      <c r="E2006" s="43">
        <v>111.92876257129308</v>
      </c>
      <c r="F2006" s="43">
        <v>112.39630996095914</v>
      </c>
      <c r="G2006" s="43">
        <v>112.72112070506955</v>
      </c>
      <c r="H2006" s="43">
        <v>112.91921542418243</v>
      </c>
      <c r="I2006" s="43">
        <v>113.00572940779062</v>
      </c>
    </row>
    <row r="2007" spans="1:9">
      <c r="A2007" s="19">
        <v>560.1</v>
      </c>
      <c r="B2007" s="43">
        <v>109.51479165100076</v>
      </c>
      <c r="C2007" s="43">
        <v>110.504332569745</v>
      </c>
      <c r="D2007" s="43">
        <v>111.30653884466656</v>
      </c>
      <c r="E2007" s="43">
        <v>111.9344801709363</v>
      </c>
      <c r="F2007" s="43">
        <v>112.40361329348056</v>
      </c>
      <c r="G2007" s="43">
        <v>112.7301813299249</v>
      </c>
      <c r="H2007" s="43">
        <v>112.9301665284639</v>
      </c>
      <c r="I2007" s="43">
        <v>113.0186709315511</v>
      </c>
    </row>
    <row r="2008" spans="1:9">
      <c r="A2008" s="19">
        <v>560.20000000000005</v>
      </c>
      <c r="B2008" s="43">
        <v>109.53291799116306</v>
      </c>
      <c r="C2008" s="43">
        <v>110.52276907419528</v>
      </c>
      <c r="D2008" s="43">
        <v>111.32530488958508</v>
      </c>
      <c r="E2008" s="43">
        <v>111.95358340274839</v>
      </c>
      <c r="F2008" s="43">
        <v>112.4230519674193</v>
      </c>
      <c r="G2008" s="43">
        <v>112.74994666966441</v>
      </c>
      <c r="H2008" s="43">
        <v>112.95024480135302</v>
      </c>
      <c r="I2008" s="43">
        <v>113.03904512852148</v>
      </c>
    </row>
    <row r="2009" spans="1:9">
      <c r="A2009" s="19">
        <v>560.29999999999995</v>
      </c>
      <c r="B2009" s="43">
        <v>109.55104393707791</v>
      </c>
      <c r="C2009" s="43">
        <v>110.54120508542937</v>
      </c>
      <c r="D2009" s="43">
        <v>111.34407035857498</v>
      </c>
      <c r="E2009" s="43">
        <v>111.9726859946243</v>
      </c>
      <c r="F2009" s="43">
        <v>112.44248995628368</v>
      </c>
      <c r="G2009" s="43">
        <v>112.76971129686669</v>
      </c>
      <c r="H2009" s="43">
        <v>112.97032234999713</v>
      </c>
      <c r="I2009" s="43">
        <v>113.05941860316969</v>
      </c>
    </row>
    <row r="2010" spans="1:9">
      <c r="A2010" s="19">
        <v>560.4</v>
      </c>
      <c r="B2010" s="43">
        <v>109.5691694891436</v>
      </c>
      <c r="C2010" s="43">
        <v>110.55964060383897</v>
      </c>
      <c r="D2010" s="43">
        <v>111.36283525200028</v>
      </c>
      <c r="E2010" s="43">
        <v>111.99178794689556</v>
      </c>
      <c r="F2010" s="43">
        <v>112.46192726037225</v>
      </c>
      <c r="G2010" s="43">
        <v>112.78947521178819</v>
      </c>
      <c r="H2010" s="43">
        <v>112.99039917458381</v>
      </c>
      <c r="I2010" s="43">
        <v>113.07979135564077</v>
      </c>
    </row>
    <row r="2011" spans="1:9">
      <c r="A2011" s="19">
        <v>560.5</v>
      </c>
      <c r="B2011" s="43">
        <v>109.58729464751156</v>
      </c>
      <c r="C2011" s="43">
        <v>110.57807562958931</v>
      </c>
      <c r="D2011" s="43">
        <v>111.38159957005601</v>
      </c>
      <c r="E2011" s="43">
        <v>112.01088925972653</v>
      </c>
      <c r="F2011" s="43">
        <v>112.48136387983985</v>
      </c>
      <c r="G2011" s="43">
        <v>112.80923841452145</v>
      </c>
      <c r="H2011" s="43">
        <v>113.01047527522462</v>
      </c>
      <c r="I2011" s="43">
        <v>113.10016338600306</v>
      </c>
    </row>
    <row r="2012" spans="1:9">
      <c r="A2012" s="19">
        <v>560.6</v>
      </c>
      <c r="B2012" s="43">
        <v>109.60541941249676</v>
      </c>
      <c r="C2012" s="43">
        <v>110.59651016299102</v>
      </c>
      <c r="D2012" s="43">
        <v>111.40036331303273</v>
      </c>
      <c r="E2012" s="43">
        <v>112.02998993341541</v>
      </c>
      <c r="F2012" s="43">
        <v>112.50079981491277</v>
      </c>
      <c r="G2012" s="43">
        <v>112.82900090531575</v>
      </c>
      <c r="H2012" s="43">
        <v>113.03055065206445</v>
      </c>
      <c r="I2012" s="43">
        <v>113.12053469438024</v>
      </c>
    </row>
    <row r="2013" spans="1:9">
      <c r="A2013" s="19">
        <v>560.70000000000005</v>
      </c>
      <c r="B2013" s="43">
        <v>109.62354378419661</v>
      </c>
      <c r="C2013" s="43">
        <v>110.61494420417293</v>
      </c>
      <c r="D2013" s="43">
        <v>111.41912648106438</v>
      </c>
      <c r="E2013" s="43">
        <v>112.04908996805619</v>
      </c>
      <c r="F2013" s="43">
        <v>112.52023506571803</v>
      </c>
      <c r="G2013" s="43">
        <v>112.84876268420305</v>
      </c>
      <c r="H2013" s="43">
        <v>113.05062530517958</v>
      </c>
      <c r="I2013" s="43">
        <v>113.14090528080658</v>
      </c>
    </row>
    <row r="2014" spans="1:9">
      <c r="A2014" s="19">
        <v>560.79999999999995</v>
      </c>
      <c r="B2014" s="43">
        <v>109.64166776296582</v>
      </c>
      <c r="C2014" s="43">
        <v>110.63337775350092</v>
      </c>
      <c r="D2014" s="43">
        <v>111.43788907449175</v>
      </c>
      <c r="E2014" s="43">
        <v>112.06818936399708</v>
      </c>
      <c r="F2014" s="43">
        <v>112.53966963253785</v>
      </c>
      <c r="G2014" s="43">
        <v>112.86852375148578</v>
      </c>
      <c r="H2014" s="43">
        <v>113.07069923476675</v>
      </c>
      <c r="I2014" s="43">
        <v>113.16127514545258</v>
      </c>
    </row>
    <row r="2015" spans="1:9">
      <c r="A2015" s="19">
        <v>560.9</v>
      </c>
      <c r="B2015" s="43">
        <v>109.65979134908656</v>
      </c>
      <c r="C2015" s="43">
        <v>110.65181081124194</v>
      </c>
      <c r="D2015" s="43">
        <v>111.45665109355141</v>
      </c>
      <c r="E2015" s="43">
        <v>112.08728812144912</v>
      </c>
      <c r="F2015" s="43">
        <v>112.55910351554982</v>
      </c>
      <c r="G2015" s="43">
        <v>112.88828410727876</v>
      </c>
      <c r="H2015" s="43">
        <v>113.09077244095852</v>
      </c>
      <c r="I2015" s="43">
        <v>113.18164428837798</v>
      </c>
    </row>
    <row r="2016" spans="1:9">
      <c r="A2016" s="19">
        <v>561</v>
      </c>
      <c r="B2016" s="43">
        <v>109.67791454260043</v>
      </c>
      <c r="C2016" s="43">
        <v>110.67024337748029</v>
      </c>
      <c r="D2016" s="43">
        <v>111.47541253838949</v>
      </c>
      <c r="E2016" s="43">
        <v>112.10638624053004</v>
      </c>
      <c r="F2016" s="43">
        <v>112.57853671489667</v>
      </c>
      <c r="G2016" s="43">
        <v>112.90804375171578</v>
      </c>
      <c r="H2016" s="43">
        <v>113.11084492382693</v>
      </c>
      <c r="I2016" s="43">
        <v>113.20201270965845</v>
      </c>
    </row>
    <row r="2017" spans="1:9">
      <c r="A2017" s="19">
        <v>561.1</v>
      </c>
      <c r="B2017" s="43">
        <v>109.69603734393141</v>
      </c>
      <c r="C2017" s="43">
        <v>110.68867545262162</v>
      </c>
      <c r="D2017" s="43">
        <v>111.49417340935807</v>
      </c>
      <c r="E2017" s="43">
        <v>112.12548372157752</v>
      </c>
      <c r="F2017" s="43">
        <v>112.59796923083567</v>
      </c>
      <c r="G2017" s="43">
        <v>112.92780268502003</v>
      </c>
      <c r="H2017" s="43">
        <v>113.13091668356964</v>
      </c>
      <c r="I2017" s="43">
        <v>113.22238040944521</v>
      </c>
    </row>
    <row r="2018" spans="1:9">
      <c r="A2018" s="19">
        <v>561.20000000000005</v>
      </c>
      <c r="B2018" s="43">
        <v>109.7141597532819</v>
      </c>
      <c r="C2018" s="43">
        <v>110.70710703688587</v>
      </c>
      <c r="D2018" s="43">
        <v>111.51293370667034</v>
      </c>
      <c r="E2018" s="43">
        <v>112.14458056478614</v>
      </c>
      <c r="F2018" s="43">
        <v>112.61740106355231</v>
      </c>
      <c r="G2018" s="43">
        <v>112.94756090733048</v>
      </c>
      <c r="H2018" s="43">
        <v>113.15098772028091</v>
      </c>
      <c r="I2018" s="43">
        <v>113.24274738780719</v>
      </c>
    </row>
    <row r="2019" spans="1:9">
      <c r="A2019" s="19">
        <v>561.29999999999995</v>
      </c>
      <c r="B2019" s="43">
        <v>109.73228177090778</v>
      </c>
      <c r="C2019" s="43">
        <v>110.72553813051815</v>
      </c>
      <c r="D2019" s="43">
        <v>111.53169343059304</v>
      </c>
      <c r="E2019" s="43">
        <v>112.16367677040395</v>
      </c>
      <c r="F2019" s="43">
        <v>112.63683221327841</v>
      </c>
      <c r="G2019" s="43">
        <v>112.96731841885543</v>
      </c>
      <c r="H2019" s="43">
        <v>113.17105803415092</v>
      </c>
      <c r="I2019" s="43">
        <v>113.26311364485068</v>
      </c>
    </row>
    <row r="2020" spans="1:9">
      <c r="A2020" s="19">
        <v>561.4</v>
      </c>
      <c r="B2020" s="43">
        <v>109.75040339691807</v>
      </c>
      <c r="C2020" s="43">
        <v>110.74396873368954</v>
      </c>
      <c r="D2020" s="43">
        <v>111.55045258124153</v>
      </c>
      <c r="E2020" s="43">
        <v>112.18277233856125</v>
      </c>
      <c r="F2020" s="43">
        <v>112.65626268010629</v>
      </c>
      <c r="G2020" s="43">
        <v>112.98707521967697</v>
      </c>
      <c r="H2020" s="43">
        <v>113.19112762520527</v>
      </c>
      <c r="I2020" s="43">
        <v>113.28347918063886</v>
      </c>
    </row>
    <row r="2021" spans="1:9">
      <c r="A2021" s="19">
        <v>561.5</v>
      </c>
      <c r="B2021" s="43">
        <v>109.76852463169047</v>
      </c>
      <c r="C2021" s="43">
        <v>110.76239884672773</v>
      </c>
      <c r="D2021" s="43">
        <v>111.56921115900545</v>
      </c>
      <c r="E2021" s="43">
        <v>112.201867269573</v>
      </c>
      <c r="F2021" s="43">
        <v>112.67569246435065</v>
      </c>
      <c r="G2021" s="43">
        <v>113.00683131002745</v>
      </c>
      <c r="H2021" s="43">
        <v>113.21119649367702</v>
      </c>
      <c r="I2021" s="43">
        <v>113.30384399531221</v>
      </c>
    </row>
    <row r="2022" spans="1:9">
      <c r="A2022" s="19">
        <v>561.6</v>
      </c>
      <c r="B2022" s="43">
        <v>109.78664547540833</v>
      </c>
      <c r="C2022" s="43">
        <v>110.78082846985671</v>
      </c>
      <c r="D2022" s="43">
        <v>111.58796916405731</v>
      </c>
      <c r="E2022" s="43">
        <v>112.220961563641</v>
      </c>
      <c r="F2022" s="43">
        <v>112.69512156614221</v>
      </c>
      <c r="G2022" s="43">
        <v>113.02658669006343</v>
      </c>
      <c r="H2022" s="43">
        <v>113.23126463965926</v>
      </c>
      <c r="I2022" s="43">
        <v>113.3242080889456</v>
      </c>
    </row>
    <row r="2023" spans="1:9">
      <c r="A2023" s="19">
        <v>561.70000000000005</v>
      </c>
      <c r="B2023" s="43">
        <v>109.80476592837292</v>
      </c>
      <c r="C2023" s="43">
        <v>110.79925760337574</v>
      </c>
      <c r="D2023" s="43">
        <v>111.60672659672082</v>
      </c>
      <c r="E2023" s="43">
        <v>112.24005522102206</v>
      </c>
      <c r="F2023" s="43">
        <v>112.71454998574561</v>
      </c>
      <c r="G2023" s="43">
        <v>113.04634135997031</v>
      </c>
      <c r="H2023" s="43">
        <v>113.25133206331017</v>
      </c>
      <c r="I2023" s="43">
        <v>113.34457146166358</v>
      </c>
    </row>
    <row r="2024" spans="1:9">
      <c r="A2024" s="19">
        <v>561.79999999999995</v>
      </c>
      <c r="B2024" s="43">
        <v>109.82288599065603</v>
      </c>
      <c r="C2024" s="43">
        <v>110.81768624738447</v>
      </c>
      <c r="D2024" s="43">
        <v>111.62548345705932</v>
      </c>
      <c r="E2024" s="43">
        <v>112.25914824182786</v>
      </c>
      <c r="F2024" s="43">
        <v>112.73397772323031</v>
      </c>
      <c r="G2024" s="43">
        <v>113.06609531983631</v>
      </c>
      <c r="H2024" s="43">
        <v>113.27139876468232</v>
      </c>
      <c r="I2024" s="43">
        <v>113.36493411350082</v>
      </c>
    </row>
    <row r="2025" spans="1:9">
      <c r="A2025" s="19">
        <v>561.9</v>
      </c>
      <c r="B2025" s="43">
        <v>109.8410056626646</v>
      </c>
      <c r="C2025" s="43">
        <v>110.8361144022829</v>
      </c>
      <c r="D2025" s="43">
        <v>111.64423974547026</v>
      </c>
      <c r="E2025" s="43">
        <v>112.27824062639883</v>
      </c>
      <c r="F2025" s="43">
        <v>112.75340477894161</v>
      </c>
      <c r="G2025" s="43">
        <v>113.08584856990922</v>
      </c>
      <c r="H2025" s="43">
        <v>113.29146474400983</v>
      </c>
      <c r="I2025" s="43">
        <v>113.38529604462028</v>
      </c>
    </row>
    <row r="2026" spans="1:9">
      <c r="A2026" s="19">
        <v>562</v>
      </c>
      <c r="B2026" s="43">
        <v>109.85912494461496</v>
      </c>
      <c r="C2026" s="43">
        <v>110.85454206827586</v>
      </c>
      <c r="D2026" s="43">
        <v>111.66299546219358</v>
      </c>
      <c r="E2026" s="43">
        <v>112.29733237493832</v>
      </c>
      <c r="F2026" s="43">
        <v>112.77283115301384</v>
      </c>
      <c r="G2026" s="43">
        <v>113.1056011103484</v>
      </c>
      <c r="H2026" s="43">
        <v>113.3115300013842</v>
      </c>
      <c r="I2026" s="43">
        <v>113.40565725510177</v>
      </c>
    </row>
    <row r="2027" spans="1:9">
      <c r="A2027" s="19">
        <v>562.1</v>
      </c>
      <c r="B2027" s="43">
        <v>109.87724383663198</v>
      </c>
      <c r="C2027" s="43">
        <v>110.87296924557617</v>
      </c>
      <c r="D2027" s="43">
        <v>111.68175060737633</v>
      </c>
      <c r="E2027" s="43">
        <v>112.31642348760735</v>
      </c>
      <c r="F2027" s="43">
        <v>112.7922568456066</v>
      </c>
      <c r="G2027" s="43">
        <v>113.12535294127403</v>
      </c>
      <c r="H2027" s="43">
        <v>113.33159453691218</v>
      </c>
      <c r="I2027" s="43">
        <v>113.42601774502154</v>
      </c>
    </row>
    <row r="2028" spans="1:9">
      <c r="A2028" s="19">
        <v>562.20000000000005</v>
      </c>
      <c r="B2028" s="43">
        <v>109.89536233906784</v>
      </c>
      <c r="C2028" s="43">
        <v>110.89139593444887</v>
      </c>
      <c r="D2028" s="43">
        <v>111.70050518131146</v>
      </c>
      <c r="E2028" s="43">
        <v>112.33551396468644</v>
      </c>
      <c r="F2028" s="43">
        <v>112.81168185697476</v>
      </c>
      <c r="G2028" s="43">
        <v>113.14510406288974</v>
      </c>
      <c r="H2028" s="43">
        <v>113.35165835075324</v>
      </c>
      <c r="I2028" s="43">
        <v>113.44637751449829</v>
      </c>
    </row>
    <row r="2029" spans="1:9">
      <c r="A2029" s="19">
        <v>562.29999999999995</v>
      </c>
      <c r="B2029" s="43">
        <v>109.91348045212658</v>
      </c>
      <c r="C2029" s="43">
        <v>110.90982213516676</v>
      </c>
      <c r="D2029" s="43">
        <v>111.71925918424861</v>
      </c>
      <c r="E2029" s="43">
        <v>112.35460380638989</v>
      </c>
      <c r="F2029" s="43">
        <v>112.83110618730436</v>
      </c>
      <c r="G2029" s="43">
        <v>113.16485447536093</v>
      </c>
      <c r="H2029" s="43">
        <v>113.37172144305873</v>
      </c>
      <c r="I2029" s="43">
        <v>113.46673656361608</v>
      </c>
    </row>
    <row r="2030" spans="1:9">
      <c r="A2030" s="19">
        <v>562.4</v>
      </c>
      <c r="B2030" s="43">
        <v>109.93159817608418</v>
      </c>
      <c r="C2030" s="43">
        <v>110.92824784798898</v>
      </c>
      <c r="D2030" s="43">
        <v>111.73801261647381</v>
      </c>
      <c r="E2030" s="43">
        <v>112.37369301297534</v>
      </c>
      <c r="F2030" s="43">
        <v>112.8505298368199</v>
      </c>
      <c r="G2030" s="43">
        <v>113.18460417887479</v>
      </c>
      <c r="H2030" s="43">
        <v>113.39178381394311</v>
      </c>
      <c r="I2030" s="43">
        <v>113.48709489250393</v>
      </c>
    </row>
    <row r="2031" spans="1:9">
      <c r="A2031" s="19">
        <v>562.5</v>
      </c>
      <c r="B2031" s="43">
        <v>109.94971551101762</v>
      </c>
      <c r="C2031" s="43">
        <v>110.94667307302765</v>
      </c>
      <c r="D2031" s="43">
        <v>111.75676547807626</v>
      </c>
      <c r="E2031" s="43">
        <v>112.39278158455647</v>
      </c>
      <c r="F2031" s="43">
        <v>112.8699528056178</v>
      </c>
      <c r="G2031" s="43">
        <v>113.2043531735288</v>
      </c>
      <c r="H2031" s="43">
        <v>113.41184546351303</v>
      </c>
      <c r="I2031" s="43">
        <v>113.5074525012044</v>
      </c>
    </row>
    <row r="2032" spans="1:9">
      <c r="A2032" s="19">
        <v>562.6</v>
      </c>
      <c r="B2032" s="43">
        <v>109.96783245734781</v>
      </c>
      <c r="C2032" s="43">
        <v>110.96509781068099</v>
      </c>
      <c r="D2032" s="43">
        <v>111.77551776944662</v>
      </c>
      <c r="E2032" s="43">
        <v>112.41186952147095</v>
      </c>
      <c r="F2032" s="43">
        <v>112.88937509400472</v>
      </c>
      <c r="G2032" s="43">
        <v>113.22410145954794</v>
      </c>
      <c r="H2032" s="43">
        <v>113.4319063919456</v>
      </c>
      <c r="I2032" s="43">
        <v>113.52780938986461</v>
      </c>
    </row>
    <row r="2033" spans="1:9">
      <c r="A2033" s="19">
        <v>562.70000000000005</v>
      </c>
      <c r="B2033" s="43">
        <v>109.98594901525274</v>
      </c>
      <c r="C2033" s="43">
        <v>110.98352206112639</v>
      </c>
      <c r="D2033" s="43">
        <v>111.79426949077174</v>
      </c>
      <c r="E2033" s="43">
        <v>112.4309568238981</v>
      </c>
      <c r="F2033" s="43">
        <v>112.90879670214431</v>
      </c>
      <c r="G2033" s="43">
        <v>113.2438490370879</v>
      </c>
      <c r="H2033" s="43">
        <v>113.4519665993534</v>
      </c>
      <c r="I2033" s="43">
        <v>113.54816555855879</v>
      </c>
    </row>
    <row r="2034" spans="1:9">
      <c r="A2034" s="19">
        <v>562.79999999999995</v>
      </c>
      <c r="B2034" s="43">
        <v>110.00406518500517</v>
      </c>
      <c r="C2034" s="43">
        <v>111.00194582470985</v>
      </c>
      <c r="D2034" s="43">
        <v>111.81302064233944</v>
      </c>
      <c r="E2034" s="43">
        <v>112.45004349209145</v>
      </c>
      <c r="F2034" s="43">
        <v>112.92821763024247</v>
      </c>
      <c r="G2034" s="43">
        <v>113.26359590633498</v>
      </c>
      <c r="H2034" s="43">
        <v>113.47202608588339</v>
      </c>
      <c r="I2034" s="43">
        <v>113.56852100740741</v>
      </c>
    </row>
    <row r="2035" spans="1:9">
      <c r="A2035" s="19">
        <v>562.9</v>
      </c>
      <c r="B2035" s="43">
        <v>110.02218096670046</v>
      </c>
      <c r="C2035" s="43">
        <v>111.02036910150346</v>
      </c>
      <c r="D2035" s="43">
        <v>111.83177122426733</v>
      </c>
      <c r="E2035" s="43">
        <v>112.46912952621764</v>
      </c>
      <c r="F2035" s="43">
        <v>112.94763787845449</v>
      </c>
      <c r="G2035" s="43">
        <v>113.28334206739939</v>
      </c>
      <c r="H2035" s="43">
        <v>113.49208485164274</v>
      </c>
      <c r="I2035" s="43">
        <v>113.58887573647209</v>
      </c>
    </row>
    <row r="2036" spans="1:9">
      <c r="A2036" s="19">
        <v>563</v>
      </c>
      <c r="B2036" s="43">
        <v>110.04029636072445</v>
      </c>
      <c r="C2036" s="43">
        <v>111.03879189187452</v>
      </c>
      <c r="D2036" s="43">
        <v>111.85052123692697</v>
      </c>
      <c r="E2036" s="43">
        <v>112.488214926533</v>
      </c>
      <c r="F2036" s="43">
        <v>112.9670574470195</v>
      </c>
      <c r="G2036" s="43">
        <v>113.3030875205107</v>
      </c>
      <c r="H2036" s="43">
        <v>113.51214289678691</v>
      </c>
      <c r="I2036" s="43">
        <v>113.60922974588209</v>
      </c>
    </row>
    <row r="2037" spans="1:9">
      <c r="A2037" s="19">
        <v>563.1</v>
      </c>
      <c r="B2037" s="43">
        <v>110.05841136734199</v>
      </c>
      <c r="C2037" s="43">
        <v>111.05721419611623</v>
      </c>
      <c r="D2037" s="43">
        <v>111.86927068054553</v>
      </c>
      <c r="E2037" s="43">
        <v>112.50729969331707</v>
      </c>
      <c r="F2037" s="43">
        <v>112.98647633617634</v>
      </c>
      <c r="G2037" s="43">
        <v>113.32283226584082</v>
      </c>
      <c r="H2037" s="43">
        <v>113.53220022146957</v>
      </c>
      <c r="I2037" s="43">
        <v>113.62958303574905</v>
      </c>
    </row>
    <row r="2038" spans="1:9">
      <c r="A2038" s="19">
        <v>563.20000000000005</v>
      </c>
      <c r="B2038" s="43">
        <v>110.07652598660732</v>
      </c>
      <c r="C2038" s="43">
        <v>111.07563601430942</v>
      </c>
      <c r="D2038" s="43">
        <v>111.88801955526128</v>
      </c>
      <c r="E2038" s="43">
        <v>112.52638382666717</v>
      </c>
      <c r="F2038" s="43">
        <v>113.00589454601305</v>
      </c>
      <c r="G2038" s="43">
        <v>113.34257630347767</v>
      </c>
      <c r="H2038" s="43">
        <v>113.55225682575312</v>
      </c>
      <c r="I2038" s="43">
        <v>113.64993560611143</v>
      </c>
    </row>
    <row r="2039" spans="1:9">
      <c r="A2039" s="19">
        <v>563.29999999999995</v>
      </c>
      <c r="B2039" s="43">
        <v>110.09464021885745</v>
      </c>
      <c r="C2039" s="43">
        <v>111.09405734680365</v>
      </c>
      <c r="D2039" s="43">
        <v>111.90676786139119</v>
      </c>
      <c r="E2039" s="43">
        <v>112.54546732690775</v>
      </c>
      <c r="F2039" s="43">
        <v>113.02531207681292</v>
      </c>
      <c r="G2039" s="43">
        <v>113.36231963364986</v>
      </c>
      <c r="H2039" s="43">
        <v>113.57231270983937</v>
      </c>
      <c r="I2039" s="43">
        <v>113.67028745711605</v>
      </c>
    </row>
    <row r="2040" spans="1:9">
      <c r="A2040" s="19">
        <v>563.4</v>
      </c>
      <c r="B2040" s="43">
        <v>110.11275406436303</v>
      </c>
      <c r="C2040" s="43">
        <v>111.11247819383664</v>
      </c>
      <c r="D2040" s="43">
        <v>111.92551559916996</v>
      </c>
      <c r="E2040" s="43">
        <v>112.56455019420432</v>
      </c>
      <c r="F2040" s="43">
        <v>113.04472892872735</v>
      </c>
      <c r="G2040" s="43">
        <v>113.38206225650822</v>
      </c>
      <c r="H2040" s="43">
        <v>113.59236787382491</v>
      </c>
      <c r="I2040" s="43">
        <v>113.69063858884982</v>
      </c>
    </row>
    <row r="2041" spans="1:9">
      <c r="A2041" s="19">
        <v>563.5</v>
      </c>
      <c r="B2041" s="43">
        <v>110.13086752339476</v>
      </c>
      <c r="C2041" s="43">
        <v>111.130898555724</v>
      </c>
      <c r="D2041" s="43">
        <v>111.94426276889541</v>
      </c>
      <c r="E2041" s="43">
        <v>112.58363242888134</v>
      </c>
      <c r="F2041" s="43">
        <v>113.06414510204593</v>
      </c>
      <c r="G2041" s="43">
        <v>113.40180417226799</v>
      </c>
      <c r="H2041" s="43">
        <v>113.61242231788776</v>
      </c>
      <c r="I2041" s="43">
        <v>113.71098900142454</v>
      </c>
    </row>
    <row r="2042" spans="1:9">
      <c r="A2042" s="19">
        <v>563.6</v>
      </c>
      <c r="B2042" s="43">
        <v>110.1489805960324</v>
      </c>
      <c r="C2042" s="43">
        <v>111.14931843255945</v>
      </c>
      <c r="D2042" s="43">
        <v>111.9630093706831</v>
      </c>
      <c r="E2042" s="43">
        <v>112.60271403102678</v>
      </c>
      <c r="F2042" s="43">
        <v>113.08356059684687</v>
      </c>
      <c r="G2042" s="43">
        <v>113.42154538100237</v>
      </c>
      <c r="H2042" s="43">
        <v>113.63247604210207</v>
      </c>
      <c r="I2042" s="43">
        <v>113.73133869491261</v>
      </c>
    </row>
    <row r="2043" spans="1:9">
      <c r="A2043" s="19">
        <v>563.70000000000005</v>
      </c>
      <c r="B2043" s="43">
        <v>110.1670932826581</v>
      </c>
      <c r="C2043" s="43">
        <v>111.16773782470841</v>
      </c>
      <c r="D2043" s="43">
        <v>111.98175540487733</v>
      </c>
      <c r="E2043" s="43">
        <v>112.62179500094561</v>
      </c>
      <c r="F2043" s="43">
        <v>113.10297541339824</v>
      </c>
      <c r="G2043" s="43">
        <v>113.44128588296786</v>
      </c>
      <c r="H2043" s="43">
        <v>113.65252904665991</v>
      </c>
      <c r="I2043" s="43">
        <v>113.75168766943284</v>
      </c>
    </row>
    <row r="2044" spans="1:9">
      <c r="A2044" s="19">
        <v>563.79999999999995</v>
      </c>
      <c r="B2044" s="43">
        <v>110.18520558344272</v>
      </c>
      <c r="C2044" s="43">
        <v>111.18615673237224</v>
      </c>
      <c r="D2044" s="43">
        <v>112.00050087166957</v>
      </c>
      <c r="E2044" s="43">
        <v>112.64087533885638</v>
      </c>
      <c r="F2044" s="43">
        <v>113.12238955186854</v>
      </c>
      <c r="G2044" s="43">
        <v>113.46102567828467</v>
      </c>
      <c r="H2044" s="43">
        <v>113.67258133165683</v>
      </c>
      <c r="I2044" s="43">
        <v>113.77203592507476</v>
      </c>
    </row>
    <row r="2045" spans="1:9">
      <c r="A2045" s="19">
        <v>563.9</v>
      </c>
      <c r="B2045" s="43">
        <v>110.20331749867213</v>
      </c>
      <c r="C2045" s="43">
        <v>111.20457515583519</v>
      </c>
      <c r="D2045" s="43">
        <v>112.01924577135708</v>
      </c>
      <c r="E2045" s="43">
        <v>112.65995504501043</v>
      </c>
      <c r="F2045" s="43">
        <v>113.14180301251068</v>
      </c>
      <c r="G2045" s="43">
        <v>113.48076476716145</v>
      </c>
      <c r="H2045" s="43">
        <v>113.69263289724654</v>
      </c>
      <c r="I2045" s="43">
        <v>113.79238346195888</v>
      </c>
    </row>
    <row r="2046" spans="1:9">
      <c r="A2046" s="19">
        <v>564</v>
      </c>
      <c r="B2046" s="43">
        <v>110.22142902848077</v>
      </c>
      <c r="C2046" s="43">
        <v>111.2229930952455</v>
      </c>
      <c r="D2046" s="43">
        <v>112.03799010406507</v>
      </c>
      <c r="E2046" s="43">
        <v>112.67903411953404</v>
      </c>
      <c r="F2046" s="43">
        <v>113.16121579542934</v>
      </c>
      <c r="G2046" s="43">
        <v>113.50050314968775</v>
      </c>
      <c r="H2046" s="43">
        <v>113.71268374353193</v>
      </c>
      <c r="I2046" s="43">
        <v>113.81273028014351</v>
      </c>
    </row>
    <row r="2047" spans="1:9">
      <c r="A2047" s="19">
        <v>564.1</v>
      </c>
      <c r="B2047" s="43">
        <v>110.23954017319247</v>
      </c>
      <c r="C2047" s="43">
        <v>111.24141055093929</v>
      </c>
      <c r="D2047" s="43">
        <v>112.05673387013124</v>
      </c>
      <c r="E2047" s="43">
        <v>112.69811256271311</v>
      </c>
      <c r="F2047" s="43">
        <v>113.18062790090389</v>
      </c>
      <c r="G2047" s="43">
        <v>113.52024082610433</v>
      </c>
      <c r="H2047" s="43">
        <v>113.73273387067846</v>
      </c>
      <c r="I2047" s="43">
        <v>113.83307637975361</v>
      </c>
    </row>
    <row r="2048" spans="1:9">
      <c r="A2048" s="19">
        <v>564.20000000000005</v>
      </c>
      <c r="B2048" s="43">
        <v>110.25765093306751</v>
      </c>
      <c r="C2048" s="43">
        <v>111.25982752319666</v>
      </c>
      <c r="D2048" s="43">
        <v>112.07547706981168</v>
      </c>
      <c r="E2048" s="43">
        <v>112.71719037481571</v>
      </c>
      <c r="F2048" s="43">
        <v>113.20003932912246</v>
      </c>
      <c r="G2048" s="43">
        <v>113.53997779658582</v>
      </c>
      <c r="H2048" s="43">
        <v>113.75278327883274</v>
      </c>
      <c r="I2048" s="43">
        <v>113.85342176089935</v>
      </c>
    </row>
    <row r="2049" spans="1:9">
      <c r="A2049" s="19">
        <v>564.29999999999995</v>
      </c>
      <c r="B2049" s="43">
        <v>110.2757613082936</v>
      </c>
      <c r="C2049" s="43">
        <v>111.27824401217774</v>
      </c>
      <c r="D2049" s="43">
        <v>112.09421970331525</v>
      </c>
      <c r="E2049" s="43">
        <v>112.73626755601077</v>
      </c>
      <c r="F2049" s="43">
        <v>113.21945008026785</v>
      </c>
      <c r="G2049" s="43">
        <v>113.55971406124945</v>
      </c>
      <c r="H2049" s="43">
        <v>113.77283196810001</v>
      </c>
      <c r="I2049" s="43">
        <v>113.87376642366186</v>
      </c>
    </row>
    <row r="2050" spans="1:9">
      <c r="A2050" s="19">
        <v>564.4</v>
      </c>
      <c r="B2050" s="43">
        <v>110.29387129903435</v>
      </c>
      <c r="C2050" s="43">
        <v>111.29666001808664</v>
      </c>
      <c r="D2050" s="43">
        <v>112.11296177079731</v>
      </c>
      <c r="E2050" s="43">
        <v>112.75534410647424</v>
      </c>
      <c r="F2050" s="43">
        <v>113.23886015450134</v>
      </c>
      <c r="G2050" s="43">
        <v>113.5794496202609</v>
      </c>
      <c r="H2050" s="43">
        <v>113.79287993859393</v>
      </c>
      <c r="I2050" s="43">
        <v>113.89411036813425</v>
      </c>
    </row>
    <row r="2051" spans="1:9">
      <c r="A2051" s="19">
        <v>564.5</v>
      </c>
      <c r="B2051" s="43">
        <v>110.31198090563799</v>
      </c>
      <c r="C2051" s="43">
        <v>111.31507554130042</v>
      </c>
      <c r="D2051" s="43">
        <v>112.13170327262304</v>
      </c>
      <c r="E2051" s="43">
        <v>112.77442002652253</v>
      </c>
      <c r="F2051" s="43">
        <v>113.25826955208154</v>
      </c>
      <c r="G2051" s="43">
        <v>113.59918447381972</v>
      </c>
      <c r="H2051" s="43">
        <v>113.81292719050694</v>
      </c>
      <c r="I2051" s="43">
        <v>113.91445359442906</v>
      </c>
    </row>
    <row r="2052" spans="1:9">
      <c r="A2052" s="19">
        <v>564.6</v>
      </c>
      <c r="B2052" s="43">
        <v>110.33009012835947</v>
      </c>
      <c r="C2052" s="43">
        <v>111.33349058202685</v>
      </c>
      <c r="D2052" s="43">
        <v>112.15044420902004</v>
      </c>
      <c r="E2052" s="43">
        <v>112.79349531638093</v>
      </c>
      <c r="F2052" s="43">
        <v>113.27767827319789</v>
      </c>
      <c r="G2052" s="43">
        <v>113.61891862211411</v>
      </c>
      <c r="H2052" s="43">
        <v>113.83297372394796</v>
      </c>
      <c r="I2052" s="43">
        <v>113.93479610265794</v>
      </c>
    </row>
    <row r="2053" spans="1:9">
      <c r="A2053" s="19">
        <v>564.70000000000005</v>
      </c>
      <c r="B2053" s="43">
        <v>110.34819896727322</v>
      </c>
      <c r="C2053" s="43">
        <v>111.35190514040093</v>
      </c>
      <c r="D2053" s="43">
        <v>112.1691845801144</v>
      </c>
      <c r="E2053" s="43">
        <v>112.81256997615898</v>
      </c>
      <c r="F2053" s="43">
        <v>113.29708631798286</v>
      </c>
      <c r="G2053" s="43">
        <v>113.63865206524113</v>
      </c>
      <c r="H2053" s="43">
        <v>113.85301953901754</v>
      </c>
      <c r="I2053" s="43">
        <v>113.95513789287455</v>
      </c>
    </row>
    <row r="2054" spans="1:9">
      <c r="A2054" s="19">
        <v>564.79999999999995</v>
      </c>
      <c r="B2054" s="43">
        <v>110.36630742275321</v>
      </c>
      <c r="C2054" s="43">
        <v>111.37031921678647</v>
      </c>
      <c r="D2054" s="43">
        <v>112.18792438625113</v>
      </c>
      <c r="E2054" s="43">
        <v>112.83164400617775</v>
      </c>
      <c r="F2054" s="43">
        <v>113.31649368669943</v>
      </c>
      <c r="G2054" s="43">
        <v>113.6583848034214</v>
      </c>
      <c r="H2054" s="43">
        <v>113.87306463588479</v>
      </c>
      <c r="I2054" s="43">
        <v>113.97547896521968</v>
      </c>
    </row>
    <row r="2055" spans="1:9">
      <c r="A2055" s="19">
        <v>564.9</v>
      </c>
      <c r="B2055" s="43">
        <v>110.38441549501738</v>
      </c>
      <c r="C2055" s="43">
        <v>111.38873281141645</v>
      </c>
      <c r="D2055" s="43">
        <v>112.20666362765681</v>
      </c>
      <c r="E2055" s="43">
        <v>112.85071740666973</v>
      </c>
      <c r="F2055" s="43">
        <v>113.33590037956372</v>
      </c>
      <c r="G2055" s="43">
        <v>113.67811683682396</v>
      </c>
      <c r="H2055" s="43">
        <v>113.89310901469463</v>
      </c>
      <c r="I2055" s="43">
        <v>113.9958193197883</v>
      </c>
    </row>
    <row r="2056" spans="1:9">
      <c r="A2056" s="19">
        <v>565</v>
      </c>
      <c r="B2056" s="43">
        <v>110.4025231843502</v>
      </c>
      <c r="C2056" s="43">
        <v>111.40714592454529</v>
      </c>
      <c r="D2056" s="43">
        <v>112.22540230459327</v>
      </c>
      <c r="E2056" s="43">
        <v>112.869790177835</v>
      </c>
      <c r="F2056" s="43">
        <v>113.35530639676188</v>
      </c>
      <c r="G2056" s="43">
        <v>113.69784816563561</v>
      </c>
      <c r="H2056" s="43">
        <v>113.91315267558178</v>
      </c>
      <c r="I2056" s="43">
        <v>114.01615895668746</v>
      </c>
    </row>
    <row r="2057" spans="1:9">
      <c r="A2057" s="19">
        <v>565.1</v>
      </c>
      <c r="B2057" s="43">
        <v>110.4206304907743</v>
      </c>
      <c r="C2057" s="43">
        <v>111.42555855629783</v>
      </c>
      <c r="D2057" s="43">
        <v>112.24414041719425</v>
      </c>
      <c r="E2057" s="43">
        <v>112.88886231982542</v>
      </c>
      <c r="F2057" s="43">
        <v>113.37471173839825</v>
      </c>
      <c r="G2057" s="43">
        <v>113.71757878991949</v>
      </c>
      <c r="H2057" s="43">
        <v>113.93319561862774</v>
      </c>
      <c r="I2057" s="43">
        <v>114.03649787597166</v>
      </c>
    </row>
    <row r="2058" spans="1:9">
      <c r="A2058" s="19">
        <v>565.20000000000005</v>
      </c>
      <c r="B2058" s="43">
        <v>110.43873741474135</v>
      </c>
      <c r="C2058" s="43">
        <v>111.44397070706296</v>
      </c>
      <c r="D2058" s="43">
        <v>112.26287796581136</v>
      </c>
      <c r="E2058" s="43">
        <v>112.90793383296847</v>
      </c>
      <c r="F2058" s="43">
        <v>113.39411640479881</v>
      </c>
      <c r="G2058" s="43">
        <v>113.73730870996263</v>
      </c>
      <c r="H2058" s="43">
        <v>113.95323784401398</v>
      </c>
      <c r="I2058" s="43">
        <v>114.05683607778656</v>
      </c>
    </row>
    <row r="2059" spans="1:9">
      <c r="A2059" s="19">
        <v>565.29999999999995</v>
      </c>
      <c r="B2059" s="43">
        <v>110.45684395639464</v>
      </c>
      <c r="C2059" s="43">
        <v>111.46238237701985</v>
      </c>
      <c r="D2059" s="43">
        <v>112.28161495064811</v>
      </c>
      <c r="E2059" s="43">
        <v>112.92700471744297</v>
      </c>
      <c r="F2059" s="43">
        <v>113.41352039608901</v>
      </c>
      <c r="G2059" s="43">
        <v>113.75703792589192</v>
      </c>
      <c r="H2059" s="43">
        <v>113.97327935187511</v>
      </c>
      <c r="I2059" s="43">
        <v>114.07717356221579</v>
      </c>
    </row>
    <row r="2060" spans="1:9">
      <c r="A2060" s="19">
        <v>565.4</v>
      </c>
      <c r="B2060" s="43">
        <v>110.47495011605184</v>
      </c>
      <c r="C2060" s="43">
        <v>111.48079356646846</v>
      </c>
      <c r="D2060" s="43">
        <v>112.30035137198226</v>
      </c>
      <c r="E2060" s="43">
        <v>112.9460749735066</v>
      </c>
      <c r="F2060" s="43">
        <v>113.43292371253585</v>
      </c>
      <c r="G2060" s="43">
        <v>113.77676643788624</v>
      </c>
      <c r="H2060" s="43">
        <v>113.99332014235588</v>
      </c>
      <c r="I2060" s="43">
        <v>114.09751032937984</v>
      </c>
    </row>
    <row r="2061" spans="1:9">
      <c r="A2061" s="19">
        <v>565.5</v>
      </c>
      <c r="B2061" s="43">
        <v>110.49305589378065</v>
      </c>
      <c r="C2061" s="43">
        <v>111.49920427550649</v>
      </c>
      <c r="D2061" s="43">
        <v>112.31908722992819</v>
      </c>
      <c r="E2061" s="43">
        <v>112.96514460128685</v>
      </c>
      <c r="F2061" s="43">
        <v>113.45232635420294</v>
      </c>
      <c r="G2061" s="43">
        <v>113.79649424604062</v>
      </c>
      <c r="H2061" s="43">
        <v>114.01336021552339</v>
      </c>
      <c r="I2061" s="43">
        <v>114.11784637932749</v>
      </c>
    </row>
    <row r="2062" spans="1:9">
      <c r="A2062" s="19">
        <v>565.6</v>
      </c>
      <c r="B2062" s="43">
        <v>110.51116128996722</v>
      </c>
      <c r="C2062" s="43">
        <v>111.51761450453279</v>
      </c>
      <c r="D2062" s="43">
        <v>112.33782252485233</v>
      </c>
      <c r="E2062" s="43">
        <v>112.98421360110643</v>
      </c>
      <c r="F2062" s="43">
        <v>113.47172832142456</v>
      </c>
      <c r="G2062" s="43">
        <v>113.8162213506219</v>
      </c>
      <c r="H2062" s="43">
        <v>114.03339957159025</v>
      </c>
      <c r="I2062" s="43">
        <v>114.13818171220765</v>
      </c>
    </row>
    <row r="2063" spans="1:9">
      <c r="A2063" s="19">
        <v>565.70000000000005</v>
      </c>
      <c r="B2063" s="43">
        <v>110.52926630482804</v>
      </c>
      <c r="C2063" s="43">
        <v>111.53602425378583</v>
      </c>
      <c r="D2063" s="43">
        <v>112.35655725698393</v>
      </c>
      <c r="E2063" s="43">
        <v>113.00328197318004</v>
      </c>
      <c r="F2063" s="43">
        <v>113.49112961437348</v>
      </c>
      <c r="G2063" s="43">
        <v>113.83594775176601</v>
      </c>
      <c r="H2063" s="43">
        <v>114.05343821066168</v>
      </c>
      <c r="I2063" s="43">
        <v>114.15851632810734</v>
      </c>
    </row>
    <row r="2064" spans="1:9">
      <c r="A2064" s="19">
        <v>565.79999999999995</v>
      </c>
      <c r="B2064" s="43">
        <v>110.54737093850886</v>
      </c>
      <c r="C2064" s="43">
        <v>111.55443352338622</v>
      </c>
      <c r="D2064" s="43">
        <v>112.37529142648631</v>
      </c>
      <c r="E2064" s="43">
        <v>113.02234971767055</v>
      </c>
      <c r="F2064" s="43">
        <v>113.5105302331871</v>
      </c>
      <c r="G2064" s="43">
        <v>113.8556734496178</v>
      </c>
      <c r="H2064" s="43">
        <v>114.0734761328678</v>
      </c>
      <c r="I2064" s="43">
        <v>114.17885022711772</v>
      </c>
    </row>
    <row r="2065" spans="1:9">
      <c r="A2065" s="19">
        <v>565.9</v>
      </c>
      <c r="B2065" s="43">
        <v>110.56547519131666</v>
      </c>
      <c r="C2065" s="43">
        <v>111.57284231368035</v>
      </c>
      <c r="D2065" s="43">
        <v>112.39402503363712</v>
      </c>
      <c r="E2065" s="43">
        <v>113.04141683484698</v>
      </c>
      <c r="F2065" s="43">
        <v>113.52993017810192</v>
      </c>
      <c r="G2065" s="43">
        <v>113.87539844434374</v>
      </c>
      <c r="H2065" s="43">
        <v>114.0935133383438</v>
      </c>
      <c r="I2065" s="43">
        <v>114.19918340933623</v>
      </c>
    </row>
    <row r="2066" spans="1:9">
      <c r="A2066" s="19">
        <v>566</v>
      </c>
      <c r="B2066" s="43">
        <v>110.58357906349897</v>
      </c>
      <c r="C2066" s="43">
        <v>111.59125062490662</v>
      </c>
      <c r="D2066" s="43">
        <v>112.41275807872847</v>
      </c>
      <c r="E2066" s="43">
        <v>113.06048332493305</v>
      </c>
      <c r="F2066" s="43">
        <v>113.54932944934745</v>
      </c>
      <c r="G2066" s="43">
        <v>113.89512273616117</v>
      </c>
      <c r="H2066" s="43">
        <v>114.11354982723341</v>
      </c>
      <c r="I2066" s="43">
        <v>114.219515874888</v>
      </c>
    </row>
    <row r="2067" spans="1:9">
      <c r="A2067" s="19">
        <v>566.1</v>
      </c>
      <c r="B2067" s="43">
        <v>110.60168255527387</v>
      </c>
      <c r="C2067" s="43">
        <v>111.60965845731599</v>
      </c>
      <c r="D2067" s="43">
        <v>112.43149056195068</v>
      </c>
      <c r="E2067" s="43">
        <v>113.07954918816333</v>
      </c>
      <c r="F2067" s="43">
        <v>113.56872804708513</v>
      </c>
      <c r="G2067" s="43">
        <v>113.91484632520982</v>
      </c>
      <c r="H2067" s="43">
        <v>114.13358559969237</v>
      </c>
      <c r="I2067" s="43">
        <v>114.23984762386357</v>
      </c>
    </row>
    <row r="2068" spans="1:9">
      <c r="A2068" s="19">
        <v>566.20000000000005</v>
      </c>
      <c r="B2068" s="43">
        <v>110.61978566678036</v>
      </c>
      <c r="C2068" s="43">
        <v>111.62806581104621</v>
      </c>
      <c r="D2068" s="43">
        <v>112.45022248349954</v>
      </c>
      <c r="E2068" s="43">
        <v>113.09861442467778</v>
      </c>
      <c r="F2068" s="43">
        <v>113.58812597147292</v>
      </c>
      <c r="G2068" s="43">
        <v>113.93456921162229</v>
      </c>
      <c r="H2068" s="43">
        <v>114.15362065578839</v>
      </c>
      <c r="I2068" s="43">
        <v>114.26017865633042</v>
      </c>
    </row>
    <row r="2069" spans="1:9">
      <c r="A2069" s="19">
        <v>566.29999999999995</v>
      </c>
      <c r="B2069" s="43">
        <v>110.63788839839287</v>
      </c>
      <c r="C2069" s="43">
        <v>111.64647268648122</v>
      </c>
      <c r="D2069" s="43">
        <v>112.46895384370171</v>
      </c>
      <c r="E2069" s="43">
        <v>113.11767903479947</v>
      </c>
      <c r="F2069" s="43">
        <v>113.60752322279302</v>
      </c>
      <c r="G2069" s="43">
        <v>113.95429139562191</v>
      </c>
      <c r="H2069" s="43">
        <v>114.17365499571653</v>
      </c>
      <c r="I2069" s="43">
        <v>114.2805089724269</v>
      </c>
    </row>
    <row r="2070" spans="1:9">
      <c r="A2070" s="19">
        <v>566.4</v>
      </c>
      <c r="B2070" s="43">
        <v>110.65599075028848</v>
      </c>
      <c r="C2070" s="43">
        <v>111.66487908380768</v>
      </c>
      <c r="D2070" s="43">
        <v>112.48768464276023</v>
      </c>
      <c r="E2070" s="43">
        <v>113.13674301872209</v>
      </c>
      <c r="F2070" s="43">
        <v>113.62691980120928</v>
      </c>
      <c r="G2070" s="43">
        <v>113.97401287736528</v>
      </c>
      <c r="H2070" s="43">
        <v>114.1936886196047</v>
      </c>
      <c r="I2070" s="43">
        <v>114.30083857225381</v>
      </c>
    </row>
    <row r="2071" spans="1:9">
      <c r="A2071" s="19">
        <v>566.5</v>
      </c>
      <c r="B2071" s="43">
        <v>110.67409272274952</v>
      </c>
      <c r="C2071" s="43">
        <v>111.68328500329611</v>
      </c>
      <c r="D2071" s="43">
        <v>112.50641488094948</v>
      </c>
      <c r="E2071" s="43">
        <v>113.15580637669063</v>
      </c>
      <c r="F2071" s="43">
        <v>113.64631570695866</v>
      </c>
      <c r="G2071" s="43">
        <v>113.99373365702306</v>
      </c>
      <c r="H2071" s="43">
        <v>114.21372152760094</v>
      </c>
      <c r="I2071" s="43">
        <v>114.3211674559125</v>
      </c>
    </row>
    <row r="2072" spans="1:9">
      <c r="A2072" s="19">
        <v>566.6</v>
      </c>
      <c r="B2072" s="43">
        <v>110.69219431585648</v>
      </c>
      <c r="C2072" s="43">
        <v>111.70169044508546</v>
      </c>
      <c r="D2072" s="43">
        <v>112.52514455838977</v>
      </c>
      <c r="E2072" s="43">
        <v>113.17486910881922</v>
      </c>
      <c r="F2072" s="43">
        <v>113.66571094011758</v>
      </c>
      <c r="G2072" s="43">
        <v>114.01345373469763</v>
      </c>
      <c r="H2072" s="43">
        <v>114.23375371976735</v>
      </c>
      <c r="I2072" s="43">
        <v>114.34149562344564</v>
      </c>
    </row>
    <row r="2073" spans="1:9">
      <c r="A2073" s="19">
        <v>566.70000000000005</v>
      </c>
      <c r="B2073" s="43">
        <v>110.71029552998422</v>
      </c>
      <c r="C2073" s="43">
        <v>111.72009540953465</v>
      </c>
      <c r="D2073" s="43">
        <v>112.54387367544666</v>
      </c>
      <c r="E2073" s="43">
        <v>113.19393121545633</v>
      </c>
      <c r="F2073" s="43">
        <v>113.68510550101121</v>
      </c>
      <c r="G2073" s="43">
        <v>114.03317311064865</v>
      </c>
      <c r="H2073" s="43">
        <v>114.25378519632127</v>
      </c>
      <c r="I2073" s="43">
        <v>114.36182307504143</v>
      </c>
    </row>
    <row r="2074" spans="1:9">
      <c r="A2074" s="19">
        <v>566.79999999999995</v>
      </c>
      <c r="B2074" s="43">
        <v>110.72839636539592</v>
      </c>
      <c r="C2074" s="43">
        <v>111.73849989689054</v>
      </c>
      <c r="D2074" s="43">
        <v>112.56260223235088</v>
      </c>
      <c r="E2074" s="43">
        <v>113.21299269679554</v>
      </c>
      <c r="F2074" s="43">
        <v>113.70449938981986</v>
      </c>
      <c r="G2074" s="43">
        <v>114.05289178502989</v>
      </c>
      <c r="H2074" s="43">
        <v>114.27381595737282</v>
      </c>
      <c r="I2074" s="43">
        <v>114.38214981075544</v>
      </c>
    </row>
    <row r="2075" spans="1:9">
      <c r="A2075" s="19">
        <v>566.9</v>
      </c>
      <c r="B2075" s="43">
        <v>110.74649682218438</v>
      </c>
      <c r="C2075" s="43">
        <v>111.75690390733141</v>
      </c>
      <c r="D2075" s="43">
        <v>112.58133022927848</v>
      </c>
      <c r="E2075" s="43">
        <v>113.2320535530319</v>
      </c>
      <c r="F2075" s="43">
        <v>113.72389260668601</v>
      </c>
      <c r="G2075" s="43">
        <v>114.07260975796842</v>
      </c>
      <c r="H2075" s="43">
        <v>114.29384600304843</v>
      </c>
      <c r="I2075" s="43">
        <v>114.40247583068452</v>
      </c>
    </row>
    <row r="2076" spans="1:9">
      <c r="A2076" s="19">
        <v>567</v>
      </c>
      <c r="B2076" s="43">
        <v>110.76459690060435</v>
      </c>
      <c r="C2076" s="43">
        <v>111.77530744103251</v>
      </c>
      <c r="D2076" s="43">
        <v>112.60005766642348</v>
      </c>
      <c r="E2076" s="43">
        <v>113.25111378434278</v>
      </c>
      <c r="F2076" s="43">
        <v>113.74328515179178</v>
      </c>
      <c r="G2076" s="43">
        <v>114.09232702960671</v>
      </c>
      <c r="H2076" s="43">
        <v>114.31387533344761</v>
      </c>
      <c r="I2076" s="43">
        <v>114.42280113491617</v>
      </c>
    </row>
    <row r="2077" spans="1:9">
      <c r="A2077" s="19">
        <v>567.1</v>
      </c>
      <c r="B2077" s="43">
        <v>110.78269660101992</v>
      </c>
      <c r="C2077" s="43">
        <v>111.7937104984062</v>
      </c>
      <c r="D2077" s="43">
        <v>112.61878454416944</v>
      </c>
      <c r="E2077" s="43">
        <v>113.27017339105501</v>
      </c>
      <c r="F2077" s="43">
        <v>113.76267702542913</v>
      </c>
      <c r="G2077" s="43">
        <v>114.11204360019443</v>
      </c>
      <c r="H2077" s="43">
        <v>114.33390394878725</v>
      </c>
      <c r="I2077" s="43">
        <v>114.4431257236009</v>
      </c>
    </row>
    <row r="2078" spans="1:9">
      <c r="A2078" s="19">
        <v>567.20000000000005</v>
      </c>
      <c r="B2078" s="43">
        <v>110.80079592360164</v>
      </c>
      <c r="C2078" s="43">
        <v>111.81211307967229</v>
      </c>
      <c r="D2078" s="43">
        <v>112.63751086272956</v>
      </c>
      <c r="E2078" s="43">
        <v>113.28923237337182</v>
      </c>
      <c r="F2078" s="43">
        <v>113.78206822776167</v>
      </c>
      <c r="G2078" s="43">
        <v>114.1317594698933</v>
      </c>
      <c r="H2078" s="43">
        <v>114.3539318491604</v>
      </c>
      <c r="I2078" s="43">
        <v>114.4634495968136</v>
      </c>
    </row>
    <row r="2079" spans="1:9">
      <c r="A2079" s="19">
        <v>567.29999999999995</v>
      </c>
      <c r="B2079" s="43">
        <v>110.8188948684807</v>
      </c>
      <c r="C2079" s="43">
        <v>111.83051518489421</v>
      </c>
      <c r="D2079" s="43">
        <v>112.65623662217462</v>
      </c>
      <c r="E2079" s="43">
        <v>113.30829073142044</v>
      </c>
      <c r="F2079" s="43">
        <v>113.80145875892367</v>
      </c>
      <c r="G2079" s="43">
        <v>114.15147463878745</v>
      </c>
      <c r="H2079" s="43">
        <v>114.37395903467663</v>
      </c>
      <c r="I2079" s="43">
        <v>114.48377275462175</v>
      </c>
    </row>
    <row r="2080" spans="1:9">
      <c r="A2080" s="19">
        <v>567.4</v>
      </c>
      <c r="B2080" s="43">
        <v>110.83699343598525</v>
      </c>
      <c r="C2080" s="43">
        <v>111.84891681452132</v>
      </c>
      <c r="D2080" s="43">
        <v>112.67496182293627</v>
      </c>
      <c r="E2080" s="43">
        <v>113.32734846553618</v>
      </c>
      <c r="F2080" s="43">
        <v>113.82084861918995</v>
      </c>
      <c r="G2080" s="43">
        <v>114.17118910712705</v>
      </c>
      <c r="H2080" s="43">
        <v>114.39398550550158</v>
      </c>
      <c r="I2080" s="43">
        <v>114.50409519717849</v>
      </c>
    </row>
    <row r="2081" spans="1:9">
      <c r="A2081" s="19">
        <v>567.5</v>
      </c>
      <c r="B2081" s="43">
        <v>110.85509162637138</v>
      </c>
      <c r="C2081" s="43">
        <v>111.86731796870555</v>
      </c>
      <c r="D2081" s="43">
        <v>112.69368646518231</v>
      </c>
      <c r="E2081" s="43">
        <v>113.34640557589918</v>
      </c>
      <c r="F2081" s="43">
        <v>113.84023780874375</v>
      </c>
      <c r="G2081" s="43">
        <v>114.1909028750548</v>
      </c>
      <c r="H2081" s="43">
        <v>114.41401126178224</v>
      </c>
      <c r="I2081" s="43">
        <v>114.52441692456566</v>
      </c>
    </row>
    <row r="2082" spans="1:9">
      <c r="A2082" s="19">
        <v>567.6</v>
      </c>
      <c r="B2082" s="43">
        <v>110.87318943986821</v>
      </c>
      <c r="C2082" s="43">
        <v>111.88571864772291</v>
      </c>
      <c r="D2082" s="43">
        <v>112.71241054916601</v>
      </c>
      <c r="E2082" s="43">
        <v>113.36546206273482</v>
      </c>
      <c r="F2082" s="43">
        <v>113.85962632778296</v>
      </c>
      <c r="G2082" s="43">
        <v>114.210615942749</v>
      </c>
      <c r="H2082" s="43">
        <v>114.43403630364847</v>
      </c>
      <c r="I2082" s="43">
        <v>114.54473793689323</v>
      </c>
    </row>
    <row r="2083" spans="1:9">
      <c r="A2083" s="19">
        <v>567.70000000000005</v>
      </c>
      <c r="B2083" s="43">
        <v>110.8912868765961</v>
      </c>
      <c r="C2083" s="43">
        <v>111.9041188517343</v>
      </c>
      <c r="D2083" s="43">
        <v>112.73113407505647</v>
      </c>
      <c r="E2083" s="43">
        <v>113.38451792621831</v>
      </c>
      <c r="F2083" s="43">
        <v>113.87901417644386</v>
      </c>
      <c r="G2083" s="43">
        <v>114.23032831032924</v>
      </c>
      <c r="H2083" s="43">
        <v>114.45406063119211</v>
      </c>
      <c r="I2083" s="43">
        <v>114.56505823423518</v>
      </c>
    </row>
    <row r="2084" spans="1:9">
      <c r="A2084" s="19">
        <v>567.79999999999995</v>
      </c>
      <c r="B2084" s="43">
        <v>110.90938393689919</v>
      </c>
      <c r="C2084" s="43">
        <v>111.92251858108315</v>
      </c>
      <c r="D2084" s="43">
        <v>112.74985704318922</v>
      </c>
      <c r="E2084" s="43">
        <v>113.40357316665583</v>
      </c>
      <c r="F2084" s="43">
        <v>113.89840135502786</v>
      </c>
      <c r="G2084" s="43">
        <v>114.25003997804276</v>
      </c>
      <c r="H2084" s="43">
        <v>114.47408424460755</v>
      </c>
      <c r="I2084" s="43">
        <v>114.58537781671973</v>
      </c>
    </row>
    <row r="2085" spans="1:9">
      <c r="A2085" s="19">
        <v>567.9</v>
      </c>
      <c r="B2085" s="43">
        <v>110.92748062099088</v>
      </c>
      <c r="C2085" s="43">
        <v>111.94091783595209</v>
      </c>
      <c r="D2085" s="43">
        <v>112.76857945375343</v>
      </c>
      <c r="E2085" s="43">
        <v>113.42262778421974</v>
      </c>
      <c r="F2085" s="43">
        <v>113.91778786366075</v>
      </c>
      <c r="G2085" s="43">
        <v>114.26975094600803</v>
      </c>
      <c r="H2085" s="43">
        <v>114.49410714400136</v>
      </c>
      <c r="I2085" s="43">
        <v>114.60569668443247</v>
      </c>
    </row>
    <row r="2086" spans="1:9">
      <c r="A2086" s="19">
        <v>568</v>
      </c>
      <c r="B2086" s="43">
        <v>110.94557692909183</v>
      </c>
      <c r="C2086" s="43">
        <v>111.95931661663562</v>
      </c>
      <c r="D2086" s="43">
        <v>112.78730130701808</v>
      </c>
      <c r="E2086" s="43">
        <v>113.44168177914204</v>
      </c>
      <c r="F2086" s="43">
        <v>113.93717370258636</v>
      </c>
      <c r="G2086" s="43">
        <v>114.2894612144064</v>
      </c>
      <c r="H2086" s="43">
        <v>114.51412932951655</v>
      </c>
      <c r="I2086" s="43">
        <v>114.62601483750595</v>
      </c>
    </row>
    <row r="2087" spans="1:9">
      <c r="A2087" s="19">
        <v>568.1</v>
      </c>
      <c r="B2087" s="43">
        <v>110.96367286140517</v>
      </c>
      <c r="C2087" s="43">
        <v>111.97771492330958</v>
      </c>
      <c r="D2087" s="43">
        <v>112.80602260315399</v>
      </c>
      <c r="E2087" s="43">
        <v>113.46073515163832</v>
      </c>
      <c r="F2087" s="43">
        <v>113.9565588719403</v>
      </c>
      <c r="G2087" s="43">
        <v>114.30917078338618</v>
      </c>
      <c r="H2087" s="43">
        <v>114.53415080128082</v>
      </c>
      <c r="I2087" s="43">
        <v>114.6463322759935</v>
      </c>
    </row>
    <row r="2088" spans="1:9">
      <c r="A2088" s="19">
        <v>568.20000000000005</v>
      </c>
      <c r="B2088" s="43">
        <v>110.98176841816681</v>
      </c>
      <c r="C2088" s="43">
        <v>111.99611275623269</v>
      </c>
      <c r="D2088" s="43">
        <v>112.82474334245097</v>
      </c>
      <c r="E2088" s="43">
        <v>113.47978790194148</v>
      </c>
      <c r="F2088" s="43">
        <v>113.97594337197185</v>
      </c>
      <c r="G2088" s="43">
        <v>114.32887965313978</v>
      </c>
      <c r="H2088" s="43">
        <v>114.55417155942527</v>
      </c>
      <c r="I2088" s="43">
        <v>114.66664900001891</v>
      </c>
    </row>
    <row r="2089" spans="1:9">
      <c r="A2089" s="19">
        <v>568.29999999999995</v>
      </c>
      <c r="B2089" s="43">
        <v>110.99986359974338</v>
      </c>
      <c r="C2089" s="43">
        <v>112.01451011576552</v>
      </c>
      <c r="D2089" s="43">
        <v>112.84346352522286</v>
      </c>
      <c r="E2089" s="43">
        <v>113.49884003032122</v>
      </c>
      <c r="F2089" s="43">
        <v>113.99532720292882</v>
      </c>
      <c r="G2089" s="43">
        <v>114.3485878238765</v>
      </c>
      <c r="H2089" s="43">
        <v>114.5741916041529</v>
      </c>
      <c r="I2089" s="43">
        <v>114.68696500972243</v>
      </c>
    </row>
    <row r="2090" spans="1:9">
      <c r="A2090" s="19">
        <v>568.4</v>
      </c>
      <c r="B2090" s="43">
        <v>111.0179584061103</v>
      </c>
      <c r="C2090" s="43">
        <v>112.03290700191923</v>
      </c>
      <c r="D2090" s="43">
        <v>112.86218315151254</v>
      </c>
      <c r="E2090" s="43">
        <v>113.51789153686437</v>
      </c>
      <c r="F2090" s="43">
        <v>114.01471036486214</v>
      </c>
      <c r="G2090" s="43">
        <v>114.36829529563653</v>
      </c>
      <c r="H2090" s="43">
        <v>114.59421093547834</v>
      </c>
      <c r="I2090" s="43">
        <v>114.70728030511822</v>
      </c>
    </row>
    <row r="2091" spans="1:9">
      <c r="A2091" s="19">
        <v>568.5</v>
      </c>
      <c r="B2091" s="43">
        <v>111.03605283769315</v>
      </c>
      <c r="C2091" s="43">
        <v>112.05130341512807</v>
      </c>
      <c r="D2091" s="43">
        <v>112.88090222171419</v>
      </c>
      <c r="E2091" s="43">
        <v>113.53694242192893</v>
      </c>
      <c r="F2091" s="43">
        <v>114.03409285809371</v>
      </c>
      <c r="G2091" s="43">
        <v>114.38800206871386</v>
      </c>
      <c r="H2091" s="43">
        <v>114.61422955362829</v>
      </c>
      <c r="I2091" s="43">
        <v>114.72759488638846</v>
      </c>
    </row>
    <row r="2092" spans="1:9">
      <c r="A2092" s="19">
        <v>568.6</v>
      </c>
      <c r="B2092" s="43">
        <v>111.05414689471874</v>
      </c>
      <c r="C2092" s="43">
        <v>112.06969935558257</v>
      </c>
      <c r="D2092" s="43">
        <v>112.89962073605017</v>
      </c>
      <c r="E2092" s="43">
        <v>113.55599268569171</v>
      </c>
      <c r="F2092" s="43">
        <v>114.05347468280513</v>
      </c>
      <c r="G2092" s="43">
        <v>114.40770814325185</v>
      </c>
      <c r="H2092" s="43">
        <v>114.63424745873002</v>
      </c>
      <c r="I2092" s="43">
        <v>114.74790875361111</v>
      </c>
    </row>
    <row r="2093" spans="1:9">
      <c r="A2093" s="19">
        <v>568.70000000000005</v>
      </c>
      <c r="B2093" s="43">
        <v>111.07224057740677</v>
      </c>
      <c r="C2093" s="43">
        <v>112.08809482355719</v>
      </c>
      <c r="D2093" s="43">
        <v>112.91833869476102</v>
      </c>
      <c r="E2093" s="43">
        <v>113.57504232842095</v>
      </c>
      <c r="F2093" s="43">
        <v>114.07285583920026</v>
      </c>
      <c r="G2093" s="43">
        <v>114.4274135194172</v>
      </c>
      <c r="H2093" s="43">
        <v>114.65426465092082</v>
      </c>
      <c r="I2093" s="43">
        <v>114.76822190689018</v>
      </c>
    </row>
    <row r="2094" spans="1:9">
      <c r="A2094" s="19">
        <v>568.79999999999995</v>
      </c>
      <c r="B2094" s="43">
        <v>111.09033388581872</v>
      </c>
      <c r="C2094" s="43">
        <v>112.10648981913587</v>
      </c>
      <c r="D2094" s="43">
        <v>112.93705609795296</v>
      </c>
      <c r="E2094" s="43">
        <v>113.59409135018436</v>
      </c>
      <c r="F2094" s="43">
        <v>114.09223632736368</v>
      </c>
      <c r="G2094" s="43">
        <v>114.44711819730423</v>
      </c>
      <c r="H2094" s="43">
        <v>114.6742811302681</v>
      </c>
      <c r="I2094" s="43">
        <v>114.78853434628732</v>
      </c>
    </row>
    <row r="2095" spans="1:9">
      <c r="A2095" s="19">
        <v>568.9</v>
      </c>
      <c r="B2095" s="43">
        <v>111.1084268204275</v>
      </c>
      <c r="C2095" s="43">
        <v>112.12488434278487</v>
      </c>
      <c r="D2095" s="43">
        <v>112.95577294604919</v>
      </c>
      <c r="E2095" s="43">
        <v>113.61313975138094</v>
      </c>
      <c r="F2095" s="43">
        <v>114.11161614764339</v>
      </c>
      <c r="G2095" s="43">
        <v>114.46682217719615</v>
      </c>
      <c r="H2095" s="43">
        <v>114.69429689699044</v>
      </c>
      <c r="I2095" s="43">
        <v>114.80884607196987</v>
      </c>
    </row>
    <row r="2096" spans="1:9">
      <c r="A2096" s="19">
        <v>569</v>
      </c>
      <c r="B2096" s="43">
        <v>111.12651938133834</v>
      </c>
      <c r="C2096" s="43">
        <v>112.14327839459892</v>
      </c>
      <c r="D2096" s="43">
        <v>112.97448923920211</v>
      </c>
      <c r="E2096" s="43">
        <v>113.63218753215304</v>
      </c>
      <c r="F2096" s="43">
        <v>114.13099530017058</v>
      </c>
      <c r="G2096" s="43">
        <v>114.48652545919705</v>
      </c>
      <c r="H2096" s="43">
        <v>114.71431195119359</v>
      </c>
      <c r="I2096" s="43">
        <v>114.82915708399884</v>
      </c>
    </row>
    <row r="2097" spans="1:9">
      <c r="A2097" s="19">
        <v>569.1</v>
      </c>
      <c r="B2097" s="43">
        <v>111.14461156883246</v>
      </c>
      <c r="C2097" s="43">
        <v>112.16167197488602</v>
      </c>
      <c r="D2097" s="43">
        <v>112.99320497767019</v>
      </c>
      <c r="E2097" s="43">
        <v>113.65123469275699</v>
      </c>
      <c r="F2097" s="43">
        <v>114.15037378516593</v>
      </c>
      <c r="G2097" s="43">
        <v>114.50622804348166</v>
      </c>
      <c r="H2097" s="43">
        <v>114.73432629301942</v>
      </c>
      <c r="I2097" s="43">
        <v>114.84946738250736</v>
      </c>
    </row>
    <row r="2098" spans="1:9">
      <c r="A2098" s="19">
        <v>569.20000000000005</v>
      </c>
      <c r="B2098" s="43">
        <v>111.16270338301777</v>
      </c>
      <c r="C2098" s="43">
        <v>112.18006508380242</v>
      </c>
      <c r="D2098" s="43">
        <v>113.0119201616119</v>
      </c>
      <c r="E2098" s="43">
        <v>113.67028123333225</v>
      </c>
      <c r="F2098" s="43">
        <v>114.16975160278062</v>
      </c>
      <c r="G2098" s="43">
        <v>114.5259299302152</v>
      </c>
      <c r="H2098" s="43">
        <v>114.75433992258979</v>
      </c>
      <c r="I2098" s="43">
        <v>114.86977696754724</v>
      </c>
    </row>
    <row r="2099" spans="1:9">
      <c r="A2099" s="19">
        <v>569.29999999999995</v>
      </c>
      <c r="B2099" s="43">
        <v>111.18079482429778</v>
      </c>
      <c r="C2099" s="43">
        <v>112.19845772169643</v>
      </c>
      <c r="D2099" s="43">
        <v>113.03063479134926</v>
      </c>
      <c r="E2099" s="43">
        <v>113.68932715420758</v>
      </c>
      <c r="F2099" s="43">
        <v>114.18912875325779</v>
      </c>
      <c r="G2099" s="43">
        <v>114.54563111958933</v>
      </c>
      <c r="H2099" s="43">
        <v>114.77435284005</v>
      </c>
      <c r="I2099" s="43">
        <v>114.89008583926258</v>
      </c>
    </row>
    <row r="2100" spans="1:9">
      <c r="A2100" s="19">
        <v>569.4</v>
      </c>
      <c r="B2100" s="43">
        <v>111.19888589284224</v>
      </c>
      <c r="C2100" s="43">
        <v>112.21684988877811</v>
      </c>
      <c r="D2100" s="43">
        <v>113.04934886716546</v>
      </c>
      <c r="E2100" s="43">
        <v>113.70837245556859</v>
      </c>
      <c r="F2100" s="43">
        <v>114.20850523681264</v>
      </c>
      <c r="G2100" s="43">
        <v>114.56533161177768</v>
      </c>
      <c r="H2100" s="43">
        <v>114.7943650455654</v>
      </c>
      <c r="I2100" s="43">
        <v>114.91039399776221</v>
      </c>
    </row>
    <row r="2101" spans="1:9">
      <c r="A2101" s="19">
        <v>569.5</v>
      </c>
      <c r="B2101" s="43">
        <v>111.21697658876181</v>
      </c>
      <c r="C2101" s="43">
        <v>112.23524158518811</v>
      </c>
      <c r="D2101" s="43">
        <v>113.06806238913208</v>
      </c>
      <c r="E2101" s="43">
        <v>113.72741713756196</v>
      </c>
      <c r="F2101" s="43">
        <v>114.22788105356284</v>
      </c>
      <c r="G2101" s="43">
        <v>114.58503140688717</v>
      </c>
      <c r="H2101" s="43">
        <v>114.81437653919204</v>
      </c>
      <c r="I2101" s="43">
        <v>114.93070144309738</v>
      </c>
    </row>
    <row r="2102" spans="1:9">
      <c r="A2102" s="19">
        <v>569.6</v>
      </c>
      <c r="B2102" s="43">
        <v>111.23506691245498</v>
      </c>
      <c r="C2102" s="43">
        <v>112.2536328113097</v>
      </c>
      <c r="D2102" s="43">
        <v>113.08677535762916</v>
      </c>
      <c r="E2102" s="43">
        <v>113.74646120053487</v>
      </c>
      <c r="F2102" s="43">
        <v>114.24725620378194</v>
      </c>
      <c r="G2102" s="43">
        <v>114.60473050514034</v>
      </c>
      <c r="H2102" s="43">
        <v>114.83438732116335</v>
      </c>
      <c r="I2102" s="43">
        <v>114.95100817542132</v>
      </c>
    </row>
    <row r="2103" spans="1:9">
      <c r="A2103" s="19">
        <v>569.70000000000005</v>
      </c>
      <c r="B2103" s="43">
        <v>111.25315686409465</v>
      </c>
      <c r="C2103" s="43">
        <v>112.27202356732553</v>
      </c>
      <c r="D2103" s="43">
        <v>113.1054877728682</v>
      </c>
      <c r="E2103" s="43">
        <v>113.76550464462375</v>
      </c>
      <c r="F2103" s="43">
        <v>114.26663068765086</v>
      </c>
      <c r="G2103" s="43">
        <v>114.62442890671952</v>
      </c>
      <c r="H2103" s="43">
        <v>114.85439739155072</v>
      </c>
      <c r="I2103" s="43">
        <v>114.97131419481551</v>
      </c>
    </row>
    <row r="2104" spans="1:9">
      <c r="A2104" s="19">
        <v>569.79999999999995</v>
      </c>
      <c r="B2104" s="43">
        <v>111.27124644395394</v>
      </c>
      <c r="C2104" s="43">
        <v>112.2904138535277</v>
      </c>
      <c r="D2104" s="43">
        <v>113.12419963509814</v>
      </c>
      <c r="E2104" s="43">
        <v>113.784547470136</v>
      </c>
      <c r="F2104" s="43">
        <v>114.28600450538485</v>
      </c>
      <c r="G2104" s="43">
        <v>114.64412661178304</v>
      </c>
      <c r="H2104" s="43">
        <v>114.87440675054182</v>
      </c>
      <c r="I2104" s="43">
        <v>114.99161950140385</v>
      </c>
    </row>
    <row r="2105" spans="1:9">
      <c r="A2105" s="19">
        <v>569.9</v>
      </c>
      <c r="B2105" s="43">
        <v>111.28933565209792</v>
      </c>
      <c r="C2105" s="43">
        <v>112.30880367000194</v>
      </c>
      <c r="D2105" s="43">
        <v>113.1429109444644</v>
      </c>
      <c r="E2105" s="43">
        <v>113.80358967715358</v>
      </c>
      <c r="F2105" s="43">
        <v>114.30537765712276</v>
      </c>
      <c r="G2105" s="43">
        <v>114.66382362044445</v>
      </c>
      <c r="H2105" s="43">
        <v>114.89441539820356</v>
      </c>
      <c r="I2105" s="43">
        <v>115.01192409524455</v>
      </c>
    </row>
    <row r="2106" spans="1:9">
      <c r="A2106" s="19">
        <v>570</v>
      </c>
      <c r="B2106" s="43">
        <v>111.28469175389728</v>
      </c>
      <c r="C2106" s="43">
        <v>112.30597133798753</v>
      </c>
      <c r="D2106" s="43">
        <v>113.14208364577465</v>
      </c>
      <c r="E2106" s="43">
        <v>113.80491760144844</v>
      </c>
      <c r="F2106" s="43">
        <v>114.30897163628845</v>
      </c>
      <c r="G2106" s="43">
        <v>114.66976062239198</v>
      </c>
      <c r="H2106" s="43">
        <v>114.90274428864083</v>
      </c>
      <c r="I2106" s="43">
        <v>115.02267094467365</v>
      </c>
    </row>
    <row r="2107" spans="1:9">
      <c r="A2107" s="19">
        <v>570.1</v>
      </c>
      <c r="B2107" s="43">
        <v>111.28001860506973</v>
      </c>
      <c r="C2107" s="43">
        <v>112.3031086353194</v>
      </c>
      <c r="D2107" s="43">
        <v>113.14122480672205</v>
      </c>
      <c r="E2107" s="43">
        <v>113.80621287298453</v>
      </c>
      <c r="F2107" s="43">
        <v>114.31253196693606</v>
      </c>
      <c r="G2107" s="43">
        <v>114.67566311966581</v>
      </c>
      <c r="H2107" s="43">
        <v>114.91103795623587</v>
      </c>
      <c r="I2107" s="43">
        <v>115.0333819744983</v>
      </c>
    </row>
    <row r="2108" spans="1:9">
      <c r="A2108" s="19">
        <v>570.20000000000005</v>
      </c>
      <c r="B2108" s="43">
        <v>111.29808424670856</v>
      </c>
      <c r="C2108" s="43">
        <v>112.32147288965297</v>
      </c>
      <c r="D2108" s="43">
        <v>113.15990842834347</v>
      </c>
      <c r="E2108" s="43">
        <v>113.82522523937305</v>
      </c>
      <c r="F2108" s="43">
        <v>114.33187317225702</v>
      </c>
      <c r="G2108" s="43">
        <v>114.69532617374284</v>
      </c>
      <c r="H2108" s="43">
        <v>114.93101077092916</v>
      </c>
      <c r="I2108" s="43">
        <v>115.05364900605213</v>
      </c>
    </row>
    <row r="2109" spans="1:9">
      <c r="A2109" s="19">
        <v>570.29999999999995</v>
      </c>
      <c r="B2109" s="43">
        <v>111.31614951572865</v>
      </c>
      <c r="C2109" s="43">
        <v>112.33983667432145</v>
      </c>
      <c r="D2109" s="43">
        <v>113.17859149771729</v>
      </c>
      <c r="E2109" s="43">
        <v>113.84423698817906</v>
      </c>
      <c r="F2109" s="43">
        <v>114.35121371244998</v>
      </c>
      <c r="G2109" s="43">
        <v>114.71498853205011</v>
      </c>
      <c r="H2109" s="43">
        <v>114.95098287448121</v>
      </c>
      <c r="I2109" s="43">
        <v>115.07391532440212</v>
      </c>
    </row>
    <row r="2110" spans="1:9">
      <c r="A2110" s="19">
        <v>570.4</v>
      </c>
      <c r="B2110" s="43">
        <v>111.33421441262772</v>
      </c>
      <c r="C2110" s="43">
        <v>112.35819998970112</v>
      </c>
      <c r="D2110" s="43">
        <v>113.19727401521357</v>
      </c>
      <c r="E2110" s="43">
        <v>113.86324811975703</v>
      </c>
      <c r="F2110" s="43">
        <v>114.37055358782357</v>
      </c>
      <c r="G2110" s="43">
        <v>114.73465019485698</v>
      </c>
      <c r="H2110" s="43">
        <v>114.97095426709035</v>
      </c>
      <c r="I2110" s="43">
        <v>115.0941809297247</v>
      </c>
    </row>
    <row r="2111" spans="1:9">
      <c r="A2111" s="19">
        <v>570.5</v>
      </c>
      <c r="B2111" s="43">
        <v>111.35227893750152</v>
      </c>
      <c r="C2111" s="43">
        <v>112.37656283598704</v>
      </c>
      <c r="D2111" s="43">
        <v>113.21595598102391</v>
      </c>
      <c r="E2111" s="43">
        <v>113.8822586342616</v>
      </c>
      <c r="F2111" s="43">
        <v>114.3898927985127</v>
      </c>
      <c r="G2111" s="43">
        <v>114.75431116227062</v>
      </c>
      <c r="H2111" s="43">
        <v>114.99092494885517</v>
      </c>
      <c r="I2111" s="43">
        <v>115.11444582208514</v>
      </c>
    </row>
    <row r="2112" spans="1:9">
      <c r="A2112" s="19">
        <v>570.6</v>
      </c>
      <c r="B2112" s="43">
        <v>111.37034309062258</v>
      </c>
      <c r="C2112" s="43">
        <v>112.39492521344158</v>
      </c>
      <c r="D2112" s="43">
        <v>113.23463739540597</v>
      </c>
      <c r="E2112" s="43">
        <v>113.90126853197143</v>
      </c>
      <c r="F2112" s="43">
        <v>114.40923134476967</v>
      </c>
      <c r="G2112" s="43">
        <v>114.77397143450426</v>
      </c>
      <c r="H2112" s="43">
        <v>115.01089491995376</v>
      </c>
      <c r="I2112" s="43">
        <v>115.13471000161175</v>
      </c>
    </row>
    <row r="2113" spans="1:9">
      <c r="A2113" s="19">
        <v>570.70000000000005</v>
      </c>
      <c r="B2113" s="43">
        <v>111.38840687206749</v>
      </c>
      <c r="C2113" s="43">
        <v>112.41328712217302</v>
      </c>
      <c r="D2113" s="43">
        <v>113.25331825846379</v>
      </c>
      <c r="E2113" s="43">
        <v>113.92027781296164</v>
      </c>
      <c r="F2113" s="43">
        <v>114.42856922669489</v>
      </c>
      <c r="G2113" s="43">
        <v>114.79363101164739</v>
      </c>
      <c r="H2113" s="43">
        <v>115.03086418044907</v>
      </c>
      <c r="I2113" s="43">
        <v>115.15497346835807</v>
      </c>
    </row>
    <row r="2114" spans="1:9">
      <c r="A2114" s="19">
        <v>570.79999999999995</v>
      </c>
      <c r="B2114" s="43">
        <v>111.40647028228102</v>
      </c>
      <c r="C2114" s="43">
        <v>112.43164856258861</v>
      </c>
      <c r="D2114" s="43">
        <v>113.27199857058832</v>
      </c>
      <c r="E2114" s="43">
        <v>113.9392864776124</v>
      </c>
      <c r="F2114" s="43">
        <v>114.44790644459468</v>
      </c>
      <c r="G2114" s="43">
        <v>114.81328989394873</v>
      </c>
      <c r="H2114" s="43">
        <v>115.05083273054973</v>
      </c>
      <c r="I2114" s="43">
        <v>115.17523622247762</v>
      </c>
    </row>
    <row r="2115" spans="1:9">
      <c r="A2115" s="19">
        <v>570.9</v>
      </c>
      <c r="B2115" s="43">
        <v>111.42453332144953</v>
      </c>
      <c r="C2115" s="43">
        <v>112.45000953492485</v>
      </c>
      <c r="D2115" s="43">
        <v>113.29067833204226</v>
      </c>
      <c r="E2115" s="43">
        <v>113.95829452611667</v>
      </c>
      <c r="F2115" s="43">
        <v>114.46724299864306</v>
      </c>
      <c r="G2115" s="43">
        <v>114.83294808159712</v>
      </c>
      <c r="H2115" s="43">
        <v>115.07080057040807</v>
      </c>
      <c r="I2115" s="43">
        <v>115.19549826409093</v>
      </c>
    </row>
    <row r="2116" spans="1:9">
      <c r="A2116" s="19">
        <v>571</v>
      </c>
      <c r="B2116" s="43">
        <v>111.44259598957478</v>
      </c>
      <c r="C2116" s="43">
        <v>112.46837003920598</v>
      </c>
      <c r="D2116" s="43">
        <v>113.3093575428384</v>
      </c>
      <c r="E2116" s="43">
        <v>113.97730195856963</v>
      </c>
      <c r="F2116" s="43">
        <v>114.48657888893854</v>
      </c>
      <c r="G2116" s="43">
        <v>114.8526055746278</v>
      </c>
      <c r="H2116" s="43">
        <v>115.09076770005944</v>
      </c>
      <c r="I2116" s="43">
        <v>115.2157595932234</v>
      </c>
    </row>
    <row r="2117" spans="1:9">
      <c r="A2117" s="19">
        <v>571.1</v>
      </c>
      <c r="B2117" s="43">
        <v>111.46065828715464</v>
      </c>
      <c r="C2117" s="43">
        <v>112.48673007591631</v>
      </c>
      <c r="D2117" s="43">
        <v>113.32803620341676</v>
      </c>
      <c r="E2117" s="43">
        <v>113.9963087753338</v>
      </c>
      <c r="F2117" s="43">
        <v>114.50591411580112</v>
      </c>
      <c r="G2117" s="43">
        <v>114.87226237333778</v>
      </c>
      <c r="H2117" s="43">
        <v>115.11073411974692</v>
      </c>
      <c r="I2117" s="43">
        <v>115.23602021005559</v>
      </c>
    </row>
    <row r="2118" spans="1:9">
      <c r="A2118" s="19">
        <v>571.20000000000005</v>
      </c>
      <c r="B2118" s="43">
        <v>111.47872021427585</v>
      </c>
      <c r="C2118" s="43">
        <v>112.50508964514543</v>
      </c>
      <c r="D2118" s="43">
        <v>113.34671431394565</v>
      </c>
      <c r="E2118" s="43">
        <v>114.01531497657419</v>
      </c>
      <c r="F2118" s="43">
        <v>114.52524867936856</v>
      </c>
      <c r="G2118" s="43">
        <v>114.89191847785946</v>
      </c>
      <c r="H2118" s="43">
        <v>115.13069982954647</v>
      </c>
      <c r="I2118" s="43">
        <v>115.25628011466199</v>
      </c>
    </row>
    <row r="2119" spans="1:9">
      <c r="A2119" s="19">
        <v>571.29999999999995</v>
      </c>
      <c r="B2119" s="43">
        <v>111.4967817712762</v>
      </c>
      <c r="C2119" s="43">
        <v>112.52344874725051</v>
      </c>
      <c r="D2119" s="43">
        <v>113.36539187470396</v>
      </c>
      <c r="E2119" s="43">
        <v>114.03432056255465</v>
      </c>
      <c r="F2119" s="43">
        <v>114.54458257988682</v>
      </c>
      <c r="G2119" s="43">
        <v>114.91157388838511</v>
      </c>
      <c r="H2119" s="43">
        <v>115.15066482965716</v>
      </c>
      <c r="I2119" s="43">
        <v>115.27653930716397</v>
      </c>
    </row>
    <row r="2120" spans="1:9">
      <c r="A2120" s="19">
        <v>571.4</v>
      </c>
      <c r="B2120" s="43">
        <v>111.51484295820114</v>
      </c>
      <c r="C2120" s="43">
        <v>112.54180738227959</v>
      </c>
      <c r="D2120" s="43">
        <v>113.38406888579451</v>
      </c>
      <c r="E2120" s="43">
        <v>114.05332553338607</v>
      </c>
      <c r="F2120" s="43">
        <v>114.56391581744472</v>
      </c>
      <c r="G2120" s="43">
        <v>114.93122860500318</v>
      </c>
      <c r="H2120" s="43">
        <v>115.1706291201304</v>
      </c>
      <c r="I2120" s="43">
        <v>115.29679778763199</v>
      </c>
    </row>
    <row r="2121" spans="1:9">
      <c r="A2121" s="19">
        <v>571.5</v>
      </c>
      <c r="B2121" s="43">
        <v>111.53290377538002</v>
      </c>
      <c r="C2121" s="43">
        <v>112.56016555062553</v>
      </c>
      <c r="D2121" s="43">
        <v>113.40274534757134</v>
      </c>
      <c r="E2121" s="43">
        <v>114.07232988937372</v>
      </c>
      <c r="F2121" s="43">
        <v>114.58324839234709</v>
      </c>
      <c r="G2121" s="43">
        <v>114.95088262793823</v>
      </c>
      <c r="H2121" s="43">
        <v>115.19059270116725</v>
      </c>
      <c r="I2121" s="43">
        <v>115.31705555618973</v>
      </c>
    </row>
    <row r="2122" spans="1:9">
      <c r="A2122" s="19">
        <v>571.6</v>
      </c>
      <c r="B2122" s="43">
        <v>111.55096422308608</v>
      </c>
      <c r="C2122" s="43">
        <v>112.57852325251713</v>
      </c>
      <c r="D2122" s="43">
        <v>113.42142126024314</v>
      </c>
      <c r="E2122" s="43">
        <v>114.09133363073258</v>
      </c>
      <c r="F2122" s="43">
        <v>114.60258030477257</v>
      </c>
      <c r="G2122" s="43">
        <v>114.97053595739393</v>
      </c>
      <c r="H2122" s="43">
        <v>115.21055557288514</v>
      </c>
      <c r="I2122" s="43">
        <v>115.33731261295512</v>
      </c>
    </row>
    <row r="2123" spans="1:9">
      <c r="A2123" s="19">
        <v>571.70000000000005</v>
      </c>
      <c r="B2123" s="43">
        <v>111.56902430149378</v>
      </c>
      <c r="C2123" s="43">
        <v>112.59688048817856</v>
      </c>
      <c r="D2123" s="43">
        <v>113.44009662407436</v>
      </c>
      <c r="E2123" s="43">
        <v>114.11033675770457</v>
      </c>
      <c r="F2123" s="43">
        <v>114.62191155490225</v>
      </c>
      <c r="G2123" s="43">
        <v>114.99018859350554</v>
      </c>
      <c r="H2123" s="43">
        <v>115.23051773545001</v>
      </c>
      <c r="I2123" s="43">
        <v>115.35756895803866</v>
      </c>
    </row>
    <row r="2124" spans="1:9">
      <c r="A2124" s="19">
        <v>571.79999999999995</v>
      </c>
      <c r="B2124" s="43">
        <v>111.58708401073858</v>
      </c>
      <c r="C2124" s="43">
        <v>112.61523725772491</v>
      </c>
      <c r="D2124" s="43">
        <v>113.45877143917585</v>
      </c>
      <c r="E2124" s="43">
        <v>114.12933927040348</v>
      </c>
      <c r="F2124" s="43">
        <v>114.64124214287548</v>
      </c>
      <c r="G2124" s="43">
        <v>115.00984053638703</v>
      </c>
      <c r="H2124" s="43">
        <v>115.25047918891559</v>
      </c>
      <c r="I2124" s="43">
        <v>115.37782459148679</v>
      </c>
    </row>
    <row r="2125" spans="1:9">
      <c r="A2125" s="19">
        <v>571.9</v>
      </c>
      <c r="B2125" s="43">
        <v>111.60514335121729</v>
      </c>
      <c r="C2125" s="43">
        <v>112.63359356157716</v>
      </c>
      <c r="D2125" s="43">
        <v>113.47744570591385</v>
      </c>
      <c r="E2125" s="43">
        <v>114.1483411691635</v>
      </c>
      <c r="F2125" s="43">
        <v>114.66057206900084</v>
      </c>
      <c r="G2125" s="43">
        <v>115.02949178629996</v>
      </c>
      <c r="H2125" s="43">
        <v>115.27043993352049</v>
      </c>
      <c r="I2125" s="43">
        <v>115.39807951347021</v>
      </c>
    </row>
    <row r="2126" spans="1:9">
      <c r="A2126" s="19">
        <v>572</v>
      </c>
      <c r="B2126" s="43">
        <v>111.62320232308389</v>
      </c>
      <c r="C2126" s="43">
        <v>112.65194939987558</v>
      </c>
      <c r="D2126" s="43">
        <v>113.49611942450417</v>
      </c>
      <c r="E2126" s="43">
        <v>114.16734245419647</v>
      </c>
      <c r="F2126" s="43">
        <v>114.67990133342985</v>
      </c>
      <c r="G2126" s="43">
        <v>115.04914234338099</v>
      </c>
      <c r="H2126" s="43">
        <v>115.29039996937141</v>
      </c>
      <c r="I2126" s="43">
        <v>115.41833372408797</v>
      </c>
    </row>
    <row r="2127" spans="1:9">
      <c r="A2127" s="19">
        <v>572.1</v>
      </c>
      <c r="B2127" s="43">
        <v>111.64126092646245</v>
      </c>
      <c r="C2127" s="43">
        <v>112.67030477284482</v>
      </c>
      <c r="D2127" s="43">
        <v>113.51479259507676</v>
      </c>
      <c r="E2127" s="43">
        <v>114.18634312561761</v>
      </c>
      <c r="F2127" s="43">
        <v>114.69922993630729</v>
      </c>
      <c r="G2127" s="43">
        <v>115.06879220776366</v>
      </c>
      <c r="H2127" s="43">
        <v>115.31035929656687</v>
      </c>
      <c r="I2127" s="43">
        <v>115.4385872233878</v>
      </c>
    </row>
    <row r="2128" spans="1:9">
      <c r="A2128" s="19">
        <v>572.20000000000005</v>
      </c>
      <c r="B2128" s="43">
        <v>111.65931916171468</v>
      </c>
      <c r="C2128" s="43">
        <v>112.68865968075025</v>
      </c>
      <c r="D2128" s="43">
        <v>113.5334652180122</v>
      </c>
      <c r="E2128" s="43">
        <v>114.20534318374928</v>
      </c>
      <c r="F2128" s="43">
        <v>114.71855787789625</v>
      </c>
      <c r="G2128" s="43">
        <v>115.08844137965349</v>
      </c>
      <c r="H2128" s="43">
        <v>115.330317915282</v>
      </c>
      <c r="I2128" s="43">
        <v>115.45884001153274</v>
      </c>
    </row>
    <row r="2129" spans="1:9">
      <c r="A2129" s="19">
        <v>572.29999999999995</v>
      </c>
      <c r="B2129" s="43">
        <v>111.67737702902764</v>
      </c>
      <c r="C2129" s="43">
        <v>112.70701412382772</v>
      </c>
      <c r="D2129" s="43">
        <v>113.55213729343026</v>
      </c>
      <c r="E2129" s="43">
        <v>114.22434262878241</v>
      </c>
      <c r="F2129" s="43">
        <v>114.73788515837151</v>
      </c>
      <c r="G2129" s="43">
        <v>115.10808985922432</v>
      </c>
      <c r="H2129" s="43">
        <v>115.35027582565468</v>
      </c>
      <c r="I2129" s="43">
        <v>115.47909208861915</v>
      </c>
    </row>
    <row r="2130" spans="1:9">
      <c r="A2130" s="19">
        <v>572.4</v>
      </c>
      <c r="B2130" s="43">
        <v>111.6954345286193</v>
      </c>
      <c r="C2130" s="43">
        <v>112.72536810232396</v>
      </c>
      <c r="D2130" s="43">
        <v>113.57080882163908</v>
      </c>
      <c r="E2130" s="43">
        <v>114.24334146094824</v>
      </c>
      <c r="F2130" s="43">
        <v>114.75721177795637</v>
      </c>
      <c r="G2130" s="43">
        <v>115.12773764664203</v>
      </c>
      <c r="H2130" s="43">
        <v>115.37023302782686</v>
      </c>
      <c r="I2130" s="43">
        <v>115.49934345473636</v>
      </c>
    </row>
    <row r="2131" spans="1:9">
      <c r="A2131" s="19">
        <v>572.5</v>
      </c>
      <c r="B2131" s="43">
        <v>111.71349166063914</v>
      </c>
      <c r="C2131" s="43">
        <v>112.74372161638254</v>
      </c>
      <c r="D2131" s="43">
        <v>113.58947980275931</v>
      </c>
      <c r="E2131" s="43">
        <v>114.26233968039122</v>
      </c>
      <c r="F2131" s="43">
        <v>114.77653773675596</v>
      </c>
      <c r="G2131" s="43">
        <v>115.14738474202204</v>
      </c>
      <c r="H2131" s="43">
        <v>115.39018952187391</v>
      </c>
      <c r="I2131" s="43">
        <v>115.51959410997623</v>
      </c>
    </row>
    <row r="2132" spans="1:9">
      <c r="A2132" s="19">
        <v>572.6</v>
      </c>
      <c r="B2132" s="43">
        <v>111.73154842545216</v>
      </c>
      <c r="C2132" s="43">
        <v>112.76207466642001</v>
      </c>
      <c r="D2132" s="43">
        <v>113.60815023720005</v>
      </c>
      <c r="E2132" s="43">
        <v>114.28133728745408</v>
      </c>
      <c r="F2132" s="43">
        <v>114.79586303508916</v>
      </c>
      <c r="G2132" s="43">
        <v>115.16703114561034</v>
      </c>
      <c r="H2132" s="43">
        <v>115.41014530803525</v>
      </c>
      <c r="I2132" s="43">
        <v>115.53984405449015</v>
      </c>
    </row>
    <row r="2133" spans="1:9">
      <c r="A2133" s="19">
        <v>572.70000000000005</v>
      </c>
      <c r="B2133" s="43">
        <v>111.74960482316206</v>
      </c>
      <c r="C2133" s="43">
        <v>112.78042725250597</v>
      </c>
      <c r="D2133" s="43">
        <v>113.62682012505306</v>
      </c>
      <c r="E2133" s="43">
        <v>114.30033428226616</v>
      </c>
      <c r="F2133" s="43">
        <v>114.8151876730833</v>
      </c>
      <c r="G2133" s="43">
        <v>115.18667685754733</v>
      </c>
      <c r="H2133" s="43">
        <v>115.43010038637794</v>
      </c>
      <c r="I2133" s="43">
        <v>115.56009328834546</v>
      </c>
    </row>
    <row r="2134" spans="1:9">
      <c r="A2134" s="19">
        <v>572.79999999999995</v>
      </c>
      <c r="B2134" s="43">
        <v>111.76766085413033</v>
      </c>
      <c r="C2134" s="43">
        <v>112.79877937501078</v>
      </c>
      <c r="D2134" s="43">
        <v>113.64548946664098</v>
      </c>
      <c r="E2134" s="43">
        <v>114.31933066511337</v>
      </c>
      <c r="F2134" s="43">
        <v>114.83451165098163</v>
      </c>
      <c r="G2134" s="43">
        <v>115.20632187801021</v>
      </c>
      <c r="H2134" s="43">
        <v>115.4500547570868</v>
      </c>
      <c r="I2134" s="43">
        <v>115.58034181168372</v>
      </c>
    </row>
    <row r="2135" spans="1:9">
      <c r="A2135" s="19">
        <v>572.9</v>
      </c>
      <c r="B2135" s="43">
        <v>111.78571651837646</v>
      </c>
      <c r="C2135" s="43">
        <v>112.81713103399466</v>
      </c>
      <c r="D2135" s="43">
        <v>113.66415826209467</v>
      </c>
      <c r="E2135" s="43">
        <v>114.3383264361016</v>
      </c>
      <c r="F2135" s="43">
        <v>114.85383496888812</v>
      </c>
      <c r="G2135" s="43">
        <v>115.22596620712059</v>
      </c>
      <c r="H2135" s="43">
        <v>115.47000842024104</v>
      </c>
      <c r="I2135" s="43">
        <v>115.60058962455278</v>
      </c>
    </row>
    <row r="2136" spans="1:9">
      <c r="A2136" s="19">
        <v>573</v>
      </c>
      <c r="B2136" s="43">
        <v>111.80377181626079</v>
      </c>
      <c r="C2136" s="43">
        <v>112.83548222983697</v>
      </c>
      <c r="D2136" s="43">
        <v>113.68282651171862</v>
      </c>
      <c r="E2136" s="43">
        <v>114.35732159556727</v>
      </c>
      <c r="F2136" s="43">
        <v>114.87315762708786</v>
      </c>
      <c r="G2136" s="43">
        <v>115.24560984509966</v>
      </c>
      <c r="H2136" s="43">
        <v>115.4899613760229</v>
      </c>
      <c r="I2136" s="43">
        <v>115.6208367270996</v>
      </c>
    </row>
    <row r="2137" spans="1:9">
      <c r="A2137" s="19">
        <v>573.1</v>
      </c>
      <c r="B2137" s="43">
        <v>111.82182674808564</v>
      </c>
      <c r="C2137" s="43">
        <v>112.85383296277959</v>
      </c>
      <c r="D2137" s="43">
        <v>113.7014942157922</v>
      </c>
      <c r="E2137" s="43">
        <v>114.37631614371421</v>
      </c>
      <c r="F2137" s="43">
        <v>114.89247962578526</v>
      </c>
      <c r="G2137" s="43">
        <v>115.26525279212976</v>
      </c>
      <c r="H2137" s="43">
        <v>115.50991362458694</v>
      </c>
      <c r="I2137" s="43">
        <v>115.64108311945563</v>
      </c>
    </row>
    <row r="2138" spans="1:9">
      <c r="A2138" s="19">
        <v>573.20000000000005</v>
      </c>
      <c r="B2138" s="43">
        <v>111.83988131387767</v>
      </c>
      <c r="C2138" s="43">
        <v>112.87218323296514</v>
      </c>
      <c r="D2138" s="43">
        <v>113.72016137444666</v>
      </c>
      <c r="E2138" s="43">
        <v>114.39531008071214</v>
      </c>
      <c r="F2138" s="43">
        <v>114.91180096509754</v>
      </c>
      <c r="G2138" s="43">
        <v>115.28489504832655</v>
      </c>
      <c r="H2138" s="43">
        <v>115.52986516601135</v>
      </c>
      <c r="I2138" s="43">
        <v>115.66132880165918</v>
      </c>
    </row>
    <row r="2139" spans="1:9">
      <c r="A2139" s="19">
        <v>573.29999999999995</v>
      </c>
      <c r="B2139" s="43">
        <v>111.85793551393368</v>
      </c>
      <c r="C2139" s="43">
        <v>112.89053304065482</v>
      </c>
      <c r="D2139" s="43">
        <v>113.73882798791786</v>
      </c>
      <c r="E2139" s="43">
        <v>114.4143034067601</v>
      </c>
      <c r="F2139" s="43">
        <v>114.93112164527793</v>
      </c>
      <c r="G2139" s="43">
        <v>115.30453661386261</v>
      </c>
      <c r="H2139" s="43">
        <v>115.54981600046489</v>
      </c>
      <c r="I2139" s="43">
        <v>115.68157377384534</v>
      </c>
    </row>
    <row r="2140" spans="1:9">
      <c r="A2140" s="19">
        <v>573.4</v>
      </c>
      <c r="B2140" s="43">
        <v>111.87598934854398</v>
      </c>
      <c r="C2140" s="43">
        <v>112.90888238612337</v>
      </c>
      <c r="D2140" s="43">
        <v>113.7574940565232</v>
      </c>
      <c r="E2140" s="43">
        <v>114.43329612215953</v>
      </c>
      <c r="F2140" s="43">
        <v>114.9504416665342</v>
      </c>
      <c r="G2140" s="43">
        <v>115.3241774889722</v>
      </c>
      <c r="H2140" s="43">
        <v>115.56976612809663</v>
      </c>
      <c r="I2140" s="43">
        <v>115.7018180361386</v>
      </c>
    </row>
    <row r="2141" spans="1:9">
      <c r="A2141" s="19">
        <v>573.5</v>
      </c>
      <c r="B2141" s="43">
        <v>111.89404281792702</v>
      </c>
      <c r="C2141" s="43">
        <v>112.9272312696452</v>
      </c>
      <c r="D2141" s="43">
        <v>113.7761595804879</v>
      </c>
      <c r="E2141" s="43">
        <v>114.45228822713491</v>
      </c>
      <c r="F2141" s="43">
        <v>114.96976102905603</v>
      </c>
      <c r="G2141" s="43">
        <v>115.34381767377795</v>
      </c>
      <c r="H2141" s="43">
        <v>115.58971554906955</v>
      </c>
      <c r="I2141" s="43">
        <v>115.7220615886466</v>
      </c>
    </row>
    <row r="2142" spans="1:9">
      <c r="A2142" s="19">
        <v>573.6</v>
      </c>
      <c r="B2142" s="43">
        <v>111.91209592218428</v>
      </c>
      <c r="C2142" s="43">
        <v>112.94557969129025</v>
      </c>
      <c r="D2142" s="43">
        <v>113.79482455993053</v>
      </c>
      <c r="E2142" s="43">
        <v>114.47127972176492</v>
      </c>
      <c r="F2142" s="43">
        <v>114.98907973297236</v>
      </c>
      <c r="G2142" s="43">
        <v>115.36345716842172</v>
      </c>
      <c r="H2142" s="43">
        <v>115.60966426343998</v>
      </c>
      <c r="I2142" s="43">
        <v>115.74230443142437</v>
      </c>
    </row>
    <row r="2143" spans="1:9">
      <c r="A2143" s="19">
        <v>573.70000000000005</v>
      </c>
      <c r="B2143" s="43">
        <v>111.93014866165339</v>
      </c>
      <c r="C2143" s="43">
        <v>112.96392765144063</v>
      </c>
      <c r="D2143" s="43">
        <v>113.81348899520844</v>
      </c>
      <c r="E2143" s="43">
        <v>114.49027060640265</v>
      </c>
      <c r="F2143" s="43">
        <v>115.00839777855845</v>
      </c>
      <c r="G2143" s="43">
        <v>115.38309597312542</v>
      </c>
      <c r="H2143" s="43">
        <v>115.62961227141292</v>
      </c>
      <c r="I2143" s="43">
        <v>115.76254656462828</v>
      </c>
    </row>
    <row r="2144" spans="1:9">
      <c r="A2144" s="19">
        <v>573.79999999999995</v>
      </c>
      <c r="B2144" s="43">
        <v>111.94820103653319</v>
      </c>
      <c r="C2144" s="43">
        <v>112.98227515031479</v>
      </c>
      <c r="D2144" s="43">
        <v>113.83215288649217</v>
      </c>
      <c r="E2144" s="43">
        <v>114.50926088125919</v>
      </c>
      <c r="F2144" s="43">
        <v>115.02771516601064</v>
      </c>
      <c r="G2144" s="43">
        <v>115.40273408803915</v>
      </c>
      <c r="H2144" s="43">
        <v>115.64955957312623</v>
      </c>
      <c r="I2144" s="43">
        <v>115.78278798835609</v>
      </c>
    </row>
    <row r="2145" spans="1:9">
      <c r="A2145" s="19">
        <v>573.9</v>
      </c>
      <c r="B2145" s="43">
        <v>111.9662530471075</v>
      </c>
      <c r="C2145" s="43">
        <v>113.00062218814855</v>
      </c>
      <c r="D2145" s="43">
        <v>113.85081623409349</v>
      </c>
      <c r="E2145" s="43">
        <v>114.52825054653542</v>
      </c>
      <c r="F2145" s="43">
        <v>115.0470318955096</v>
      </c>
      <c r="G2145" s="43">
        <v>115.42237151336528</v>
      </c>
      <c r="H2145" s="43">
        <v>115.66950616870838</v>
      </c>
      <c r="I2145" s="43">
        <v>115.80302870272595</v>
      </c>
    </row>
    <row r="2146" spans="1:9">
      <c r="A2146" s="19">
        <v>574</v>
      </c>
      <c r="B2146" s="43">
        <v>111.98430469340983</v>
      </c>
      <c r="C2146" s="43">
        <v>113.01896876507985</v>
      </c>
      <c r="D2146" s="43">
        <v>113.86947903809704</v>
      </c>
      <c r="E2146" s="43">
        <v>114.54723960238772</v>
      </c>
      <c r="F2146" s="43">
        <v>115.06634796722318</v>
      </c>
      <c r="G2146" s="43">
        <v>115.4420082491807</v>
      </c>
      <c r="H2146" s="43">
        <v>115.68945205826591</v>
      </c>
      <c r="I2146" s="43">
        <v>115.82326870778599</v>
      </c>
    </row>
    <row r="2147" spans="1:9">
      <c r="A2147" s="19">
        <v>574.1</v>
      </c>
      <c r="B2147" s="43">
        <v>112.00235597583648</v>
      </c>
      <c r="C2147" s="43">
        <v>113.03731488145385</v>
      </c>
      <c r="D2147" s="43">
        <v>113.8881412988645</v>
      </c>
      <c r="E2147" s="43">
        <v>114.56622804911419</v>
      </c>
      <c r="F2147" s="43">
        <v>115.08566338138112</v>
      </c>
      <c r="G2147" s="43">
        <v>115.46164429574412</v>
      </c>
      <c r="H2147" s="43">
        <v>115.70939724198891</v>
      </c>
      <c r="I2147" s="43">
        <v>115.84350800371536</v>
      </c>
    </row>
    <row r="2148" spans="1:9">
      <c r="A2148" s="19">
        <v>574.20000000000005</v>
      </c>
      <c r="B2148" s="43">
        <v>112.02040689456427</v>
      </c>
      <c r="C2148" s="43">
        <v>113.05566053747108</v>
      </c>
      <c r="D2148" s="43">
        <v>113.90680301658739</v>
      </c>
      <c r="E2148" s="43">
        <v>114.58521588690326</v>
      </c>
      <c r="F2148" s="43">
        <v>115.10497813816539</v>
      </c>
      <c r="G2148" s="43">
        <v>115.48127965320464</v>
      </c>
      <c r="H2148" s="43">
        <v>115.72934171997176</v>
      </c>
      <c r="I2148" s="43">
        <v>115.86374659057046</v>
      </c>
    </row>
    <row r="2149" spans="1:9">
      <c r="A2149" s="19">
        <v>574.29999999999995</v>
      </c>
      <c r="B2149" s="43">
        <v>112.03845744986194</v>
      </c>
      <c r="C2149" s="43">
        <v>113.07400573338984</v>
      </c>
      <c r="D2149" s="43">
        <v>113.92546419152694</v>
      </c>
      <c r="E2149" s="43">
        <v>114.60420311599913</v>
      </c>
      <c r="F2149" s="43">
        <v>115.12429223782422</v>
      </c>
      <c r="G2149" s="43">
        <v>115.50091432173397</v>
      </c>
      <c r="H2149" s="43">
        <v>115.74928549241449</v>
      </c>
      <c r="I2149" s="43">
        <v>115.88398446849311</v>
      </c>
    </row>
    <row r="2150" spans="1:9">
      <c r="A2150" s="19">
        <v>574.4</v>
      </c>
      <c r="B2150" s="43">
        <v>112.05650764180015</v>
      </c>
      <c r="C2150" s="43">
        <v>113.09235046932582</v>
      </c>
      <c r="D2150" s="43">
        <v>113.9441248238173</v>
      </c>
      <c r="E2150" s="43">
        <v>114.62318973655897</v>
      </c>
      <c r="F2150" s="43">
        <v>115.1436056804535</v>
      </c>
      <c r="G2150" s="43">
        <v>115.5205483014561</v>
      </c>
      <c r="H2150" s="43">
        <v>115.76922855936309</v>
      </c>
      <c r="I2150" s="43">
        <v>115.90422163753939</v>
      </c>
    </row>
    <row r="2151" spans="1:9">
      <c r="A2151" s="19">
        <v>574.5</v>
      </c>
      <c r="B2151" s="43">
        <v>112.07455747071955</v>
      </c>
      <c r="C2151" s="43">
        <v>113.11069474564081</v>
      </c>
      <c r="D2151" s="43">
        <v>113.96278491378854</v>
      </c>
      <c r="E2151" s="43">
        <v>114.64217574884029</v>
      </c>
      <c r="F2151" s="43">
        <v>115.16291846632919</v>
      </c>
      <c r="G2151" s="43">
        <v>115.54018159258055</v>
      </c>
      <c r="H2151" s="43">
        <v>115.78917092103597</v>
      </c>
      <c r="I2151" s="43">
        <v>115.92445809786065</v>
      </c>
    </row>
    <row r="2152" spans="1:9">
      <c r="A2152" s="19">
        <v>574.6</v>
      </c>
      <c r="B2152" s="43">
        <v>112.09260693689981</v>
      </c>
      <c r="C2152" s="43">
        <v>113.12903856263608</v>
      </c>
      <c r="D2152" s="43">
        <v>113.98144446170326</v>
      </c>
      <c r="E2152" s="43">
        <v>114.6611611531404</v>
      </c>
      <c r="F2152" s="43">
        <v>115.18223059565929</v>
      </c>
      <c r="G2152" s="43">
        <v>115.55981419531642</v>
      </c>
      <c r="H2152" s="43">
        <v>115.80911257755827</v>
      </c>
      <c r="I2152" s="43">
        <v>115.94469384957029</v>
      </c>
    </row>
    <row r="2153" spans="1:9">
      <c r="A2153" s="19">
        <v>574.70000000000005</v>
      </c>
      <c r="B2153" s="43">
        <v>112.11065604039757</v>
      </c>
      <c r="C2153" s="43">
        <v>113.14738192032567</v>
      </c>
      <c r="D2153" s="43">
        <v>114.00010346764753</v>
      </c>
      <c r="E2153" s="43">
        <v>114.68014594951083</v>
      </c>
      <c r="F2153" s="43">
        <v>115.2015420685662</v>
      </c>
      <c r="G2153" s="43">
        <v>115.57944610972012</v>
      </c>
      <c r="H2153" s="43">
        <v>115.82905352901483</v>
      </c>
      <c r="I2153" s="43">
        <v>115.96492889273014</v>
      </c>
    </row>
    <row r="2154" spans="1:9">
      <c r="A2154" s="19">
        <v>574.79999999999995</v>
      </c>
      <c r="B2154" s="43">
        <v>112.12870478156503</v>
      </c>
      <c r="C2154" s="43">
        <v>113.16572481910089</v>
      </c>
      <c r="D2154" s="43">
        <v>114.01876193198211</v>
      </c>
      <c r="E2154" s="43">
        <v>114.69913013832041</v>
      </c>
      <c r="F2154" s="43">
        <v>115.22085288529829</v>
      </c>
      <c r="G2154" s="43">
        <v>115.5990773360877</v>
      </c>
      <c r="H2154" s="43">
        <v>115.84899377562255</v>
      </c>
      <c r="I2154" s="43">
        <v>115.98516322748912</v>
      </c>
    </row>
    <row r="2155" spans="1:9">
      <c r="A2155" s="19">
        <v>574.9</v>
      </c>
      <c r="B2155" s="43">
        <v>112.14675316055872</v>
      </c>
      <c r="C2155" s="43">
        <v>113.18406725911905</v>
      </c>
      <c r="D2155" s="43">
        <v>114.03741985486124</v>
      </c>
      <c r="E2155" s="43">
        <v>114.71811371968576</v>
      </c>
      <c r="F2155" s="43">
        <v>115.24016304604675</v>
      </c>
      <c r="G2155" s="43">
        <v>115.61870787450269</v>
      </c>
      <c r="H2155" s="43">
        <v>115.86893331745355</v>
      </c>
      <c r="I2155" s="43">
        <v>116.00539685392334</v>
      </c>
    </row>
    <row r="2156" spans="1:9">
      <c r="A2156" s="19">
        <v>575</v>
      </c>
      <c r="B2156" s="43">
        <v>112.1648011777057</v>
      </c>
      <c r="C2156" s="43">
        <v>113.20240924076313</v>
      </c>
      <c r="D2156" s="43">
        <v>114.05607723663877</v>
      </c>
      <c r="E2156" s="43">
        <v>114.73709669393216</v>
      </c>
      <c r="F2156" s="43">
        <v>115.25947255104032</v>
      </c>
      <c r="G2156" s="43">
        <v>115.63833772519146</v>
      </c>
      <c r="H2156" s="43">
        <v>115.88887215471169</v>
      </c>
      <c r="I2156" s="43">
        <v>116.02562977217153</v>
      </c>
    </row>
    <row r="2157" spans="1:9">
      <c r="A2157" s="19">
        <v>575.1</v>
      </c>
      <c r="B2157" s="43">
        <v>112.18284883301035</v>
      </c>
      <c r="C2157" s="43">
        <v>113.22075076401006</v>
      </c>
      <c r="D2157" s="43">
        <v>114.0747340773714</v>
      </c>
      <c r="E2157" s="43">
        <v>114.75607906114649</v>
      </c>
      <c r="F2157" s="43">
        <v>115.27878140037279</v>
      </c>
      <c r="G2157" s="43">
        <v>115.65796688824983</v>
      </c>
      <c r="H2157" s="43">
        <v>115.90881028747231</v>
      </c>
      <c r="I2157" s="43">
        <v>116.04586198229956</v>
      </c>
    </row>
    <row r="2158" spans="1:9">
      <c r="A2158" s="19">
        <v>575.20000000000005</v>
      </c>
      <c r="B2158" s="43">
        <v>112.20089612690057</v>
      </c>
      <c r="C2158" s="43">
        <v>113.23909182929722</v>
      </c>
      <c r="D2158" s="43">
        <v>114.09339037740637</v>
      </c>
      <c r="E2158" s="43">
        <v>114.77506082164015</v>
      </c>
      <c r="F2158" s="43">
        <v>115.29808959435016</v>
      </c>
      <c r="G2158" s="43">
        <v>115.67759536392182</v>
      </c>
      <c r="H2158" s="43">
        <v>115.92874771591693</v>
      </c>
      <c r="I2158" s="43">
        <v>116.06609348444124</v>
      </c>
    </row>
    <row r="2159" spans="1:9">
      <c r="A2159" s="19">
        <v>575.29999999999995</v>
      </c>
      <c r="B2159" s="43">
        <v>112.21894305956206</v>
      </c>
      <c r="C2159" s="43">
        <v>113.25743243684121</v>
      </c>
      <c r="D2159" s="43">
        <v>114.11204613697493</v>
      </c>
      <c r="E2159" s="43">
        <v>114.79404197563591</v>
      </c>
      <c r="F2159" s="43">
        <v>115.31739713313587</v>
      </c>
      <c r="G2159" s="43">
        <v>115.69722315235128</v>
      </c>
      <c r="H2159" s="43">
        <v>115.94868444015552</v>
      </c>
      <c r="I2159" s="43">
        <v>116.08632427870802</v>
      </c>
    </row>
    <row r="2160" spans="1:9">
      <c r="A2160" s="19">
        <v>575.4</v>
      </c>
      <c r="B2160" s="43">
        <v>112.23698963119722</v>
      </c>
      <c r="C2160" s="43">
        <v>113.27577258682987</v>
      </c>
      <c r="D2160" s="43">
        <v>114.13070135631514</v>
      </c>
      <c r="E2160" s="43">
        <v>114.81302252332242</v>
      </c>
      <c r="F2160" s="43">
        <v>115.33670401693917</v>
      </c>
      <c r="G2160" s="43">
        <v>115.71685025372631</v>
      </c>
      <c r="H2160" s="43">
        <v>115.96862046039394</v>
      </c>
      <c r="I2160" s="43">
        <v>116.10655436520557</v>
      </c>
    </row>
    <row r="2161" spans="1:9">
      <c r="A2161" s="19">
        <v>575.5</v>
      </c>
      <c r="B2161" s="43">
        <v>112.25503584189494</v>
      </c>
      <c r="C2161" s="43">
        <v>113.29411227940608</v>
      </c>
      <c r="D2161" s="43">
        <v>114.1493560355371</v>
      </c>
      <c r="E2161" s="43">
        <v>114.83200246487075</v>
      </c>
      <c r="F2161" s="43">
        <v>115.35601024587197</v>
      </c>
      <c r="G2161" s="43">
        <v>115.73647666813386</v>
      </c>
      <c r="H2161" s="43">
        <v>115.98855577664554</v>
      </c>
      <c r="I2161" s="43">
        <v>116.12678374400443</v>
      </c>
    </row>
    <row r="2162" spans="1:9">
      <c r="A2162" s="19">
        <v>575.6</v>
      </c>
      <c r="B2162" s="43">
        <v>112.27308169205449</v>
      </c>
      <c r="C2162" s="43">
        <v>113.31245151497262</v>
      </c>
      <c r="D2162" s="43">
        <v>114.16801017500975</v>
      </c>
      <c r="E2162" s="43">
        <v>114.85098180057767</v>
      </c>
      <c r="F2162" s="43">
        <v>115.37531582024278</v>
      </c>
      <c r="G2162" s="43">
        <v>115.75610239585228</v>
      </c>
      <c r="H2162" s="43">
        <v>116.00849038916664</v>
      </c>
      <c r="I2162" s="43">
        <v>116.14701241525714</v>
      </c>
    </row>
    <row r="2163" spans="1:9">
      <c r="A2163" s="19">
        <v>575.70000000000005</v>
      </c>
      <c r="B2163" s="43">
        <v>112.29112718189987</v>
      </c>
      <c r="C2163" s="43">
        <v>113.33079029373133</v>
      </c>
      <c r="D2163" s="43">
        <v>114.18666377496353</v>
      </c>
      <c r="E2163" s="43">
        <v>114.86996053066304</v>
      </c>
      <c r="F2163" s="43">
        <v>115.3946207402193</v>
      </c>
      <c r="G2163" s="43">
        <v>115.77572743701751</v>
      </c>
      <c r="H2163" s="43">
        <v>116.02842429805537</v>
      </c>
      <c r="I2163" s="43">
        <v>116.1672403790605</v>
      </c>
    </row>
    <row r="2164" spans="1:9">
      <c r="A2164" s="19">
        <v>575.79999999999995</v>
      </c>
      <c r="B2164" s="43">
        <v>112.30917231146694</v>
      </c>
      <c r="C2164" s="43">
        <v>113.34912861575475</v>
      </c>
      <c r="D2164" s="43">
        <v>114.20531683549345</v>
      </c>
      <c r="E2164" s="43">
        <v>114.88893865526046</v>
      </c>
      <c r="F2164" s="43">
        <v>115.41392500593639</v>
      </c>
      <c r="G2164" s="43">
        <v>115.79535179174562</v>
      </c>
      <c r="H2164" s="43">
        <v>116.04835750342164</v>
      </c>
      <c r="I2164" s="43">
        <v>116.18746763549396</v>
      </c>
    </row>
    <row r="2165" spans="1:9">
      <c r="A2165" s="19">
        <v>575.9</v>
      </c>
      <c r="B2165" s="43">
        <v>112.32721708118234</v>
      </c>
      <c r="C2165" s="43">
        <v>113.36746648147701</v>
      </c>
      <c r="D2165" s="43">
        <v>114.22396935699422</v>
      </c>
      <c r="E2165" s="43">
        <v>114.90791617467499</v>
      </c>
      <c r="F2165" s="43">
        <v>115.4332286176691</v>
      </c>
      <c r="G2165" s="43">
        <v>115.81497546027282</v>
      </c>
      <c r="H2165" s="43">
        <v>116.06829000546404</v>
      </c>
      <c r="I2165" s="43">
        <v>116.20769418470701</v>
      </c>
    </row>
    <row r="2166" spans="1:9">
      <c r="A2166" s="19">
        <v>576</v>
      </c>
      <c r="B2166" s="43">
        <v>112.34526149117082</v>
      </c>
      <c r="C2166" s="43">
        <v>113.38580389103092</v>
      </c>
      <c r="D2166" s="43">
        <v>114.24262133962031</v>
      </c>
      <c r="E2166" s="43">
        <v>114.92689308910988</v>
      </c>
      <c r="F2166" s="43">
        <v>115.45253157558378</v>
      </c>
      <c r="G2166" s="43">
        <v>115.83459844274432</v>
      </c>
      <c r="H2166" s="43">
        <v>116.08822180428248</v>
      </c>
      <c r="I2166" s="43">
        <v>116.22792002678537</v>
      </c>
    </row>
    <row r="2167" spans="1:9">
      <c r="A2167" s="19">
        <v>576.1</v>
      </c>
      <c r="B2167" s="43">
        <v>112.36330554168751</v>
      </c>
      <c r="C2167" s="43">
        <v>113.40414084471431</v>
      </c>
      <c r="D2167" s="43">
        <v>114.26127278361903</v>
      </c>
      <c r="E2167" s="43">
        <v>114.94586939877254</v>
      </c>
      <c r="F2167" s="43">
        <v>115.47183387989278</v>
      </c>
      <c r="G2167" s="43">
        <v>115.85422073935325</v>
      </c>
      <c r="H2167" s="43">
        <v>116.10815290004675</v>
      </c>
      <c r="I2167" s="43">
        <v>116.24814516183582</v>
      </c>
    </row>
    <row r="2168" spans="1:9">
      <c r="A2168" s="19">
        <v>576.20000000000005</v>
      </c>
      <c r="B2168" s="43">
        <v>112.38134923283909</v>
      </c>
      <c r="C2168" s="43">
        <v>113.42247734261662</v>
      </c>
      <c r="D2168" s="43">
        <v>114.27992368914707</v>
      </c>
      <c r="E2168" s="43">
        <v>114.96484510381967</v>
      </c>
      <c r="F2168" s="43">
        <v>115.49113553072172</v>
      </c>
      <c r="G2168" s="43">
        <v>115.87384235018371</v>
      </c>
      <c r="H2168" s="43">
        <v>116.12808329282262</v>
      </c>
      <c r="I2168" s="43">
        <v>116.26836958994798</v>
      </c>
    </row>
    <row r="2169" spans="1:9">
      <c r="A2169" s="19">
        <v>576.29999999999995</v>
      </c>
      <c r="B2169" s="43">
        <v>112.39939256501017</v>
      </c>
      <c r="C2169" s="43">
        <v>113.44081338512282</v>
      </c>
      <c r="D2169" s="43">
        <v>114.2985740565581</v>
      </c>
      <c r="E2169" s="43">
        <v>114.98382020457936</v>
      </c>
      <c r="F2169" s="43">
        <v>115.5104365283662</v>
      </c>
      <c r="G2169" s="43">
        <v>115.89346327552425</v>
      </c>
      <c r="H2169" s="43">
        <v>116.14801298283172</v>
      </c>
      <c r="I2169" s="43">
        <v>116.28859331126688</v>
      </c>
    </row>
    <row r="2170" spans="1:9">
      <c r="A2170" s="19">
        <v>576.4</v>
      </c>
      <c r="B2170" s="43">
        <v>112.41743553834394</v>
      </c>
      <c r="C2170" s="43">
        <v>113.45914897240894</v>
      </c>
      <c r="D2170" s="43">
        <v>114.31722388601128</v>
      </c>
      <c r="E2170" s="43">
        <v>115.00279470120074</v>
      </c>
      <c r="F2170" s="43">
        <v>115.52973687296597</v>
      </c>
      <c r="G2170" s="43">
        <v>115.91308351545203</v>
      </c>
      <c r="H2170" s="43">
        <v>116.16794197019257</v>
      </c>
      <c r="I2170" s="43">
        <v>116.30881632588034</v>
      </c>
    </row>
    <row r="2171" spans="1:9">
      <c r="A2171" s="19">
        <v>576.5</v>
      </c>
      <c r="B2171" s="43">
        <v>112.43547815312115</v>
      </c>
      <c r="C2171" s="43">
        <v>113.47748410476947</v>
      </c>
      <c r="D2171" s="43">
        <v>114.33587317781161</v>
      </c>
      <c r="E2171" s="43">
        <v>115.02176859395527</v>
      </c>
      <c r="F2171" s="43">
        <v>115.54903656478282</v>
      </c>
      <c r="G2171" s="43">
        <v>115.93270307023244</v>
      </c>
      <c r="H2171" s="43">
        <v>116.18787025505929</v>
      </c>
      <c r="I2171" s="43">
        <v>116.32903863390854</v>
      </c>
    </row>
    <row r="2172" spans="1:9">
      <c r="A2172" s="19">
        <v>576.6</v>
      </c>
      <c r="B2172" s="43">
        <v>112.45352040940026</v>
      </c>
      <c r="C2172" s="43">
        <v>113.49581878226684</v>
      </c>
      <c r="D2172" s="43">
        <v>114.35452193204003</v>
      </c>
      <c r="E2172" s="43">
        <v>115.04074188296556</v>
      </c>
      <c r="F2172" s="43">
        <v>115.56833560388733</v>
      </c>
      <c r="G2172" s="43">
        <v>115.9523219399118</v>
      </c>
      <c r="H2172" s="43">
        <v>116.20779783749774</v>
      </c>
      <c r="I2172" s="43">
        <v>116.34926023542081</v>
      </c>
    </row>
    <row r="2173" spans="1:9">
      <c r="A2173" s="19">
        <v>576.70000000000005</v>
      </c>
      <c r="B2173" s="43">
        <v>112.47156230752557</v>
      </c>
      <c r="C2173" s="43">
        <v>113.51415300530931</v>
      </c>
      <c r="D2173" s="43">
        <v>114.37317014907777</v>
      </c>
      <c r="E2173" s="43">
        <v>115.05971456853624</v>
      </c>
      <c r="F2173" s="43">
        <v>115.58763399057861</v>
      </c>
      <c r="G2173" s="43">
        <v>115.97194012475254</v>
      </c>
      <c r="H2173" s="43">
        <v>116.22772471770844</v>
      </c>
      <c r="I2173" s="43">
        <v>116.36948113056221</v>
      </c>
    </row>
    <row r="2174" spans="1:9">
      <c r="A2174" s="19">
        <v>576.79999999999995</v>
      </c>
      <c r="B2174" s="43">
        <v>112.48960384780145</v>
      </c>
      <c r="C2174" s="43">
        <v>113.53248677410704</v>
      </c>
      <c r="D2174" s="43">
        <v>114.39181782912746</v>
      </c>
      <c r="E2174" s="43">
        <v>115.07868665090439</v>
      </c>
      <c r="F2174" s="43">
        <v>115.60693172506902</v>
      </c>
      <c r="G2174" s="43">
        <v>115.99155762491748</v>
      </c>
      <c r="H2174" s="43">
        <v>116.24765089586188</v>
      </c>
      <c r="I2174" s="43">
        <v>116.38970131944839</v>
      </c>
    </row>
    <row r="2175" spans="1:9">
      <c r="A2175" s="19">
        <v>576.9</v>
      </c>
      <c r="B2175" s="43">
        <v>112.50764503028674</v>
      </c>
      <c r="C2175" s="43">
        <v>113.55082008879126</v>
      </c>
      <c r="D2175" s="43">
        <v>114.41046497235703</v>
      </c>
      <c r="E2175" s="43">
        <v>115.09765813020573</v>
      </c>
      <c r="F2175" s="43">
        <v>115.62622880748347</v>
      </c>
      <c r="G2175" s="43">
        <v>116.01117444055109</v>
      </c>
      <c r="H2175" s="43">
        <v>116.26757637202559</v>
      </c>
      <c r="I2175" s="43">
        <v>116.40992080216617</v>
      </c>
    </row>
    <row r="2176" spans="1:9">
      <c r="A2176" s="19">
        <v>577</v>
      </c>
      <c r="B2176" s="43">
        <v>112.52568585518395</v>
      </c>
      <c r="C2176" s="43">
        <v>113.56915294960862</v>
      </c>
      <c r="D2176" s="43">
        <v>114.42911157896393</v>
      </c>
      <c r="E2176" s="43">
        <v>115.11662900665559</v>
      </c>
      <c r="F2176" s="43">
        <v>115.64552523800748</v>
      </c>
      <c r="G2176" s="43">
        <v>116.03079057177627</v>
      </c>
      <c r="H2176" s="43">
        <v>116.28750114635127</v>
      </c>
      <c r="I2176" s="43">
        <v>116.43013957879623</v>
      </c>
    </row>
    <row r="2177" spans="1:9">
      <c r="A2177" s="19">
        <v>577.1</v>
      </c>
      <c r="B2177" s="43">
        <v>112.54372632290256</v>
      </c>
      <c r="C2177" s="43">
        <v>113.58748535690322</v>
      </c>
      <c r="D2177" s="43">
        <v>114.44775764932351</v>
      </c>
      <c r="E2177" s="43">
        <v>115.13559928056128</v>
      </c>
      <c r="F2177" s="43">
        <v>115.66482101691776</v>
      </c>
      <c r="G2177" s="43">
        <v>116.05040601886691</v>
      </c>
      <c r="H2177" s="43">
        <v>116.30742521902653</v>
      </c>
      <c r="I2177" s="43">
        <v>116.45035764949489</v>
      </c>
    </row>
    <row r="2178" spans="1:9">
      <c r="A2178" s="19">
        <v>577.20000000000005</v>
      </c>
      <c r="B2178" s="43">
        <v>112.56176643352987</v>
      </c>
      <c r="C2178" s="43">
        <v>113.60581731084528</v>
      </c>
      <c r="D2178" s="43">
        <v>114.46640318361267</v>
      </c>
      <c r="E2178" s="43">
        <v>115.1545689521104</v>
      </c>
      <c r="F2178" s="43">
        <v>115.68411614440765</v>
      </c>
      <c r="G2178" s="43">
        <v>116.07002078195964</v>
      </c>
      <c r="H2178" s="43">
        <v>116.32734859017853</v>
      </c>
      <c r="I2178" s="43">
        <v>116.47057501437249</v>
      </c>
    </row>
    <row r="2179" spans="1:9">
      <c r="A2179" s="19">
        <v>577.29999999999995</v>
      </c>
      <c r="B2179" s="43">
        <v>112.57980618722451</v>
      </c>
      <c r="C2179" s="43">
        <v>113.62414881161365</v>
      </c>
      <c r="D2179" s="43">
        <v>114.48504818196588</v>
      </c>
      <c r="E2179" s="43">
        <v>115.17353802144237</v>
      </c>
      <c r="F2179" s="43">
        <v>115.70341062057588</v>
      </c>
      <c r="G2179" s="43">
        <v>116.08963486115104</v>
      </c>
      <c r="H2179" s="43">
        <v>116.34727125988752</v>
      </c>
      <c r="I2179" s="43">
        <v>116.49079167347276</v>
      </c>
    </row>
    <row r="2180" spans="1:9">
      <c r="A2180" s="19">
        <v>577.4</v>
      </c>
      <c r="B2180" s="43">
        <v>112.59784558435337</v>
      </c>
      <c r="C2180" s="43">
        <v>113.64247985950206</v>
      </c>
      <c r="D2180" s="43">
        <v>114.50369264472758</v>
      </c>
      <c r="E2180" s="43">
        <v>115.19250648886253</v>
      </c>
      <c r="F2180" s="43">
        <v>115.72270444572416</v>
      </c>
      <c r="G2180" s="43">
        <v>116.10924825669804</v>
      </c>
      <c r="H2180" s="43">
        <v>116.3671932283639</v>
      </c>
      <c r="I2180" s="43">
        <v>116.51100762696086</v>
      </c>
    </row>
    <row r="2181" spans="1:9">
      <c r="A2181" s="19">
        <v>577.5</v>
      </c>
      <c r="B2181" s="43">
        <v>112.61588462502638</v>
      </c>
      <c r="C2181" s="43">
        <v>113.66081045473328</v>
      </c>
      <c r="D2181" s="43">
        <v>114.52233657207483</v>
      </c>
      <c r="E2181" s="43">
        <v>115.21147435454742</v>
      </c>
      <c r="F2181" s="43">
        <v>115.74199761997573</v>
      </c>
      <c r="G2181" s="43">
        <v>116.12886096871563</v>
      </c>
      <c r="H2181" s="43">
        <v>116.38711449570275</v>
      </c>
      <c r="I2181" s="43">
        <v>116.53122287494153</v>
      </c>
    </row>
    <row r="2182" spans="1:9">
      <c r="A2182" s="19">
        <v>577.6</v>
      </c>
      <c r="B2182" s="43">
        <v>112.63392330963131</v>
      </c>
      <c r="C2182" s="43">
        <v>113.67914059763103</v>
      </c>
      <c r="D2182" s="43">
        <v>114.54097996433197</v>
      </c>
      <c r="E2182" s="43">
        <v>115.2304416188318</v>
      </c>
      <c r="F2182" s="43">
        <v>115.76129014363215</v>
      </c>
      <c r="G2182" s="43">
        <v>116.14847299747481</v>
      </c>
      <c r="H2182" s="43">
        <v>116.40703506212114</v>
      </c>
      <c r="I2182" s="43">
        <v>116.55143741753778</v>
      </c>
    </row>
    <row r="2183" spans="1:9">
      <c r="A2183" s="19">
        <v>577.70000000000005</v>
      </c>
      <c r="B2183" s="43">
        <v>112.65196163807749</v>
      </c>
      <c r="C2183" s="43">
        <v>113.69747028816886</v>
      </c>
      <c r="D2183" s="43">
        <v>114.55962282152373</v>
      </c>
      <c r="E2183" s="43">
        <v>115.24940828169491</v>
      </c>
      <c r="F2183" s="43">
        <v>115.78058201673625</v>
      </c>
      <c r="G2183" s="43">
        <v>116.16808434297192</v>
      </c>
      <c r="H2183" s="43">
        <v>116.42695492762965</v>
      </c>
      <c r="I2183" s="43">
        <v>116.57165125478426</v>
      </c>
    </row>
    <row r="2184" spans="1:9">
      <c r="A2184" s="19">
        <v>577.79999999999995</v>
      </c>
      <c r="B2184" s="43">
        <v>112.66999961087322</v>
      </c>
      <c r="C2184" s="43">
        <v>113.71579952682856</v>
      </c>
      <c r="D2184" s="43">
        <v>114.57826514406966</v>
      </c>
      <c r="E2184" s="43">
        <v>115.26837434355019</v>
      </c>
      <c r="F2184" s="43">
        <v>115.79987323961385</v>
      </c>
      <c r="G2184" s="43">
        <v>116.18769500552651</v>
      </c>
      <c r="H2184" s="43">
        <v>116.44687409247138</v>
      </c>
      <c r="I2184" s="43">
        <v>116.59186438686643</v>
      </c>
    </row>
    <row r="2185" spans="1:9">
      <c r="A2185" s="19">
        <v>577.9</v>
      </c>
      <c r="B2185" s="43">
        <v>112.68803722812885</v>
      </c>
      <c r="C2185" s="43">
        <v>113.73412831374756</v>
      </c>
      <c r="D2185" s="43">
        <v>114.59690693214654</v>
      </c>
      <c r="E2185" s="43">
        <v>115.2873398045526</v>
      </c>
      <c r="F2185" s="43">
        <v>115.81916381238744</v>
      </c>
      <c r="G2185" s="43">
        <v>116.20730498523557</v>
      </c>
      <c r="H2185" s="43">
        <v>116.46679255676489</v>
      </c>
      <c r="I2185" s="43">
        <v>116.61207681385386</v>
      </c>
    </row>
    <row r="2186" spans="1:9">
      <c r="A2186" s="19">
        <v>578</v>
      </c>
      <c r="B2186" s="43">
        <v>112.70607449011004</v>
      </c>
      <c r="C2186" s="43">
        <v>113.75245664920334</v>
      </c>
      <c r="D2186" s="43">
        <v>114.61554818601235</v>
      </c>
      <c r="E2186" s="43">
        <v>115.30630466496731</v>
      </c>
      <c r="F2186" s="43">
        <v>115.83845373533447</v>
      </c>
      <c r="G2186" s="43">
        <v>116.22691428233892</v>
      </c>
      <c r="H2186" s="43">
        <v>116.48671032063973</v>
      </c>
      <c r="I2186" s="43">
        <v>116.63228853589186</v>
      </c>
    </row>
    <row r="2187" spans="1:9">
      <c r="A2187" s="19">
        <v>578.1</v>
      </c>
      <c r="B2187" s="43">
        <v>112.72411139691314</v>
      </c>
      <c r="C2187" s="43">
        <v>113.7707845333131</v>
      </c>
      <c r="D2187" s="43">
        <v>114.63418890579902</v>
      </c>
      <c r="E2187" s="43">
        <v>115.32526892490651</v>
      </c>
      <c r="F2187" s="43">
        <v>115.85774300854189</v>
      </c>
      <c r="G2187" s="43">
        <v>116.24652289690528</v>
      </c>
      <c r="H2187" s="43">
        <v>116.50662738421204</v>
      </c>
      <c r="I2187" s="43">
        <v>116.65249955302295</v>
      </c>
    </row>
    <row r="2188" spans="1:9">
      <c r="A2188" s="19">
        <v>578.20000000000005</v>
      </c>
      <c r="B2188" s="43">
        <v>112.74214794884148</v>
      </c>
      <c r="C2188" s="43">
        <v>113.78911196641474</v>
      </c>
      <c r="D2188" s="43">
        <v>114.65282909180982</v>
      </c>
      <c r="E2188" s="43">
        <v>115.3442325846689</v>
      </c>
      <c r="F2188" s="43">
        <v>115.87703163227724</v>
      </c>
      <c r="G2188" s="43">
        <v>116.26613082916657</v>
      </c>
      <c r="H2188" s="43">
        <v>116.52654374766129</v>
      </c>
      <c r="I2188" s="43">
        <v>116.67270986541226</v>
      </c>
    </row>
    <row r="2189" spans="1:9">
      <c r="A2189" s="19">
        <v>578.29999999999995</v>
      </c>
      <c r="B2189" s="43">
        <v>112.76018414620418</v>
      </c>
      <c r="C2189" s="43">
        <v>113.80743894879336</v>
      </c>
      <c r="D2189" s="43">
        <v>114.67146874431202</v>
      </c>
      <c r="E2189" s="43">
        <v>115.36319564450315</v>
      </c>
      <c r="F2189" s="43">
        <v>115.89631960676877</v>
      </c>
      <c r="G2189" s="43">
        <v>116.28573807933498</v>
      </c>
      <c r="H2189" s="43">
        <v>116.54645941114055</v>
      </c>
      <c r="I2189" s="43">
        <v>116.69291947316378</v>
      </c>
    </row>
    <row r="2190" spans="1:9">
      <c r="A2190" s="19">
        <v>578.4</v>
      </c>
      <c r="B2190" s="43">
        <v>112.778219989017</v>
      </c>
      <c r="C2190" s="43">
        <v>113.82576548046526</v>
      </c>
      <c r="D2190" s="43">
        <v>114.69010786343543</v>
      </c>
      <c r="E2190" s="43">
        <v>115.38215810450063</v>
      </c>
      <c r="F2190" s="43">
        <v>115.91560693211076</v>
      </c>
      <c r="G2190" s="43">
        <v>116.305344647461</v>
      </c>
      <c r="H2190" s="43">
        <v>116.56637437470491</v>
      </c>
      <c r="I2190" s="43">
        <v>116.71312837634562</v>
      </c>
    </row>
    <row r="2191" spans="1:9">
      <c r="A2191" s="19">
        <v>578.5</v>
      </c>
      <c r="B2191" s="43">
        <v>112.79625547762791</v>
      </c>
      <c r="C2191" s="43">
        <v>113.84409156185097</v>
      </c>
      <c r="D2191" s="43">
        <v>114.70874644947241</v>
      </c>
      <c r="E2191" s="43">
        <v>115.40111996499931</v>
      </c>
      <c r="F2191" s="43">
        <v>115.93489360858598</v>
      </c>
      <c r="G2191" s="43">
        <v>116.32495053383462</v>
      </c>
      <c r="H2191" s="43">
        <v>116.58628863858544</v>
      </c>
      <c r="I2191" s="43">
        <v>116.73333657510997</v>
      </c>
    </row>
    <row r="2192" spans="1:9">
      <c r="A2192" s="19">
        <v>578.6</v>
      </c>
      <c r="B2192" s="43">
        <v>112.8142906122583</v>
      </c>
      <c r="C2192" s="43">
        <v>113.86241719311144</v>
      </c>
      <c r="D2192" s="43">
        <v>114.7273845026443</v>
      </c>
      <c r="E2192" s="43">
        <v>115.42008122617031</v>
      </c>
      <c r="F2192" s="43">
        <v>115.95417963636388</v>
      </c>
      <c r="G2192" s="43">
        <v>116.34455573855058</v>
      </c>
      <c r="H2192" s="43">
        <v>116.60620220290144</v>
      </c>
      <c r="I2192" s="43">
        <v>116.75354406954648</v>
      </c>
    </row>
    <row r="2193" spans="1:9">
      <c r="A2193" s="19">
        <v>578.70000000000005</v>
      </c>
      <c r="B2193" s="43">
        <v>112.83232539311922</v>
      </c>
      <c r="C2193" s="43">
        <v>113.88074237452759</v>
      </c>
      <c r="D2193" s="43">
        <v>114.74602202321407</v>
      </c>
      <c r="E2193" s="43">
        <v>115.43904188826116</v>
      </c>
      <c r="F2193" s="43">
        <v>115.97346501564925</v>
      </c>
      <c r="G2193" s="43">
        <v>116.36416026182005</v>
      </c>
      <c r="H2193" s="43">
        <v>116.62611506776378</v>
      </c>
      <c r="I2193" s="43">
        <v>116.77375085978156</v>
      </c>
    </row>
    <row r="2194" spans="1:9">
      <c r="A2194" s="19">
        <v>578.79999999999995</v>
      </c>
      <c r="B2194" s="43">
        <v>112.85035982039031</v>
      </c>
      <c r="C2194" s="43">
        <v>113.89906710625567</v>
      </c>
      <c r="D2194" s="43">
        <v>114.76465901135379</v>
      </c>
      <c r="E2194" s="43">
        <v>115.45800195142397</v>
      </c>
      <c r="F2194" s="43">
        <v>115.99274974660793</v>
      </c>
      <c r="G2194" s="43">
        <v>116.38376410379109</v>
      </c>
      <c r="H2194" s="43">
        <v>116.646027233338</v>
      </c>
      <c r="I2194" s="43">
        <v>116.79395694588769</v>
      </c>
    </row>
    <row r="2195" spans="1:9">
      <c r="A2195" s="19">
        <v>578.9</v>
      </c>
      <c r="B2195" s="43">
        <v>112.86839389426197</v>
      </c>
      <c r="C2195" s="43">
        <v>113.91739138853396</v>
      </c>
      <c r="D2195" s="43">
        <v>114.7832954672941</v>
      </c>
      <c r="E2195" s="43">
        <v>115.47696141590936</v>
      </c>
      <c r="F2195" s="43">
        <v>116.01203382943379</v>
      </c>
      <c r="G2195" s="43">
        <v>116.40336726462712</v>
      </c>
      <c r="H2195" s="43">
        <v>116.66593869973599</v>
      </c>
      <c r="I2195" s="43">
        <v>116.81416232799674</v>
      </c>
    </row>
    <row r="2196" spans="1:9">
      <c r="A2196" s="19">
        <v>579</v>
      </c>
      <c r="B2196" s="43">
        <v>112.88642761508737</v>
      </c>
      <c r="C2196" s="43">
        <v>113.93571522168014</v>
      </c>
      <c r="D2196" s="43">
        <v>114.80193139134369</v>
      </c>
      <c r="E2196" s="43">
        <v>115.49592028198452</v>
      </c>
      <c r="F2196" s="43">
        <v>116.03131726441052</v>
      </c>
      <c r="G2196" s="43">
        <v>116.42296974453075</v>
      </c>
      <c r="H2196" s="43">
        <v>116.68584946715578</v>
      </c>
      <c r="I2196" s="43">
        <v>116.83436700623025</v>
      </c>
    </row>
    <row r="2197" spans="1:9">
      <c r="A2197" s="19">
        <v>579.1</v>
      </c>
      <c r="B2197" s="43">
        <v>112.9044609830332</v>
      </c>
      <c r="C2197" s="43">
        <v>113.95403860592202</v>
      </c>
      <c r="D2197" s="43">
        <v>114.82056678370247</v>
      </c>
      <c r="E2197" s="43">
        <v>115.51487854984271</v>
      </c>
      <c r="F2197" s="43">
        <v>116.0506000516832</v>
      </c>
      <c r="G2197" s="43">
        <v>116.44257154368745</v>
      </c>
      <c r="H2197" s="43">
        <v>116.70575953570776</v>
      </c>
      <c r="I2197" s="43">
        <v>116.85457098069514</v>
      </c>
    </row>
    <row r="2198" spans="1:9">
      <c r="A2198" s="19">
        <v>579.20000000000005</v>
      </c>
      <c r="B2198" s="43">
        <v>112.92249399810345</v>
      </c>
      <c r="C2198" s="43">
        <v>113.97236154127177</v>
      </c>
      <c r="D2198" s="43">
        <v>114.83920164446644</v>
      </c>
      <c r="E2198" s="43">
        <v>115.53383621959964</v>
      </c>
      <c r="F2198" s="43">
        <v>116.06988219135252</v>
      </c>
      <c r="G2198" s="43">
        <v>116.46217266214717</v>
      </c>
      <c r="H2198" s="43">
        <v>116.72566890547199</v>
      </c>
      <c r="I2198" s="43">
        <v>116.87477425144831</v>
      </c>
    </row>
    <row r="2199" spans="1:9">
      <c r="A2199" s="19">
        <v>579.29999999999995</v>
      </c>
      <c r="B2199" s="43">
        <v>112.94052666081703</v>
      </c>
      <c r="C2199" s="43">
        <v>113.99068402823198</v>
      </c>
      <c r="D2199" s="43">
        <v>114.85783597405455</v>
      </c>
      <c r="E2199" s="43">
        <v>115.55279329161996</v>
      </c>
      <c r="F2199" s="43">
        <v>116.08916368375696</v>
      </c>
      <c r="G2199" s="43">
        <v>116.48177310023829</v>
      </c>
      <c r="H2199" s="43">
        <v>116.74557757668083</v>
      </c>
      <c r="I2199" s="43">
        <v>116.89497681866655</v>
      </c>
    </row>
    <row r="2200" spans="1:9">
      <c r="A2200" s="19">
        <v>579.4</v>
      </c>
      <c r="B2200" s="43">
        <v>112.95855897131852</v>
      </c>
      <c r="C2200" s="43">
        <v>114.00900606695868</v>
      </c>
      <c r="D2200" s="43">
        <v>114.87646977263762</v>
      </c>
      <c r="E2200" s="43">
        <v>115.57174976607394</v>
      </c>
      <c r="F2200" s="43">
        <v>116.10844452907565</v>
      </c>
      <c r="G2200" s="43">
        <v>116.50137285806818</v>
      </c>
      <c r="H2200" s="43">
        <v>116.76548554945543</v>
      </c>
      <c r="I2200" s="43">
        <v>116.91517868245253</v>
      </c>
    </row>
    <row r="2201" spans="1:9">
      <c r="A2201" s="19">
        <v>579.5</v>
      </c>
      <c r="B2201" s="43">
        <v>112.97659092966632</v>
      </c>
      <c r="C2201" s="43">
        <v>114.02732765755212</v>
      </c>
      <c r="D2201" s="43">
        <v>114.89510304036008</v>
      </c>
      <c r="E2201" s="43">
        <v>115.59070564308564</v>
      </c>
      <c r="F2201" s="43">
        <v>116.12772472740255</v>
      </c>
      <c r="G2201" s="43">
        <v>116.52097193574525</v>
      </c>
      <c r="H2201" s="43">
        <v>116.78539282387086</v>
      </c>
      <c r="I2201" s="43">
        <v>116.93537984284725</v>
      </c>
    </row>
    <row r="2202" spans="1:9">
      <c r="A2202" s="19">
        <v>579.6</v>
      </c>
      <c r="B2202" s="43">
        <v>112.99462253624185</v>
      </c>
      <c r="C2202" s="43">
        <v>114.04564880040635</v>
      </c>
      <c r="D2202" s="43">
        <v>114.91373577754467</v>
      </c>
      <c r="E2202" s="43">
        <v>115.60966092301013</v>
      </c>
      <c r="F2202" s="43">
        <v>116.14700427902596</v>
      </c>
      <c r="G2202" s="43">
        <v>116.54057033352578</v>
      </c>
      <c r="H2202" s="43">
        <v>116.80529940014148</v>
      </c>
      <c r="I2202" s="43">
        <v>116.95558030003531</v>
      </c>
    </row>
    <row r="2203" spans="1:9">
      <c r="A2203" s="19">
        <v>579.70000000000005</v>
      </c>
      <c r="B2203" s="43">
        <v>113.01265379117561</v>
      </c>
      <c r="C2203" s="43">
        <v>114.06396949565155</v>
      </c>
      <c r="D2203" s="43">
        <v>114.93236798436189</v>
      </c>
      <c r="E2203" s="43">
        <v>115.62861560596934</v>
      </c>
      <c r="F2203" s="43">
        <v>116.16628318411173</v>
      </c>
      <c r="G2203" s="43">
        <v>116.56016805153251</v>
      </c>
      <c r="H2203" s="43">
        <v>116.82520527837801</v>
      </c>
      <c r="I2203" s="43">
        <v>116.97578005409073</v>
      </c>
    </row>
    <row r="2204" spans="1:9">
      <c r="A2204" s="19">
        <v>579.79999999999995</v>
      </c>
      <c r="B2204" s="43">
        <v>113.03068469485379</v>
      </c>
      <c r="C2204" s="43">
        <v>114.08228974364539</v>
      </c>
      <c r="D2204" s="43">
        <v>114.95099966119454</v>
      </c>
      <c r="E2204" s="43">
        <v>115.64756969230965</v>
      </c>
      <c r="F2204" s="43">
        <v>116.18556144290903</v>
      </c>
      <c r="G2204" s="43">
        <v>116.57976509000088</v>
      </c>
      <c r="H2204" s="43">
        <v>116.84511045876926</v>
      </c>
      <c r="I2204" s="43">
        <v>116.99597910515081</v>
      </c>
    </row>
    <row r="2205" spans="1:9">
      <c r="A2205" s="19">
        <v>579.9</v>
      </c>
      <c r="B2205" s="43">
        <v>113.04871524717566</v>
      </c>
      <c r="C2205" s="43">
        <v>114.1006095443723</v>
      </c>
      <c r="D2205" s="43">
        <v>114.96963080798884</v>
      </c>
      <c r="E2205" s="43">
        <v>115.66652318202938</v>
      </c>
      <c r="F2205" s="43">
        <v>116.20483905549565</v>
      </c>
      <c r="G2205" s="43">
        <v>116.59936144899302</v>
      </c>
      <c r="H2205" s="43">
        <v>116.86501494134231</v>
      </c>
      <c r="I2205" s="43">
        <v>117.01617745327144</v>
      </c>
    </row>
    <row r="2206" spans="1:9">
      <c r="A2206" s="19">
        <v>580</v>
      </c>
      <c r="B2206" s="43">
        <v>113.05317786636266</v>
      </c>
      <c r="C2206" s="43">
        <v>114.10562655428907</v>
      </c>
      <c r="D2206" s="43">
        <v>114.97546398657622</v>
      </c>
      <c r="E2206" s="43">
        <v>115.67340349536116</v>
      </c>
      <c r="F2206" s="43">
        <v>116.21296226351899</v>
      </c>
      <c r="G2206" s="43">
        <v>116.6088881595648</v>
      </c>
      <c r="H2206" s="43">
        <v>116.8760731770526</v>
      </c>
      <c r="I2206" s="43">
        <v>117.02886635258736</v>
      </c>
    </row>
    <row r="2207" spans="1:9">
      <c r="A2207" s="19">
        <v>580.1</v>
      </c>
      <c r="B2207" s="43">
        <v>113.05761899923255</v>
      </c>
      <c r="C2207" s="43">
        <v>114.11062012572242</v>
      </c>
      <c r="D2207" s="43">
        <v>114.98127159299989</v>
      </c>
      <c r="E2207" s="43">
        <v>115.68025610434566</v>
      </c>
      <c r="F2207" s="43">
        <v>116.22105576706659</v>
      </c>
      <c r="G2207" s="43">
        <v>116.61838337856736</v>
      </c>
      <c r="H2207" s="43">
        <v>116.88709838817132</v>
      </c>
      <c r="I2207" s="43">
        <v>117.0415209598419</v>
      </c>
    </row>
    <row r="2208" spans="1:9">
      <c r="A2208" s="19">
        <v>580.20000000000005</v>
      </c>
      <c r="B2208" s="43">
        <v>113.07563344484683</v>
      </c>
      <c r="C2208" s="43">
        <v>114.12892155571893</v>
      </c>
      <c r="D2208" s="43">
        <v>114.99988177921551</v>
      </c>
      <c r="E2208" s="43">
        <v>115.69918587638193</v>
      </c>
      <c r="F2208" s="43">
        <v>116.24030686151136</v>
      </c>
      <c r="G2208" s="43">
        <v>116.63795046614808</v>
      </c>
      <c r="H2208" s="43">
        <v>116.90697095563007</v>
      </c>
      <c r="I2208" s="43">
        <v>117.06168489931844</v>
      </c>
    </row>
    <row r="2209" spans="1:9">
      <c r="A2209" s="19">
        <v>580.29999999999995</v>
      </c>
      <c r="B2209" s="43">
        <v>113.09364754032129</v>
      </c>
      <c r="C2209" s="43">
        <v>114.1472225410979</v>
      </c>
      <c r="D2209" s="43">
        <v>115.01849143912639</v>
      </c>
      <c r="E2209" s="43">
        <v>115.71811505614963</v>
      </c>
      <c r="F2209" s="43">
        <v>116.25955731429184</v>
      </c>
      <c r="G2209" s="43">
        <v>116.65751687871122</v>
      </c>
      <c r="H2209" s="43">
        <v>116.9268428293899</v>
      </c>
      <c r="I2209" s="43">
        <v>117.08184813933445</v>
      </c>
    </row>
    <row r="2210" spans="1:9">
      <c r="A2210" s="19">
        <v>580.4</v>
      </c>
      <c r="B2210" s="43">
        <v>113.11166128580965</v>
      </c>
      <c r="C2210" s="43">
        <v>114.16552308201645</v>
      </c>
      <c r="D2210" s="43">
        <v>115.03710057292406</v>
      </c>
      <c r="E2210" s="43">
        <v>115.73704364379827</v>
      </c>
      <c r="F2210" s="43">
        <v>116.27880712558417</v>
      </c>
      <c r="G2210" s="43">
        <v>116.67708261642187</v>
      </c>
      <c r="H2210" s="43">
        <v>116.94671400956312</v>
      </c>
      <c r="I2210" s="43">
        <v>117.10201067998733</v>
      </c>
    </row>
    <row r="2211" spans="1:9">
      <c r="A2211" s="19">
        <v>580.5</v>
      </c>
      <c r="B2211" s="43">
        <v>113.12967468168043</v>
      </c>
      <c r="C2211" s="43">
        <v>114.18382317886181</v>
      </c>
      <c r="D2211" s="43">
        <v>115.05570918091183</v>
      </c>
      <c r="E2211" s="43">
        <v>115.75597163967882</v>
      </c>
      <c r="F2211" s="43">
        <v>116.29805629566263</v>
      </c>
      <c r="G2211" s="43">
        <v>116.69664767949723</v>
      </c>
      <c r="H2211" s="43">
        <v>116.96658449635527</v>
      </c>
      <c r="I2211" s="43">
        <v>117.12217252143512</v>
      </c>
    </row>
    <row r="2212" spans="1:9">
      <c r="A2212" s="19">
        <v>580.6</v>
      </c>
      <c r="B2212" s="43">
        <v>113.1476877281207</v>
      </c>
      <c r="C2212" s="43">
        <v>114.20212283182269</v>
      </c>
      <c r="D2212" s="43">
        <v>115.07431726332399</v>
      </c>
      <c r="E2212" s="43">
        <v>115.77489904394002</v>
      </c>
      <c r="F2212" s="43">
        <v>116.31730482471986</v>
      </c>
      <c r="G2212" s="43">
        <v>116.71621206811807</v>
      </c>
      <c r="H2212" s="43">
        <v>116.9864542898901</v>
      </c>
      <c r="I2212" s="43">
        <v>117.14233366377613</v>
      </c>
    </row>
    <row r="2213" spans="1:9">
      <c r="A2213" s="19">
        <v>580.70000000000005</v>
      </c>
      <c r="B2213" s="43">
        <v>113.1657004252103</v>
      </c>
      <c r="C2213" s="43">
        <v>114.22042204104713</v>
      </c>
      <c r="D2213" s="43">
        <v>115.0929248202896</v>
      </c>
      <c r="E2213" s="43">
        <v>115.79382585681279</v>
      </c>
      <c r="F2213" s="43">
        <v>116.33655271287986</v>
      </c>
      <c r="G2213" s="43">
        <v>116.73577578238755</v>
      </c>
      <c r="H2213" s="43">
        <v>117.00632339028792</v>
      </c>
      <c r="I2213" s="43">
        <v>117.16249410709716</v>
      </c>
    </row>
    <row r="2214" spans="1:9">
      <c r="A2214" s="19">
        <v>580.79999999999995</v>
      </c>
      <c r="B2214" s="43">
        <v>113.18371277323439</v>
      </c>
      <c r="C2214" s="43">
        <v>114.23872080677978</v>
      </c>
      <c r="D2214" s="43">
        <v>115.11153185210674</v>
      </c>
      <c r="E2214" s="43">
        <v>115.81275207845664</v>
      </c>
      <c r="F2214" s="43">
        <v>116.35579996036276</v>
      </c>
      <c r="G2214" s="43">
        <v>116.75533882250997</v>
      </c>
      <c r="H2214" s="43">
        <v>117.02619179768601</v>
      </c>
      <c r="I2214" s="43">
        <v>117.18265385151963</v>
      </c>
    </row>
    <row r="2215" spans="1:9">
      <c r="A2215" s="19">
        <v>580.9</v>
      </c>
      <c r="B2215" s="43">
        <v>113.20172477238046</v>
      </c>
      <c r="C2215" s="43">
        <v>114.25701912923012</v>
      </c>
      <c r="D2215" s="43">
        <v>115.13013835891709</v>
      </c>
      <c r="E2215" s="43">
        <v>115.83167770910481</v>
      </c>
      <c r="F2215" s="43">
        <v>116.37504656734274</v>
      </c>
      <c r="G2215" s="43">
        <v>116.77490118863238</v>
      </c>
      <c r="H2215" s="43">
        <v>117.04605951221239</v>
      </c>
      <c r="I2215" s="43">
        <v>117.20281289713168</v>
      </c>
    </row>
    <row r="2216" spans="1:9">
      <c r="A2216" s="19">
        <v>581</v>
      </c>
      <c r="B2216" s="43">
        <v>113.21973642293807</v>
      </c>
      <c r="C2216" s="43">
        <v>114.27531700872717</v>
      </c>
      <c r="D2216" s="43">
        <v>115.14874434107367</v>
      </c>
      <c r="E2216" s="43">
        <v>115.85060274902554</v>
      </c>
      <c r="F2216" s="43">
        <v>116.39429253409239</v>
      </c>
      <c r="G2216" s="43">
        <v>116.79446288096702</v>
      </c>
      <c r="H2216" s="43">
        <v>117.06592653409373</v>
      </c>
      <c r="I2216" s="43">
        <v>117.22297124410579</v>
      </c>
    </row>
    <row r="2217" spans="1:9">
      <c r="A2217" s="19">
        <v>581.1</v>
      </c>
      <c r="B2217" s="43">
        <v>113.23774772518874</v>
      </c>
      <c r="C2217" s="43">
        <v>114.29361444549932</v>
      </c>
      <c r="D2217" s="43">
        <v>115.16734979880999</v>
      </c>
      <c r="E2217" s="43">
        <v>115.86952719847534</v>
      </c>
      <c r="F2217" s="43">
        <v>116.41353786082283</v>
      </c>
      <c r="G2217" s="43">
        <v>116.81402389972985</v>
      </c>
      <c r="H2217" s="43">
        <v>117.08579286342089</v>
      </c>
      <c r="I2217" s="43">
        <v>117.24312889253886</v>
      </c>
    </row>
    <row r="2218" spans="1:9">
      <c r="A2218" s="19">
        <v>581.20000000000005</v>
      </c>
      <c r="B2218" s="43">
        <v>113.25575867907898</v>
      </c>
      <c r="C2218" s="43">
        <v>114.31191143960518</v>
      </c>
      <c r="D2218" s="43">
        <v>115.18595473218372</v>
      </c>
      <c r="E2218" s="43">
        <v>115.88845105751415</v>
      </c>
      <c r="F2218" s="43">
        <v>116.43278254759826</v>
      </c>
      <c r="G2218" s="43">
        <v>116.83358424497015</v>
      </c>
      <c r="H2218" s="43">
        <v>117.1056585002863</v>
      </c>
      <c r="I2218" s="43">
        <v>117.26328584249728</v>
      </c>
    </row>
    <row r="2219" spans="1:9">
      <c r="A2219" s="19">
        <v>581.29999999999995</v>
      </c>
      <c r="B2219" s="43">
        <v>113.27376928504376</v>
      </c>
      <c r="C2219" s="43">
        <v>114.33020799140874</v>
      </c>
      <c r="D2219" s="43">
        <v>115.20455914157262</v>
      </c>
      <c r="E2219" s="43">
        <v>115.90737432647231</v>
      </c>
      <c r="F2219" s="43">
        <v>116.4520265947194</v>
      </c>
      <c r="G2219" s="43">
        <v>116.85314391695283</v>
      </c>
      <c r="H2219" s="43">
        <v>117.1255234449128</v>
      </c>
      <c r="I2219" s="43">
        <v>117.28344209413035</v>
      </c>
    </row>
    <row r="2220" spans="1:9">
      <c r="A2220" s="19">
        <v>581.4</v>
      </c>
      <c r="B2220" s="43">
        <v>113.291779543144</v>
      </c>
      <c r="C2220" s="43">
        <v>114.34850410105096</v>
      </c>
      <c r="D2220" s="43">
        <v>115.2231630271001</v>
      </c>
      <c r="E2220" s="43">
        <v>115.92629700549494</v>
      </c>
      <c r="F2220" s="43">
        <v>116.47127000229077</v>
      </c>
      <c r="G2220" s="43">
        <v>116.87270291575922</v>
      </c>
      <c r="H2220" s="43">
        <v>117.14538769738928</v>
      </c>
      <c r="I2220" s="43">
        <v>117.30359764751924</v>
      </c>
    </row>
    <row r="2221" spans="1:9">
      <c r="A2221" s="19">
        <v>581.5</v>
      </c>
      <c r="B2221" s="43">
        <v>113.30978945375736</v>
      </c>
      <c r="C2221" s="43">
        <v>114.36679976885432</v>
      </c>
      <c r="D2221" s="43">
        <v>115.24176638908483</v>
      </c>
      <c r="E2221" s="43">
        <v>115.94521909487071</v>
      </c>
      <c r="F2221" s="43">
        <v>116.49051277062316</v>
      </c>
      <c r="G2221" s="43">
        <v>116.89226124165381</v>
      </c>
      <c r="H2221" s="43">
        <v>117.16525125788104</v>
      </c>
      <c r="I2221" s="43">
        <v>117.3237525028195</v>
      </c>
    </row>
    <row r="2222" spans="1:9">
      <c r="A2222" s="19">
        <v>581.6</v>
      </c>
      <c r="B2222" s="43">
        <v>113.32779901700579</v>
      </c>
      <c r="C2222" s="43">
        <v>114.38509499502067</v>
      </c>
      <c r="D2222" s="43">
        <v>115.26036922773784</v>
      </c>
      <c r="E2222" s="43">
        <v>115.96414059481273</v>
      </c>
      <c r="F2222" s="43">
        <v>116.50975489986962</v>
      </c>
      <c r="G2222" s="43">
        <v>116.91181889478705</v>
      </c>
      <c r="H2222" s="43">
        <v>117.18511412655647</v>
      </c>
      <c r="I2222" s="43">
        <v>117.34390666013354</v>
      </c>
    </row>
    <row r="2223" spans="1:9">
      <c r="A2223" s="19">
        <v>581.70000000000005</v>
      </c>
      <c r="B2223" s="43">
        <v>113.3458082331156</v>
      </c>
      <c r="C2223" s="43">
        <v>114.40338977974139</v>
      </c>
      <c r="D2223" s="43">
        <v>115.27897154326894</v>
      </c>
      <c r="E2223" s="43">
        <v>115.98306150549095</v>
      </c>
      <c r="F2223" s="43">
        <v>116.5289963902112</v>
      </c>
      <c r="G2223" s="43">
        <v>116.93137587530555</v>
      </c>
      <c r="H2223" s="43">
        <v>117.20497630351366</v>
      </c>
      <c r="I2223" s="43">
        <v>117.36406011955887</v>
      </c>
    </row>
    <row r="2224" spans="1:9">
      <c r="A2224" s="19">
        <v>581.79999999999995</v>
      </c>
      <c r="B2224" s="43">
        <v>113.36381710218933</v>
      </c>
      <c r="C2224" s="43">
        <v>114.42168412317235</v>
      </c>
      <c r="D2224" s="43">
        <v>115.29757333577797</v>
      </c>
      <c r="E2224" s="43">
        <v>116.00198182705981</v>
      </c>
      <c r="F2224" s="43">
        <v>116.54823724179732</v>
      </c>
      <c r="G2224" s="43">
        <v>116.9509321833539</v>
      </c>
      <c r="H2224" s="43">
        <v>117.22483778887579</v>
      </c>
      <c r="I2224" s="43">
        <v>117.38421288118732</v>
      </c>
    </row>
    <row r="2225" spans="1:9">
      <c r="A2225" s="19">
        <v>581.9</v>
      </c>
      <c r="B2225" s="43">
        <v>113.38182562463479</v>
      </c>
      <c r="C2225" s="43">
        <v>114.43997802567665</v>
      </c>
      <c r="D2225" s="43">
        <v>115.31617460570715</v>
      </c>
      <c r="E2225" s="43">
        <v>116.02090155986292</v>
      </c>
      <c r="F2225" s="43">
        <v>116.5674774549143</v>
      </c>
      <c r="G2225" s="43">
        <v>116.97048781916467</v>
      </c>
      <c r="H2225" s="43">
        <v>117.24469858286457</v>
      </c>
      <c r="I2225" s="43">
        <v>117.40436494516737</v>
      </c>
    </row>
    <row r="2226" spans="1:9">
      <c r="A2226" s="19">
        <v>582</v>
      </c>
      <c r="B2226" s="43">
        <v>113.39983380053448</v>
      </c>
      <c r="C2226" s="43">
        <v>114.45827148741088</v>
      </c>
      <c r="D2226" s="43">
        <v>115.33477535317559</v>
      </c>
      <c r="E2226" s="43">
        <v>116.03982070406335</v>
      </c>
      <c r="F2226" s="43">
        <v>116.5867170297058</v>
      </c>
      <c r="G2226" s="43">
        <v>116.99004278286827</v>
      </c>
      <c r="H2226" s="43">
        <v>117.26455868555627</v>
      </c>
      <c r="I2226" s="43">
        <v>117.42451631159366</v>
      </c>
    </row>
    <row r="2227" spans="1:9">
      <c r="A2227" s="19">
        <v>582.1</v>
      </c>
      <c r="B2227" s="43">
        <v>113.41784163018926</v>
      </c>
      <c r="C2227" s="43">
        <v>114.47656450865819</v>
      </c>
      <c r="D2227" s="43">
        <v>115.35337557843516</v>
      </c>
      <c r="E2227" s="43">
        <v>116.05873925988666</v>
      </c>
      <c r="F2227" s="43">
        <v>116.60595596640928</v>
      </c>
      <c r="G2227" s="43">
        <v>117.00959707466021</v>
      </c>
      <c r="H2227" s="43">
        <v>117.28441809714931</v>
      </c>
      <c r="I2227" s="43">
        <v>117.44466698060887</v>
      </c>
    </row>
    <row r="2228" spans="1:9">
      <c r="A2228" s="19">
        <v>582.20000000000005</v>
      </c>
      <c r="B2228" s="43">
        <v>113.43584911368367</v>
      </c>
      <c r="C2228" s="43">
        <v>114.4948570895246</v>
      </c>
      <c r="D2228" s="43">
        <v>115.37197528163225</v>
      </c>
      <c r="E2228" s="43">
        <v>116.07765722749417</v>
      </c>
      <c r="F2228" s="43">
        <v>116.62519426513953</v>
      </c>
      <c r="G2228" s="43">
        <v>117.0291506946873</v>
      </c>
      <c r="H2228" s="43">
        <v>117.30427681769982</v>
      </c>
      <c r="I2228" s="43">
        <v>117.46481695227124</v>
      </c>
    </row>
    <row r="2229" spans="1:9">
      <c r="A2229" s="19">
        <v>582.29999999999995</v>
      </c>
      <c r="B2229" s="43">
        <v>113.45385625128094</v>
      </c>
      <c r="C2229" s="43">
        <v>114.51314923029054</v>
      </c>
      <c r="D2229" s="43">
        <v>115.39057446303488</v>
      </c>
      <c r="E2229" s="43">
        <v>116.09657460711981</v>
      </c>
      <c r="F2229" s="43">
        <v>116.64443192612501</v>
      </c>
      <c r="G2229" s="43">
        <v>117.04870364311262</v>
      </c>
      <c r="H2229" s="43">
        <v>117.32413484739729</v>
      </c>
      <c r="I2229" s="43">
        <v>117.48496622670757</v>
      </c>
    </row>
    <row r="2230" spans="1:9">
      <c r="A2230" s="19">
        <v>582.4</v>
      </c>
      <c r="B2230" s="43">
        <v>113.47186304323688</v>
      </c>
      <c r="C2230" s="43">
        <v>114.53144093123078</v>
      </c>
      <c r="D2230" s="43">
        <v>115.40917312291742</v>
      </c>
      <c r="E2230" s="43">
        <v>116.1154913990265</v>
      </c>
      <c r="F2230" s="43">
        <v>116.66366894960498</v>
      </c>
      <c r="G2230" s="43">
        <v>117.06825592014843</v>
      </c>
      <c r="H2230" s="43">
        <v>117.34399218642972</v>
      </c>
      <c r="I2230" s="43">
        <v>117.5051148040678</v>
      </c>
    </row>
    <row r="2231" spans="1:9">
      <c r="A2231" s="19">
        <v>582.5</v>
      </c>
      <c r="B2231" s="43">
        <v>113.48986948979211</v>
      </c>
      <c r="C2231" s="43">
        <v>114.54973219259358</v>
      </c>
      <c r="D2231" s="43">
        <v>115.42777126151512</v>
      </c>
      <c r="E2231" s="43">
        <v>116.13440760343903</v>
      </c>
      <c r="F2231" s="43">
        <v>116.68290533578505</v>
      </c>
      <c r="G2231" s="43">
        <v>117.08780752595024</v>
      </c>
      <c r="H2231" s="43">
        <v>117.3638488348893</v>
      </c>
      <c r="I2231" s="43">
        <v>117.52526268445848</v>
      </c>
    </row>
    <row r="2232" spans="1:9">
      <c r="A2232" s="19">
        <v>582.6</v>
      </c>
      <c r="B2232" s="43">
        <v>113.50787559111959</v>
      </c>
      <c r="C2232" s="43">
        <v>114.56802301452063</v>
      </c>
      <c r="D2232" s="43">
        <v>115.44636887903977</v>
      </c>
      <c r="E2232" s="43">
        <v>116.15332322053831</v>
      </c>
      <c r="F2232" s="43">
        <v>116.70214108482205</v>
      </c>
      <c r="G2232" s="43">
        <v>117.10735846070727</v>
      </c>
      <c r="H2232" s="43">
        <v>117.38370479295838</v>
      </c>
      <c r="I2232" s="43">
        <v>117.54540986797053</v>
      </c>
    </row>
    <row r="2233" spans="1:9">
      <c r="A2233" s="19">
        <v>582.70000000000005</v>
      </c>
      <c r="B2233" s="43">
        <v>113.52588134735487</v>
      </c>
      <c r="C2233" s="43">
        <v>114.58631339725019</v>
      </c>
      <c r="D2233" s="43">
        <v>115.46496597562461</v>
      </c>
      <c r="E2233" s="43">
        <v>116.17223825050525</v>
      </c>
      <c r="F2233" s="43">
        <v>116.72137619689116</v>
      </c>
      <c r="G2233" s="43">
        <v>117.12690872454192</v>
      </c>
      <c r="H2233" s="43">
        <v>117.40356006072813</v>
      </c>
      <c r="I2233" s="43">
        <v>117.56555635471747</v>
      </c>
    </row>
    <row r="2234" spans="1:9">
      <c r="A2234" s="19">
        <v>582.79999999999995</v>
      </c>
      <c r="B2234" s="43">
        <v>113.54388675870538</v>
      </c>
      <c r="C2234" s="43">
        <v>114.60460334096277</v>
      </c>
      <c r="D2234" s="43">
        <v>115.48356255152342</v>
      </c>
      <c r="E2234" s="43">
        <v>116.19115269354288</v>
      </c>
      <c r="F2234" s="43">
        <v>116.74061067217326</v>
      </c>
      <c r="G2234" s="43">
        <v>117.14645831761743</v>
      </c>
      <c r="H2234" s="43">
        <v>117.42341463833355</v>
      </c>
      <c r="I2234" s="43">
        <v>117.58570214480127</v>
      </c>
    </row>
    <row r="2235" spans="1:9">
      <c r="A2235" s="19">
        <v>582.9</v>
      </c>
      <c r="B2235" s="43">
        <v>113.56189182554186</v>
      </c>
      <c r="C2235" s="43">
        <v>114.62289284598401</v>
      </c>
      <c r="D2235" s="43">
        <v>115.50215860704648</v>
      </c>
      <c r="E2235" s="43">
        <v>116.21006654996037</v>
      </c>
      <c r="F2235" s="43">
        <v>116.75984451095039</v>
      </c>
      <c r="G2235" s="43">
        <v>117.1660072401759</v>
      </c>
      <c r="H2235" s="43">
        <v>117.44326852598456</v>
      </c>
      <c r="I2235" s="43">
        <v>117.60584723836351</v>
      </c>
    </row>
    <row r="2236" spans="1:9">
      <c r="A2236" s="19">
        <v>583</v>
      </c>
      <c r="B2236" s="43">
        <v>113.57989654798786</v>
      </c>
      <c r="C2236" s="43">
        <v>114.64118191255031</v>
      </c>
      <c r="D2236" s="43">
        <v>115.52075414241017</v>
      </c>
      <c r="E2236" s="43">
        <v>116.22897981993495</v>
      </c>
      <c r="F2236" s="43">
        <v>116.77907771339028</v>
      </c>
      <c r="G2236" s="43">
        <v>117.18555549237198</v>
      </c>
      <c r="H2236" s="43">
        <v>117.46312172379973</v>
      </c>
      <c r="I2236" s="43">
        <v>117.62599163553205</v>
      </c>
    </row>
    <row r="2237" spans="1:9">
      <c r="A2237" s="19">
        <v>583.1</v>
      </c>
      <c r="B2237" s="43">
        <v>113.5979009262293</v>
      </c>
      <c r="C2237" s="43">
        <v>114.65947054079672</v>
      </c>
      <c r="D2237" s="43">
        <v>115.53934915777916</v>
      </c>
      <c r="E2237" s="43">
        <v>116.24789250364159</v>
      </c>
      <c r="F2237" s="43">
        <v>116.7983102796353</v>
      </c>
      <c r="G2237" s="43">
        <v>117.20510307432841</v>
      </c>
      <c r="H2237" s="43">
        <v>117.48297423189331</v>
      </c>
      <c r="I2237" s="43">
        <v>117.64613533636029</v>
      </c>
    </row>
    <row r="2238" spans="1:9">
      <c r="A2238" s="19">
        <v>583.20000000000005</v>
      </c>
      <c r="B2238" s="43">
        <v>113.61590496045923</v>
      </c>
      <c r="C2238" s="43">
        <v>114.67775873093206</v>
      </c>
      <c r="D2238" s="43">
        <v>115.55794365334711</v>
      </c>
      <c r="E2238" s="43">
        <v>116.26680460131624</v>
      </c>
      <c r="F2238" s="43">
        <v>116.81754220992539</v>
      </c>
      <c r="G2238" s="43">
        <v>117.22464998622169</v>
      </c>
      <c r="H2238" s="43">
        <v>117.50282605041684</v>
      </c>
      <c r="I2238" s="43">
        <v>117.66627834099737</v>
      </c>
    </row>
    <row r="2239" spans="1:9">
      <c r="A2239" s="19">
        <v>583.29999999999995</v>
      </c>
      <c r="B2239" s="43">
        <v>113.63390865084904</v>
      </c>
      <c r="C2239" s="43">
        <v>114.69604648319716</v>
      </c>
      <c r="D2239" s="43">
        <v>115.57653762936417</v>
      </c>
      <c r="E2239" s="43">
        <v>116.28571611312015</v>
      </c>
      <c r="F2239" s="43">
        <v>116.83677350437728</v>
      </c>
      <c r="G2239" s="43">
        <v>117.24419622822609</v>
      </c>
      <c r="H2239" s="43">
        <v>117.52267717951267</v>
      </c>
      <c r="I2239" s="43">
        <v>117.68642064952618</v>
      </c>
    </row>
    <row r="2240" spans="1:9">
      <c r="A2240" s="19">
        <v>583.4</v>
      </c>
      <c r="B2240" s="43">
        <v>113.65191199773338</v>
      </c>
      <c r="C2240" s="43">
        <v>114.7143337978932</v>
      </c>
      <c r="D2240" s="43">
        <v>115.59513108611173</v>
      </c>
      <c r="E2240" s="43">
        <v>116.30462703935706</v>
      </c>
      <c r="F2240" s="43">
        <v>116.85600416329723</v>
      </c>
      <c r="G2240" s="43">
        <v>117.26374180055049</v>
      </c>
      <c r="H2240" s="43">
        <v>117.54252761932855</v>
      </c>
      <c r="I2240" s="43">
        <v>117.7065622621073</v>
      </c>
    </row>
    <row r="2241" spans="1:9">
      <c r="A2241" s="19">
        <v>583.5</v>
      </c>
      <c r="B2241" s="43">
        <v>113.66991500135617</v>
      </c>
      <c r="C2241" s="43">
        <v>114.73262067526815</v>
      </c>
      <c r="D2241" s="43">
        <v>115.61372402384148</v>
      </c>
      <c r="E2241" s="43">
        <v>116.32353738025188</v>
      </c>
      <c r="F2241" s="43">
        <v>116.87523418687715</v>
      </c>
      <c r="G2241" s="43">
        <v>117.2832867033826</v>
      </c>
      <c r="H2241" s="43">
        <v>117.56237737004361</v>
      </c>
      <c r="I2241" s="43">
        <v>117.72670317883495</v>
      </c>
    </row>
    <row r="2242" spans="1:9">
      <c r="A2242" s="19">
        <v>583.6</v>
      </c>
      <c r="B2242" s="43">
        <v>113.68791766176921</v>
      </c>
      <c r="C2242" s="43">
        <v>114.75090711541591</v>
      </c>
      <c r="D2242" s="43">
        <v>115.63231644267006</v>
      </c>
      <c r="E2242" s="43">
        <v>116.34244713593552</v>
      </c>
      <c r="F2242" s="43">
        <v>116.89446357524594</v>
      </c>
      <c r="G2242" s="43">
        <v>117.30283093682533</v>
      </c>
      <c r="H2242" s="43">
        <v>117.58222643176563</v>
      </c>
      <c r="I2242" s="43">
        <v>117.74684339982119</v>
      </c>
    </row>
    <row r="2243" spans="1:9">
      <c r="A2243" s="19">
        <v>583.70000000000005</v>
      </c>
      <c r="B2243" s="43">
        <v>113.70591997920755</v>
      </c>
      <c r="C2243" s="43">
        <v>114.76919311857509</v>
      </c>
      <c r="D2243" s="43">
        <v>115.65090834283231</v>
      </c>
      <c r="E2243" s="43">
        <v>116.3613563066265</v>
      </c>
      <c r="F2243" s="43">
        <v>116.91369232859486</v>
      </c>
      <c r="G2243" s="43">
        <v>117.32237450105941</v>
      </c>
      <c r="H2243" s="43">
        <v>117.6020748046013</v>
      </c>
      <c r="I2243" s="43">
        <v>117.76698292514817</v>
      </c>
    </row>
    <row r="2244" spans="1:9">
      <c r="A2244" s="19">
        <v>583.79999999999995</v>
      </c>
      <c r="B2244" s="43">
        <v>113.72392195397248</v>
      </c>
      <c r="C2244" s="43">
        <v>114.78747868504877</v>
      </c>
      <c r="D2244" s="43">
        <v>115.66949972463291</v>
      </c>
      <c r="E2244" s="43">
        <v>116.38026489260568</v>
      </c>
      <c r="F2244" s="43">
        <v>116.93292044717217</v>
      </c>
      <c r="G2244" s="43">
        <v>117.34191739629026</v>
      </c>
      <c r="H2244" s="43">
        <v>117.62192248875448</v>
      </c>
      <c r="I2244" s="43">
        <v>117.78712175498552</v>
      </c>
    </row>
    <row r="2245" spans="1:9">
      <c r="A2245" s="19">
        <v>583.9</v>
      </c>
      <c r="B2245" s="43">
        <v>113.74192358620567</v>
      </c>
      <c r="C2245" s="43">
        <v>114.80576381505983</v>
      </c>
      <c r="D2245" s="43">
        <v>115.68809058826031</v>
      </c>
      <c r="E2245" s="43">
        <v>116.39917289407774</v>
      </c>
      <c r="F2245" s="43">
        <v>116.95214793116284</v>
      </c>
      <c r="G2245" s="43">
        <v>117.36145962268176</v>
      </c>
      <c r="H2245" s="43">
        <v>117.64176948435707</v>
      </c>
      <c r="I2245" s="43">
        <v>117.80725988941964</v>
      </c>
    </row>
    <row r="2246" spans="1:9">
      <c r="A2246" s="19">
        <v>584</v>
      </c>
      <c r="B2246" s="43">
        <v>113.75992487622602</v>
      </c>
      <c r="C2246" s="43">
        <v>114.82404850879877</v>
      </c>
      <c r="D2246" s="43">
        <v>115.7066809339874</v>
      </c>
      <c r="E2246" s="43">
        <v>116.41808031122912</v>
      </c>
      <c r="F2246" s="43">
        <v>116.97137478076016</v>
      </c>
      <c r="G2246" s="43">
        <v>117.38100118042689</v>
      </c>
      <c r="H2246" s="43">
        <v>117.66161579156574</v>
      </c>
      <c r="I2246" s="43">
        <v>117.82739732857087</v>
      </c>
    </row>
    <row r="2247" spans="1:9">
      <c r="A2247" s="19">
        <v>584.1</v>
      </c>
      <c r="B2247" s="43">
        <v>113.77792582407577</v>
      </c>
      <c r="C2247" s="43">
        <v>114.84233276646592</v>
      </c>
      <c r="D2247" s="43">
        <v>115.72527076191008</v>
      </c>
      <c r="E2247" s="43">
        <v>116.43698714426858</v>
      </c>
      <c r="F2247" s="43">
        <v>116.99060099613536</v>
      </c>
      <c r="G2247" s="43">
        <v>117.40054206963831</v>
      </c>
      <c r="H2247" s="43">
        <v>117.68146141045645</v>
      </c>
      <c r="I2247" s="43">
        <v>117.84753407252956</v>
      </c>
    </row>
    <row r="2248" spans="1:9">
      <c r="A2248" s="19">
        <v>584.20000000000005</v>
      </c>
      <c r="B2248" s="43">
        <v>113.79592643001786</v>
      </c>
      <c r="C2248" s="43">
        <v>114.86061658829979</v>
      </c>
      <c r="D2248" s="43">
        <v>115.74386007232124</v>
      </c>
      <c r="E2248" s="43">
        <v>116.45589339339111</v>
      </c>
      <c r="F2248" s="43">
        <v>117.00982657747807</v>
      </c>
      <c r="G2248" s="43">
        <v>117.42008229050009</v>
      </c>
      <c r="H2248" s="43">
        <v>117.701306341231</v>
      </c>
      <c r="I2248" s="43">
        <v>117.86767012141448</v>
      </c>
    </row>
    <row r="2249" spans="1:9">
      <c r="A2249" s="19">
        <v>584.29999999999995</v>
      </c>
      <c r="B2249" s="43">
        <v>113.813926694343</v>
      </c>
      <c r="C2249" s="43">
        <v>114.87889997453308</v>
      </c>
      <c r="D2249" s="43">
        <v>115.7624488654821</v>
      </c>
      <c r="E2249" s="43">
        <v>116.47479905886692</v>
      </c>
      <c r="F2249" s="43">
        <v>117.02905152502055</v>
      </c>
      <c r="G2249" s="43">
        <v>117.43962184323655</v>
      </c>
      <c r="H2249" s="43">
        <v>117.72115058401891</v>
      </c>
      <c r="I2249" s="43">
        <v>117.88780547536433</v>
      </c>
    </row>
    <row r="2250" spans="1:9">
      <c r="A2250" s="19">
        <v>584.4</v>
      </c>
      <c r="B2250" s="43">
        <v>113.83192661718215</v>
      </c>
      <c r="C2250" s="43">
        <v>114.89718292539962</v>
      </c>
      <c r="D2250" s="43">
        <v>115.78103714159235</v>
      </c>
      <c r="E2250" s="43">
        <v>116.49370414087736</v>
      </c>
      <c r="F2250" s="43">
        <v>117.04827583895971</v>
      </c>
      <c r="G2250" s="43">
        <v>117.45916072794742</v>
      </c>
      <c r="H2250" s="43">
        <v>117.74099413896167</v>
      </c>
      <c r="I2250" s="43">
        <v>117.90794013447297</v>
      </c>
    </row>
    <row r="2251" spans="1:9">
      <c r="A2251" s="19">
        <v>584.5</v>
      </c>
      <c r="B2251" s="43">
        <v>113.84992619884983</v>
      </c>
      <c r="C2251" s="43">
        <v>114.91546544118597</v>
      </c>
      <c r="D2251" s="43">
        <v>115.79962490091188</v>
      </c>
      <c r="E2251" s="43">
        <v>116.51260863969947</v>
      </c>
      <c r="F2251" s="43">
        <v>117.06749951948504</v>
      </c>
      <c r="G2251" s="43">
        <v>117.47869894490717</v>
      </c>
      <c r="H2251" s="43">
        <v>117.76083700624224</v>
      </c>
      <c r="I2251" s="43">
        <v>117.92807409888144</v>
      </c>
    </row>
    <row r="2252" spans="1:9">
      <c r="A2252" s="19">
        <v>584.6</v>
      </c>
      <c r="B2252" s="43">
        <v>113.86792543938822</v>
      </c>
      <c r="C2252" s="43">
        <v>114.93374752194651</v>
      </c>
      <c r="D2252" s="43">
        <v>115.81821214357208</v>
      </c>
      <c r="E2252" s="43">
        <v>116.53151255543193</v>
      </c>
      <c r="F2252" s="43">
        <v>117.08672256674106</v>
      </c>
      <c r="G2252" s="43">
        <v>117.49823649415879</v>
      </c>
      <c r="H2252" s="43">
        <v>117.78067918592723</v>
      </c>
      <c r="I2252" s="43">
        <v>117.94820736865449</v>
      </c>
    </row>
    <row r="2253" spans="1:9">
      <c r="A2253" s="19">
        <v>584.70000000000005</v>
      </c>
      <c r="B2253" s="43">
        <v>113.88592433905345</v>
      </c>
      <c r="C2253" s="43">
        <v>114.95202916796973</v>
      </c>
      <c r="D2253" s="43">
        <v>115.83679886979934</v>
      </c>
      <c r="E2253" s="43">
        <v>116.55041588830179</v>
      </c>
      <c r="F2253" s="43">
        <v>117.10594498093914</v>
      </c>
      <c r="G2253" s="43">
        <v>117.5177733759067</v>
      </c>
      <c r="H2253" s="43">
        <v>117.8005206781624</v>
      </c>
      <c r="I2253" s="43">
        <v>117.96833994391091</v>
      </c>
    </row>
    <row r="2254" spans="1:9">
      <c r="A2254" s="19">
        <v>584.79999999999995</v>
      </c>
      <c r="B2254" s="43">
        <v>113.90392289814793</v>
      </c>
      <c r="C2254" s="43">
        <v>114.97031037957527</v>
      </c>
      <c r="D2254" s="43">
        <v>115.8553850799162</v>
      </c>
      <c r="E2254" s="43">
        <v>116.56931863861863</v>
      </c>
      <c r="F2254" s="43">
        <v>117.12516676235123</v>
      </c>
      <c r="G2254" s="43">
        <v>117.53730959039837</v>
      </c>
      <c r="H2254" s="43">
        <v>117.82036148316749</v>
      </c>
      <c r="I2254" s="43">
        <v>117.98847182479787</v>
      </c>
    </row>
    <row r="2255" spans="1:9">
      <c r="A2255" s="19">
        <v>584.9</v>
      </c>
      <c r="B2255" s="43">
        <v>113.92192111687581</v>
      </c>
      <c r="C2255" s="43">
        <v>114.98859115693554</v>
      </c>
      <c r="D2255" s="43">
        <v>115.87397077415264</v>
      </c>
      <c r="E2255" s="43">
        <v>116.58822080656446</v>
      </c>
      <c r="F2255" s="43">
        <v>117.14438791111857</v>
      </c>
      <c r="G2255" s="43">
        <v>117.55684513776498</v>
      </c>
      <c r="H2255" s="43">
        <v>117.84020160106974</v>
      </c>
      <c r="I2255" s="43">
        <v>118.0086030114567</v>
      </c>
    </row>
    <row r="2256" spans="1:9">
      <c r="A2256" s="19">
        <v>585</v>
      </c>
      <c r="B2256" s="43">
        <v>113.93991899537099</v>
      </c>
      <c r="C2256" s="43">
        <v>115.00687150024646</v>
      </c>
      <c r="D2256" s="43">
        <v>115.89255595263174</v>
      </c>
      <c r="E2256" s="43">
        <v>116.607122392333</v>
      </c>
      <c r="F2256" s="43">
        <v>117.16360842742728</v>
      </c>
      <c r="G2256" s="43">
        <v>117.57638001817242</v>
      </c>
      <c r="H2256" s="43">
        <v>117.86004103196842</v>
      </c>
      <c r="I2256" s="43">
        <v>118.02873350393631</v>
      </c>
    </row>
    <row r="2257" spans="1:9">
      <c r="A2257" s="19">
        <v>585.1</v>
      </c>
      <c r="B2257" s="43">
        <v>113.95791653382702</v>
      </c>
      <c r="C2257" s="43">
        <v>115.02515140971744</v>
      </c>
      <c r="D2257" s="43">
        <v>115.91114061560415</v>
      </c>
      <c r="E2257" s="43">
        <v>116.62602339611794</v>
      </c>
      <c r="F2257" s="43">
        <v>117.18282831148147</v>
      </c>
      <c r="G2257" s="43">
        <v>117.59591423175996</v>
      </c>
      <c r="H2257" s="43">
        <v>117.87987977600923</v>
      </c>
      <c r="I2257" s="43">
        <v>118.04886330236855</v>
      </c>
    </row>
    <row r="2258" spans="1:9">
      <c r="A2258" s="19">
        <v>585.20000000000005</v>
      </c>
      <c r="B2258" s="43">
        <v>113.97591373247681</v>
      </c>
      <c r="C2258" s="43">
        <v>115.04343088556374</v>
      </c>
      <c r="D2258" s="43">
        <v>115.92972476330584</v>
      </c>
      <c r="E2258" s="43">
        <v>116.64492381812227</v>
      </c>
      <c r="F2258" s="43">
        <v>117.20204756345942</v>
      </c>
      <c r="G2258" s="43">
        <v>117.61544777871458</v>
      </c>
      <c r="H2258" s="43">
        <v>117.89971783333999</v>
      </c>
      <c r="I2258" s="43">
        <v>118.06899240685158</v>
      </c>
    </row>
    <row r="2259" spans="1:9">
      <c r="A2259" s="19">
        <v>585.29999999999995</v>
      </c>
      <c r="B2259" s="43">
        <v>113.99391059155025</v>
      </c>
      <c r="C2259" s="43">
        <v>115.06170992806219</v>
      </c>
      <c r="D2259" s="43">
        <v>115.94830839598657</v>
      </c>
      <c r="E2259" s="43">
        <v>116.66382365861918</v>
      </c>
      <c r="F2259" s="43">
        <v>117.22126618357984</v>
      </c>
      <c r="G2259" s="43">
        <v>117.6349806592267</v>
      </c>
      <c r="H2259" s="43">
        <v>117.91955520414336</v>
      </c>
      <c r="I2259" s="43">
        <v>118.0891208175459</v>
      </c>
    </row>
    <row r="2260" spans="1:9">
      <c r="A2260" s="19">
        <v>585.4</v>
      </c>
      <c r="B2260" s="43">
        <v>114.01190711135726</v>
      </c>
      <c r="C2260" s="43">
        <v>115.07998853749703</v>
      </c>
      <c r="D2260" s="43">
        <v>115.96689151390603</v>
      </c>
      <c r="E2260" s="43">
        <v>116.68272291784936</v>
      </c>
      <c r="F2260" s="43">
        <v>117.24048417208829</v>
      </c>
      <c r="G2260" s="43">
        <v>117.65451287351974</v>
      </c>
      <c r="H2260" s="43">
        <v>117.93939188856785</v>
      </c>
      <c r="I2260" s="43">
        <v>118.10924853457354</v>
      </c>
    </row>
    <row r="2261" spans="1:9">
      <c r="A2261" s="19">
        <v>585.5</v>
      </c>
      <c r="B2261" s="43">
        <v>114.0299032918881</v>
      </c>
      <c r="C2261" s="43">
        <v>115.09826671390874</v>
      </c>
      <c r="D2261" s="43">
        <v>115.98547411716569</v>
      </c>
      <c r="E2261" s="43">
        <v>116.7016215959097</v>
      </c>
      <c r="F2261" s="43">
        <v>117.25970152906666</v>
      </c>
      <c r="G2261" s="43">
        <v>117.67404442165292</v>
      </c>
      <c r="H2261" s="43">
        <v>117.95922788667934</v>
      </c>
      <c r="I2261" s="43">
        <v>118.12937555797893</v>
      </c>
    </row>
    <row r="2262" spans="1:9">
      <c r="A2262" s="19">
        <v>585.6</v>
      </c>
      <c r="B2262" s="43">
        <v>114.04789913343942</v>
      </c>
      <c r="C2262" s="43">
        <v>115.11654445760681</v>
      </c>
      <c r="D2262" s="43">
        <v>116.00405620602703</v>
      </c>
      <c r="E2262" s="43">
        <v>116.72051969304945</v>
      </c>
      <c r="F2262" s="43">
        <v>117.27891825474342</v>
      </c>
      <c r="G2262" s="43">
        <v>117.69357530381797</v>
      </c>
      <c r="H2262" s="43">
        <v>117.97906319867084</v>
      </c>
      <c r="I2262" s="43">
        <v>118.14950188789055</v>
      </c>
    </row>
    <row r="2263" spans="1:9">
      <c r="A2263" s="19">
        <v>585.70000000000005</v>
      </c>
      <c r="B2263" s="43">
        <v>114.06589463629962</v>
      </c>
      <c r="C2263" s="43">
        <v>115.13482176886413</v>
      </c>
      <c r="D2263" s="43">
        <v>116.02263778077398</v>
      </c>
      <c r="E2263" s="43">
        <v>116.73941720955924</v>
      </c>
      <c r="F2263" s="43">
        <v>117.2981343493814</v>
      </c>
      <c r="G2263" s="43">
        <v>117.71310552027063</v>
      </c>
      <c r="H2263" s="43">
        <v>117.99889782469114</v>
      </c>
      <c r="I2263" s="43">
        <v>118.16962752446923</v>
      </c>
    </row>
    <row r="2264" spans="1:9">
      <c r="A2264" s="19">
        <v>585.79999999999995</v>
      </c>
      <c r="B2264" s="43">
        <v>114.08388980061454</v>
      </c>
      <c r="C2264" s="43">
        <v>115.15309864785854</v>
      </c>
      <c r="D2264" s="43">
        <v>116.04121884160813</v>
      </c>
      <c r="E2264" s="43">
        <v>116.75831414558203</v>
      </c>
      <c r="F2264" s="43">
        <v>117.31734981312556</v>
      </c>
      <c r="G2264" s="43">
        <v>117.73263507110832</v>
      </c>
      <c r="H2264" s="43">
        <v>118.0187317648703</v>
      </c>
      <c r="I2264" s="43">
        <v>118.18975246782011</v>
      </c>
    </row>
    <row r="2265" spans="1:9">
      <c r="A2265" s="19">
        <v>585.9</v>
      </c>
      <c r="B2265" s="43">
        <v>114.10188462661023</v>
      </c>
      <c r="C2265" s="43">
        <v>115.17137509482265</v>
      </c>
      <c r="D2265" s="43">
        <v>116.0597993887626</v>
      </c>
      <c r="E2265" s="43">
        <v>116.77721050136049</v>
      </c>
      <c r="F2265" s="43">
        <v>117.33656464619398</v>
      </c>
      <c r="G2265" s="43">
        <v>117.75216395652751</v>
      </c>
      <c r="H2265" s="43">
        <v>118.03856501937304</v>
      </c>
      <c r="I2265" s="43">
        <v>118.20987671802663</v>
      </c>
    </row>
    <row r="2266" spans="1:9">
      <c r="A2266" s="19">
        <v>586</v>
      </c>
      <c r="B2266" s="43">
        <v>114.11987911445379</v>
      </c>
      <c r="C2266" s="43">
        <v>115.1896511099753</v>
      </c>
      <c r="D2266" s="43">
        <v>116.07837942242045</v>
      </c>
      <c r="E2266" s="43">
        <v>116.79610627709783</v>
      </c>
      <c r="F2266" s="43">
        <v>117.35577884877134</v>
      </c>
      <c r="G2266" s="43">
        <v>117.77169217670962</v>
      </c>
      <c r="H2266" s="43">
        <v>118.05839758832266</v>
      </c>
      <c r="I2266" s="43">
        <v>118.23000027521945</v>
      </c>
    </row>
    <row r="2267" spans="1:9">
      <c r="A2267" s="19">
        <v>586.1</v>
      </c>
      <c r="B2267" s="43">
        <v>114.13787326432322</v>
      </c>
      <c r="C2267" s="43">
        <v>115.20792669345914</v>
      </c>
      <c r="D2267" s="43">
        <v>116.09695894275819</v>
      </c>
      <c r="E2267" s="43">
        <v>116.81500147295768</v>
      </c>
      <c r="F2267" s="43">
        <v>117.37499242098016</v>
      </c>
      <c r="G2267" s="43">
        <v>117.79121973177544</v>
      </c>
      <c r="H2267" s="43">
        <v>118.07822947184221</v>
      </c>
      <c r="I2267" s="43">
        <v>118.25012313949117</v>
      </c>
    </row>
    <row r="2268" spans="1:9">
      <c r="A2268" s="19">
        <v>586.20000000000005</v>
      </c>
      <c r="B2268" s="43">
        <v>114.15586707658645</v>
      </c>
      <c r="C2268" s="43">
        <v>115.2262018456874</v>
      </c>
      <c r="D2268" s="43">
        <v>116.11553795016226</v>
      </c>
      <c r="E2268" s="43">
        <v>116.83389608926279</v>
      </c>
      <c r="F2268" s="43">
        <v>117.39420536314861</v>
      </c>
      <c r="G2268" s="43">
        <v>117.8107466219613</v>
      </c>
      <c r="H2268" s="43">
        <v>118.09806067013739</v>
      </c>
      <c r="I2268" s="43">
        <v>118.27024531100432</v>
      </c>
    </row>
    <row r="2269" spans="1:9">
      <c r="A2269" s="19">
        <v>586.29999999999995</v>
      </c>
      <c r="B2269" s="43">
        <v>114.17386055128264</v>
      </c>
      <c r="C2269" s="43">
        <v>115.24447656667468</v>
      </c>
      <c r="D2269" s="43">
        <v>116.13411644470824</v>
      </c>
      <c r="E2269" s="43">
        <v>116.85279012612654</v>
      </c>
      <c r="F2269" s="43">
        <v>117.41341767539399</v>
      </c>
      <c r="G2269" s="43">
        <v>117.83027284739478</v>
      </c>
      <c r="H2269" s="43">
        <v>118.11789118329096</v>
      </c>
      <c r="I2269" s="43">
        <v>118.29036678983229</v>
      </c>
    </row>
    <row r="2270" spans="1:9">
      <c r="A2270" s="19">
        <v>586.4</v>
      </c>
      <c r="B2270" s="43">
        <v>114.19185368879712</v>
      </c>
      <c r="C2270" s="43">
        <v>115.2627508568545</v>
      </c>
      <c r="D2270" s="43">
        <v>116.15269442675091</v>
      </c>
      <c r="E2270" s="43">
        <v>116.87168358389971</v>
      </c>
      <c r="F2270" s="43">
        <v>117.43262935797938</v>
      </c>
      <c r="G2270" s="43">
        <v>117.84979840831448</v>
      </c>
      <c r="H2270" s="43">
        <v>118.13772101151204</v>
      </c>
      <c r="I2270" s="43">
        <v>118.3104875761392</v>
      </c>
    </row>
    <row r="2271" spans="1:9">
      <c r="A2271" s="19">
        <v>586.5</v>
      </c>
      <c r="B2271" s="43">
        <v>114.20984648910257</v>
      </c>
      <c r="C2271" s="43">
        <v>115.28102471624121</v>
      </c>
      <c r="D2271" s="43">
        <v>116.17127189636372</v>
      </c>
      <c r="E2271" s="43">
        <v>116.89057646261597</v>
      </c>
      <c r="F2271" s="43">
        <v>117.45184041096579</v>
      </c>
      <c r="G2271" s="43">
        <v>117.86932330480408</v>
      </c>
      <c r="H2271" s="43">
        <v>118.15755015487593</v>
      </c>
      <c r="I2271" s="43">
        <v>118.33060766997409</v>
      </c>
    </row>
    <row r="2272" spans="1:9">
      <c r="A2272" s="19">
        <v>586.6</v>
      </c>
      <c r="B2272" s="43">
        <v>114.22783895253744</v>
      </c>
      <c r="C2272" s="43">
        <v>115.29929814513611</v>
      </c>
      <c r="D2272" s="43">
        <v>116.18984885380863</v>
      </c>
      <c r="E2272" s="43">
        <v>116.90946876256808</v>
      </c>
      <c r="F2272" s="43">
        <v>117.47105083464041</v>
      </c>
      <c r="G2272" s="43">
        <v>117.88884753704997</v>
      </c>
      <c r="H2272" s="43">
        <v>118.17737861354775</v>
      </c>
      <c r="I2272" s="43">
        <v>118.35072707146725</v>
      </c>
    </row>
    <row r="2273" spans="1:9">
      <c r="A2273" s="19">
        <v>586.70000000000005</v>
      </c>
      <c r="B2273" s="43">
        <v>114.24583107934089</v>
      </c>
      <c r="C2273" s="43">
        <v>115.31757114379167</v>
      </c>
      <c r="D2273" s="43">
        <v>116.20842529940745</v>
      </c>
      <c r="E2273" s="43">
        <v>116.92836048402333</v>
      </c>
      <c r="F2273" s="43">
        <v>117.49026062921985</v>
      </c>
      <c r="G2273" s="43">
        <v>117.90837110527875</v>
      </c>
      <c r="H2273" s="43">
        <v>118.1972063876905</v>
      </c>
      <c r="I2273" s="43">
        <v>118.3708457807808</v>
      </c>
    </row>
    <row r="2274" spans="1:9">
      <c r="A2274" s="19">
        <v>586.79999999999995</v>
      </c>
      <c r="B2274" s="43">
        <v>114.26382286975968</v>
      </c>
      <c r="C2274" s="43">
        <v>115.33584371248102</v>
      </c>
      <c r="D2274" s="43">
        <v>116.22700123335269</v>
      </c>
      <c r="E2274" s="43">
        <v>116.94725162713976</v>
      </c>
      <c r="F2274" s="43">
        <v>117.50946979488003</v>
      </c>
      <c r="G2274" s="43">
        <v>117.9278940096475</v>
      </c>
      <c r="H2274" s="43">
        <v>118.21703347745765</v>
      </c>
      <c r="I2274" s="43">
        <v>118.39096379799463</v>
      </c>
    </row>
    <row r="2275" spans="1:9">
      <c r="A2275" s="19">
        <v>586.9</v>
      </c>
      <c r="B2275" s="43">
        <v>114.28181432380703</v>
      </c>
      <c r="C2275" s="43">
        <v>115.35411585127011</v>
      </c>
      <c r="D2275" s="43">
        <v>116.24557665573866</v>
      </c>
      <c r="E2275" s="43">
        <v>116.96614219211952</v>
      </c>
      <c r="F2275" s="43">
        <v>117.52867833176336</v>
      </c>
      <c r="G2275" s="43">
        <v>117.94741625026745</v>
      </c>
      <c r="H2275" s="43">
        <v>118.23685988294829</v>
      </c>
      <c r="I2275" s="43">
        <v>118.41108112320518</v>
      </c>
    </row>
    <row r="2276" spans="1:9">
      <c r="A2276" s="19">
        <v>587</v>
      </c>
      <c r="B2276" s="43">
        <v>114.29980544182621</v>
      </c>
      <c r="C2276" s="43">
        <v>115.37238756046904</v>
      </c>
      <c r="D2276" s="43">
        <v>116.26415156690325</v>
      </c>
      <c r="E2276" s="43">
        <v>116.98503217919568</v>
      </c>
      <c r="F2276" s="43">
        <v>117.54788624011599</v>
      </c>
      <c r="G2276" s="43">
        <v>117.96693782736099</v>
      </c>
      <c r="H2276" s="43">
        <v>118.25668560433959</v>
      </c>
      <c r="I2276" s="43">
        <v>118.43119775655143</v>
      </c>
    </row>
    <row r="2277" spans="1:9">
      <c r="A2277" s="19">
        <v>587.1</v>
      </c>
      <c r="B2277" s="43">
        <v>114.31779622392199</v>
      </c>
      <c r="C2277" s="43">
        <v>115.3906588402339</v>
      </c>
      <c r="D2277" s="43">
        <v>116.28272596699949</v>
      </c>
      <c r="E2277" s="43">
        <v>117.00392158849701</v>
      </c>
      <c r="F2277" s="43">
        <v>117.56709352006212</v>
      </c>
      <c r="G2277" s="43">
        <v>117.98645874105281</v>
      </c>
      <c r="H2277" s="43">
        <v>118.27651064172676</v>
      </c>
      <c r="I2277" s="43">
        <v>118.45131369811565</v>
      </c>
    </row>
    <row r="2278" spans="1:9">
      <c r="A2278" s="19">
        <v>587.20000000000005</v>
      </c>
      <c r="B2278" s="43">
        <v>114.33578667046004</v>
      </c>
      <c r="C2278" s="43">
        <v>115.40892969091914</v>
      </c>
      <c r="D2278" s="43">
        <v>116.3012998563305</v>
      </c>
      <c r="E2278" s="43">
        <v>117.0228104203737</v>
      </c>
      <c r="F2278" s="43">
        <v>117.58630017189719</v>
      </c>
      <c r="G2278" s="43">
        <v>118.0059789915762</v>
      </c>
      <c r="H2278" s="43">
        <v>118.29633499531744</v>
      </c>
      <c r="I2278" s="43">
        <v>118.47142894805444</v>
      </c>
    </row>
    <row r="2279" spans="1:9">
      <c r="A2279" s="19">
        <v>587.29999999999995</v>
      </c>
      <c r="B2279" s="43">
        <v>114.35377678159742</v>
      </c>
      <c r="C2279" s="43">
        <v>115.42720011268412</v>
      </c>
      <c r="D2279" s="43">
        <v>116.31987323512678</v>
      </c>
      <c r="E2279" s="43">
        <v>117.0416986750289</v>
      </c>
      <c r="F2279" s="43">
        <v>117.60550619581429</v>
      </c>
      <c r="G2279" s="43">
        <v>118.0254985790979</v>
      </c>
      <c r="H2279" s="43">
        <v>118.31615866524604</v>
      </c>
      <c r="I2279" s="43">
        <v>118.49154350648948</v>
      </c>
    </row>
    <row r="2280" spans="1:9">
      <c r="A2280" s="19">
        <v>587.4</v>
      </c>
      <c r="B2280" s="43">
        <v>114.37176655749457</v>
      </c>
      <c r="C2280" s="43">
        <v>115.44547010571483</v>
      </c>
      <c r="D2280" s="43">
        <v>116.33844610352941</v>
      </c>
      <c r="E2280" s="43">
        <v>117.06058635259268</v>
      </c>
      <c r="F2280" s="43">
        <v>117.62471159192111</v>
      </c>
      <c r="G2280" s="43">
        <v>118.04501750374277</v>
      </c>
      <c r="H2280" s="43">
        <v>118.33598165164213</v>
      </c>
      <c r="I2280" s="43">
        <v>118.51165737350649</v>
      </c>
    </row>
    <row r="2281" spans="1:9">
      <c r="A2281" s="19">
        <v>587.5</v>
      </c>
      <c r="B2281" s="43">
        <v>114.3897559982785</v>
      </c>
      <c r="C2281" s="43">
        <v>115.46373967017004</v>
      </c>
      <c r="D2281" s="43">
        <v>116.35701846173458</v>
      </c>
      <c r="E2281" s="43">
        <v>117.07947345326221</v>
      </c>
      <c r="F2281" s="43">
        <v>117.64391636043604</v>
      </c>
      <c r="G2281" s="43">
        <v>118.06453576568381</v>
      </c>
      <c r="H2281" s="43">
        <v>118.35580395461071</v>
      </c>
      <c r="I2281" s="43">
        <v>118.53177054919371</v>
      </c>
    </row>
    <row r="2282" spans="1:9">
      <c r="A2282" s="19">
        <v>587.6</v>
      </c>
      <c r="B2282" s="43">
        <v>114.40774510431271</v>
      </c>
      <c r="C2282" s="43">
        <v>115.48200880642199</v>
      </c>
      <c r="D2282" s="43">
        <v>116.37559031010645</v>
      </c>
      <c r="E2282" s="43">
        <v>117.09835997733109</v>
      </c>
      <c r="F2282" s="43">
        <v>117.66312050161144</v>
      </c>
      <c r="G2282" s="43">
        <v>118.08405336514622</v>
      </c>
      <c r="H2282" s="43">
        <v>118.37562557435407</v>
      </c>
      <c r="I2282" s="43">
        <v>118.55188303372583</v>
      </c>
    </row>
    <row r="2283" spans="1:9">
      <c r="A2283" s="19">
        <v>587.70000000000005</v>
      </c>
      <c r="B2283" s="43">
        <v>114.42573387575976</v>
      </c>
      <c r="C2283" s="43">
        <v>115.50027751462784</v>
      </c>
      <c r="D2283" s="43">
        <v>116.39416164875357</v>
      </c>
      <c r="E2283" s="43">
        <v>117.1172459250231</v>
      </c>
      <c r="F2283" s="43">
        <v>117.68232401560942</v>
      </c>
      <c r="G2283" s="43">
        <v>118.10357030226805</v>
      </c>
      <c r="H2283" s="43">
        <v>118.39544651100292</v>
      </c>
      <c r="I2283" s="43">
        <v>118.57199482719807</v>
      </c>
    </row>
    <row r="2284" spans="1:9">
      <c r="A2284" s="19">
        <v>587.79999999999995</v>
      </c>
      <c r="B2284" s="43">
        <v>114.44372231286843</v>
      </c>
      <c r="C2284" s="43">
        <v>115.5185457950779</v>
      </c>
      <c r="D2284" s="43">
        <v>116.41273247800618</v>
      </c>
      <c r="E2284" s="43">
        <v>117.13613129652936</v>
      </c>
      <c r="F2284" s="43">
        <v>117.70152690265863</v>
      </c>
      <c r="G2284" s="43">
        <v>118.12308657725913</v>
      </c>
      <c r="H2284" s="43">
        <v>118.41526676473521</v>
      </c>
      <c r="I2284" s="43">
        <v>118.59210592972812</v>
      </c>
    </row>
    <row r="2285" spans="1:9">
      <c r="A2285" s="19">
        <v>587.9</v>
      </c>
      <c r="B2285" s="43">
        <v>114.46171041572637</v>
      </c>
      <c r="C2285" s="43">
        <v>115.53681364784231</v>
      </c>
      <c r="D2285" s="43">
        <v>116.43130279798106</v>
      </c>
      <c r="E2285" s="43">
        <v>117.15501609200729</v>
      </c>
      <c r="F2285" s="43">
        <v>117.72072916289514</v>
      </c>
      <c r="G2285" s="43">
        <v>118.14260219022435</v>
      </c>
      <c r="H2285" s="43">
        <v>118.43508633562769</v>
      </c>
      <c r="I2285" s="43">
        <v>118.61221634141876</v>
      </c>
    </row>
    <row r="2286" spans="1:9">
      <c r="A2286" s="19">
        <v>588</v>
      </c>
      <c r="B2286" s="43">
        <v>114.47969818450918</v>
      </c>
      <c r="C2286" s="43">
        <v>115.55508107316192</v>
      </c>
      <c r="D2286" s="43">
        <v>116.44987260887166</v>
      </c>
      <c r="E2286" s="43">
        <v>117.17390031165351</v>
      </c>
      <c r="F2286" s="43">
        <v>117.73993079647951</v>
      </c>
      <c r="G2286" s="43">
        <v>118.1621171413525</v>
      </c>
      <c r="H2286" s="43">
        <v>118.4549052237997</v>
      </c>
      <c r="I2286" s="43">
        <v>118.6323260623609</v>
      </c>
    </row>
    <row r="2287" spans="1:9">
      <c r="A2287" s="19">
        <v>588.1</v>
      </c>
      <c r="B2287" s="43">
        <v>114.49768561958774</v>
      </c>
      <c r="C2287" s="43">
        <v>115.57334807135982</v>
      </c>
      <c r="D2287" s="43">
        <v>116.4684419109908</v>
      </c>
      <c r="E2287" s="43">
        <v>117.19278395577922</v>
      </c>
      <c r="F2287" s="43">
        <v>117.75913180372268</v>
      </c>
      <c r="G2287" s="43">
        <v>118.18163143081986</v>
      </c>
      <c r="H2287" s="43">
        <v>118.47472342949831</v>
      </c>
      <c r="I2287" s="43">
        <v>118.65243509272216</v>
      </c>
    </row>
    <row r="2288" spans="1:9">
      <c r="A2288" s="19">
        <v>588.20000000000005</v>
      </c>
      <c r="B2288" s="43">
        <v>114.51567272109222</v>
      </c>
      <c r="C2288" s="43">
        <v>115.59161464261052</v>
      </c>
      <c r="D2288" s="43">
        <v>116.48701070454305</v>
      </c>
      <c r="E2288" s="43">
        <v>117.21166702455673</v>
      </c>
      <c r="F2288" s="43">
        <v>117.77833218474547</v>
      </c>
      <c r="G2288" s="43">
        <v>118.20114505882293</v>
      </c>
      <c r="H2288" s="43">
        <v>118.49454095281325</v>
      </c>
      <c r="I2288" s="43">
        <v>118.67254343258011</v>
      </c>
    </row>
    <row r="2289" spans="1:9">
      <c r="A2289" s="19">
        <v>588.29999999999995</v>
      </c>
      <c r="B2289" s="43">
        <v>114.53365948931483</v>
      </c>
      <c r="C2289" s="43">
        <v>115.60988078724378</v>
      </c>
      <c r="D2289" s="43">
        <v>116.5055789898021</v>
      </c>
      <c r="E2289" s="43">
        <v>117.23054951824562</v>
      </c>
      <c r="F2289" s="43">
        <v>117.79753193981665</v>
      </c>
      <c r="G2289" s="43">
        <v>118.22065802556645</v>
      </c>
      <c r="H2289" s="43">
        <v>118.51435779392449</v>
      </c>
      <c r="I2289" s="43">
        <v>118.69265108209311</v>
      </c>
    </row>
    <row r="2290" spans="1:9">
      <c r="A2290" s="19">
        <v>588.4</v>
      </c>
      <c r="B2290" s="43">
        <v>114.55164592427326</v>
      </c>
      <c r="C2290" s="43">
        <v>115.628146505237</v>
      </c>
      <c r="D2290" s="43">
        <v>116.52414676685078</v>
      </c>
      <c r="E2290" s="43">
        <v>117.24943143691789</v>
      </c>
      <c r="F2290" s="43">
        <v>117.81673106899765</v>
      </c>
      <c r="G2290" s="43">
        <v>118.24017033110181</v>
      </c>
      <c r="H2290" s="43">
        <v>118.53417395289495</v>
      </c>
      <c r="I2290" s="43">
        <v>118.71275804131091</v>
      </c>
    </row>
    <row r="2291" spans="1:9">
      <c r="A2291" s="19">
        <v>588.5</v>
      </c>
      <c r="B2291" s="43">
        <v>114.56963202623771</v>
      </c>
      <c r="C2291" s="43">
        <v>115.64641179694485</v>
      </c>
      <c r="D2291" s="43">
        <v>116.54271403596888</v>
      </c>
      <c r="E2291" s="43">
        <v>117.26831278087664</v>
      </c>
      <c r="F2291" s="43">
        <v>117.83592957255834</v>
      </c>
      <c r="G2291" s="43">
        <v>118.25968197567198</v>
      </c>
      <c r="H2291" s="43">
        <v>118.55398942991815</v>
      </c>
      <c r="I2291" s="43">
        <v>118.73286431038935</v>
      </c>
    </row>
    <row r="2292" spans="1:9">
      <c r="A2292" s="19">
        <v>588.6</v>
      </c>
      <c r="B2292" s="43">
        <v>114.58761779548263</v>
      </c>
      <c r="C2292" s="43">
        <v>115.66467666261684</v>
      </c>
      <c r="D2292" s="43">
        <v>116.56128079740097</v>
      </c>
      <c r="E2292" s="43">
        <v>117.28719355034877</v>
      </c>
      <c r="F2292" s="43">
        <v>117.85512745072117</v>
      </c>
      <c r="G2292" s="43">
        <v>118.27919295947126</v>
      </c>
      <c r="H2292" s="43">
        <v>118.57380422516292</v>
      </c>
      <c r="I2292" s="43">
        <v>118.75296988944885</v>
      </c>
    </row>
    <row r="2293" spans="1:9">
      <c r="A2293" s="19">
        <v>588.70000000000005</v>
      </c>
      <c r="B2293" s="43">
        <v>114.60560323226983</v>
      </c>
      <c r="C2293" s="43">
        <v>115.68294110249718</v>
      </c>
      <c r="D2293" s="43">
        <v>116.57984705146541</v>
      </c>
      <c r="E2293" s="43">
        <v>117.30607374559787</v>
      </c>
      <c r="F2293" s="43">
        <v>117.87432470369865</v>
      </c>
      <c r="G2293" s="43">
        <v>118.29870328268021</v>
      </c>
      <c r="H2293" s="43">
        <v>118.59361833877986</v>
      </c>
      <c r="I2293" s="43">
        <v>118.77307477861729</v>
      </c>
    </row>
    <row r="2294" spans="1:9">
      <c r="A2294" s="19">
        <v>588.79999999999995</v>
      </c>
      <c r="B2294" s="43">
        <v>114.6235883366279</v>
      </c>
      <c r="C2294" s="43">
        <v>115.70120511671163</v>
      </c>
      <c r="D2294" s="43">
        <v>116.5984127981952</v>
      </c>
      <c r="E2294" s="43">
        <v>117.32495336670303</v>
      </c>
      <c r="F2294" s="43">
        <v>117.8935213315998</v>
      </c>
      <c r="G2294" s="43">
        <v>118.318212945402</v>
      </c>
      <c r="H2294" s="43">
        <v>118.61343177085459</v>
      </c>
      <c r="I2294" s="43">
        <v>118.79317897795198</v>
      </c>
    </row>
    <row r="2295" spans="1:9">
      <c r="A2295" s="19">
        <v>588.9</v>
      </c>
      <c r="B2295" s="43">
        <v>114.64157310889564</v>
      </c>
      <c r="C2295" s="43">
        <v>115.71946870552205</v>
      </c>
      <c r="D2295" s="43">
        <v>116.61697803793177</v>
      </c>
      <c r="E2295" s="43">
        <v>117.3438324139554</v>
      </c>
      <c r="F2295" s="43">
        <v>117.91271733466891</v>
      </c>
      <c r="G2295" s="43">
        <v>118.33772194785425</v>
      </c>
      <c r="H2295" s="43">
        <v>118.63324452156158</v>
      </c>
      <c r="I2295" s="43">
        <v>118.81328248761906</v>
      </c>
    </row>
    <row r="2296" spans="1:9">
      <c r="A2296" s="19">
        <v>589</v>
      </c>
      <c r="B2296" s="43">
        <v>114.6595575491265</v>
      </c>
      <c r="C2296" s="43">
        <v>115.73773186905152</v>
      </c>
      <c r="D2296" s="43">
        <v>116.63554277078407</v>
      </c>
      <c r="E2296" s="43">
        <v>117.36271088750533</v>
      </c>
      <c r="F2296" s="43">
        <v>117.93191271302112</v>
      </c>
      <c r="G2296" s="43">
        <v>118.35723029014662</v>
      </c>
      <c r="H2296" s="43">
        <v>118.65305659101335</v>
      </c>
      <c r="I2296" s="43">
        <v>118.83338530769501</v>
      </c>
    </row>
    <row r="2297" spans="1:9">
      <c r="A2297" s="19">
        <v>589.1</v>
      </c>
      <c r="B2297" s="43">
        <v>114.67754165770498</v>
      </c>
      <c r="C2297" s="43">
        <v>115.75599460767788</v>
      </c>
      <c r="D2297" s="43">
        <v>116.6541069971212</v>
      </c>
      <c r="E2297" s="43">
        <v>117.38158878766666</v>
      </c>
      <c r="F2297" s="43">
        <v>117.95110746701323</v>
      </c>
      <c r="G2297" s="43">
        <v>118.3767379725617</v>
      </c>
      <c r="H2297" s="43">
        <v>118.67286797942097</v>
      </c>
      <c r="I2297" s="43">
        <v>118.85348743835345</v>
      </c>
    </row>
    <row r="2298" spans="1:9">
      <c r="A2298" s="19">
        <v>589.20000000000005</v>
      </c>
      <c r="B2298" s="43">
        <v>114.69552543481086</v>
      </c>
      <c r="C2298" s="43">
        <v>115.77425692162456</v>
      </c>
      <c r="D2298" s="43">
        <v>116.67267071713337</v>
      </c>
      <c r="E2298" s="43">
        <v>117.40046611464416</v>
      </c>
      <c r="F2298" s="43">
        <v>117.97030159676117</v>
      </c>
      <c r="G2298" s="43">
        <v>118.39624499521457</v>
      </c>
      <c r="H2298" s="43">
        <v>118.69267868692131</v>
      </c>
      <c r="I2298" s="43">
        <v>118.87358887968617</v>
      </c>
    </row>
    <row r="2299" spans="1:9">
      <c r="A2299" s="19">
        <v>589.29999999999995</v>
      </c>
      <c r="B2299" s="43">
        <v>114.71350888053735</v>
      </c>
      <c r="C2299" s="43">
        <v>115.79251881097616</v>
      </c>
      <c r="D2299" s="43">
        <v>116.6912339309537</v>
      </c>
      <c r="E2299" s="43">
        <v>117.41934286855241</v>
      </c>
      <c r="F2299" s="43">
        <v>117.98949510241576</v>
      </c>
      <c r="G2299" s="43">
        <v>118.4157513582488</v>
      </c>
      <c r="H2299" s="43">
        <v>118.71248871359623</v>
      </c>
      <c r="I2299" s="43">
        <v>118.89368963177688</v>
      </c>
    </row>
    <row r="2300" spans="1:9">
      <c r="A2300" s="19">
        <v>589.4</v>
      </c>
      <c r="B2300" s="43">
        <v>114.7314919951763</v>
      </c>
      <c r="C2300" s="43">
        <v>115.81078027603652</v>
      </c>
      <c r="D2300" s="43">
        <v>116.70979663887081</v>
      </c>
      <c r="E2300" s="43">
        <v>117.43821904965253</v>
      </c>
      <c r="F2300" s="43">
        <v>118.00868798419455</v>
      </c>
      <c r="G2300" s="43">
        <v>118.43525706185895</v>
      </c>
      <c r="H2300" s="43">
        <v>118.73229805963618</v>
      </c>
      <c r="I2300" s="43">
        <v>118.91378969475218</v>
      </c>
    </row>
    <row r="2301" spans="1:9">
      <c r="A2301" s="19">
        <v>589.5</v>
      </c>
      <c r="B2301" s="43">
        <v>114.74947477883785</v>
      </c>
      <c r="C2301" s="43">
        <v>115.82904131695574</v>
      </c>
      <c r="D2301" s="43">
        <v>116.72835884103071</v>
      </c>
      <c r="E2301" s="43">
        <v>117.45709465812229</v>
      </c>
      <c r="F2301" s="43">
        <v>118.02788024228627</v>
      </c>
      <c r="G2301" s="43">
        <v>118.45476210620006</v>
      </c>
      <c r="H2301" s="43">
        <v>118.75210672514282</v>
      </c>
      <c r="I2301" s="43">
        <v>118.93388906873403</v>
      </c>
    </row>
    <row r="2302" spans="1:9">
      <c r="A2302" s="19">
        <v>589.6</v>
      </c>
      <c r="B2302" s="43">
        <v>114.76745723183413</v>
      </c>
      <c r="C2302" s="43">
        <v>115.84730193403084</v>
      </c>
      <c r="D2302" s="43">
        <v>116.74692053775431</v>
      </c>
      <c r="E2302" s="43">
        <v>117.47596969423006</v>
      </c>
      <c r="F2302" s="43">
        <v>118.04707187690738</v>
      </c>
      <c r="G2302" s="43">
        <v>118.47426649147408</v>
      </c>
      <c r="H2302" s="43">
        <v>118.77191471031659</v>
      </c>
      <c r="I2302" s="43">
        <v>118.95398775385442</v>
      </c>
    </row>
    <row r="2303" spans="1:9">
      <c r="A2303" s="19">
        <v>589.70000000000005</v>
      </c>
      <c r="B2303" s="43">
        <v>114.78543935440163</v>
      </c>
      <c r="C2303" s="43">
        <v>115.86556212749829</v>
      </c>
      <c r="D2303" s="43">
        <v>116.76548172925439</v>
      </c>
      <c r="E2303" s="43">
        <v>117.49484415822729</v>
      </c>
      <c r="F2303" s="43">
        <v>118.06626288829489</v>
      </c>
      <c r="G2303" s="43">
        <v>118.4937702178606</v>
      </c>
      <c r="H2303" s="43">
        <v>118.79172201529482</v>
      </c>
      <c r="I2303" s="43">
        <v>118.97408575023243</v>
      </c>
    </row>
    <row r="2304" spans="1:9">
      <c r="A2304" s="19">
        <v>589.79999999999995</v>
      </c>
      <c r="B2304" s="43">
        <v>114.80342114660232</v>
      </c>
      <c r="C2304" s="43">
        <v>115.8838218975109</v>
      </c>
      <c r="D2304" s="43">
        <v>116.78404241568694</v>
      </c>
      <c r="E2304" s="43">
        <v>117.51371805022268</v>
      </c>
      <c r="F2304" s="43">
        <v>118.08545327655713</v>
      </c>
      <c r="G2304" s="43">
        <v>118.51327328550121</v>
      </c>
      <c r="H2304" s="43">
        <v>118.81152864019342</v>
      </c>
      <c r="I2304" s="43">
        <v>118.99418305795501</v>
      </c>
    </row>
    <row r="2305" spans="1:9">
      <c r="A2305" s="19">
        <v>589.9</v>
      </c>
      <c r="B2305" s="43">
        <v>114.82140260868627</v>
      </c>
      <c r="C2305" s="43">
        <v>115.90208124424774</v>
      </c>
      <c r="D2305" s="43">
        <v>116.80260259727859</v>
      </c>
      <c r="E2305" s="43">
        <v>117.53259137043798</v>
      </c>
      <c r="F2305" s="43">
        <v>118.10464304191333</v>
      </c>
      <c r="G2305" s="43">
        <v>118.53277569454119</v>
      </c>
      <c r="H2305" s="43">
        <v>118.83133458515306</v>
      </c>
      <c r="I2305" s="43">
        <v>119.01427967713525</v>
      </c>
    </row>
    <row r="2306" spans="1:9">
      <c r="A2306" s="19">
        <v>590</v>
      </c>
      <c r="B2306" s="43">
        <v>114.81741849208143</v>
      </c>
      <c r="C2306" s="43">
        <v>115.89968941533866</v>
      </c>
      <c r="D2306" s="43">
        <v>116.80198333922644</v>
      </c>
      <c r="E2306" s="43">
        <v>117.53388780948228</v>
      </c>
      <c r="F2306" s="43">
        <v>118.10796357691441</v>
      </c>
      <c r="G2306" s="43">
        <v>118.53819816257743</v>
      </c>
      <c r="H2306" s="43">
        <v>118.83891098275038</v>
      </c>
      <c r="I2306" s="43">
        <v>119.02404072049171</v>
      </c>
    </row>
    <row r="2307" spans="1:9">
      <c r="A2307" s="19">
        <v>590.1</v>
      </c>
      <c r="B2307" s="43">
        <v>114.81340846534448</v>
      </c>
      <c r="C2307" s="43">
        <v>115.89727074755433</v>
      </c>
      <c r="D2307" s="43">
        <v>116.80133623400687</v>
      </c>
      <c r="E2307" s="43">
        <v>117.53515541207639</v>
      </c>
      <c r="F2307" s="43">
        <v>118.11125436594534</v>
      </c>
      <c r="G2307" s="43">
        <v>118.54359008488126</v>
      </c>
      <c r="H2307" s="43">
        <v>118.84645615245617</v>
      </c>
      <c r="I2307" s="43">
        <v>119.03376996485306</v>
      </c>
    </row>
    <row r="2308" spans="1:9">
      <c r="A2308" s="19">
        <v>590.20000000000005</v>
      </c>
      <c r="B2308" s="43">
        <v>114.83136925705344</v>
      </c>
      <c r="C2308" s="43">
        <v>115.91550776079634</v>
      </c>
      <c r="D2308" s="43">
        <v>116.81987227914374</v>
      </c>
      <c r="E2308" s="43">
        <v>117.55400274340298</v>
      </c>
      <c r="F2308" s="43">
        <v>118.13041630833581</v>
      </c>
      <c r="G2308" s="43">
        <v>118.56306290308706</v>
      </c>
      <c r="H2308" s="43">
        <v>118.8662308366315</v>
      </c>
      <c r="I2308" s="43">
        <v>119.05383377105812</v>
      </c>
    </row>
    <row r="2309" spans="1:9">
      <c r="A2309" s="19">
        <v>590.29999999999995</v>
      </c>
      <c r="B2309" s="43">
        <v>114.84932971780486</v>
      </c>
      <c r="C2309" s="43">
        <v>115.93374435081083</v>
      </c>
      <c r="D2309" s="43">
        <v>116.83840782005441</v>
      </c>
      <c r="E2309" s="43">
        <v>117.57284950388424</v>
      </c>
      <c r="F2309" s="43">
        <v>118.14957762885092</v>
      </c>
      <c r="G2309" s="43">
        <v>118.58253506366663</v>
      </c>
      <c r="H2309" s="43">
        <v>118.88600484152789</v>
      </c>
      <c r="I2309" s="43">
        <v>119.07389688893122</v>
      </c>
    </row>
    <row r="2310" spans="1:9">
      <c r="A2310" s="19">
        <v>590.4</v>
      </c>
      <c r="B2310" s="43">
        <v>114.86728984784259</v>
      </c>
      <c r="C2310" s="43">
        <v>115.95198051784962</v>
      </c>
      <c r="D2310" s="43">
        <v>116.85694285700345</v>
      </c>
      <c r="E2310" s="43">
        <v>117.59169569380637</v>
      </c>
      <c r="F2310" s="43">
        <v>118.16873832770628</v>
      </c>
      <c r="G2310" s="43">
        <v>118.60200656677563</v>
      </c>
      <c r="H2310" s="43">
        <v>118.90577816728211</v>
      </c>
      <c r="I2310" s="43">
        <v>119.0939593186084</v>
      </c>
    </row>
    <row r="2311" spans="1:9">
      <c r="A2311" s="19">
        <v>590.5</v>
      </c>
      <c r="B2311" s="43">
        <v>114.88524964743715</v>
      </c>
      <c r="C2311" s="43">
        <v>115.97021626219129</v>
      </c>
      <c r="D2311" s="43">
        <v>116.87547739021835</v>
      </c>
      <c r="E2311" s="43">
        <v>117.61054131339671</v>
      </c>
      <c r="F2311" s="43">
        <v>118.18789840515521</v>
      </c>
      <c r="G2311" s="43">
        <v>118.62147741262805</v>
      </c>
      <c r="H2311" s="43">
        <v>118.92555081408011</v>
      </c>
      <c r="I2311" s="43">
        <v>119.11402106021603</v>
      </c>
    </row>
    <row r="2312" spans="1:9">
      <c r="A2312" s="19">
        <v>590.6</v>
      </c>
      <c r="B2312" s="43">
        <v>114.90320911686203</v>
      </c>
      <c r="C2312" s="43">
        <v>115.98845158408469</v>
      </c>
      <c r="D2312" s="43">
        <v>116.89401141999687</v>
      </c>
      <c r="E2312" s="43">
        <v>117.62938636289277</v>
      </c>
      <c r="F2312" s="43">
        <v>118.20705786139902</v>
      </c>
      <c r="G2312" s="43">
        <v>118.64094760142703</v>
      </c>
      <c r="H2312" s="43">
        <v>118.94532278207686</v>
      </c>
      <c r="I2312" s="43">
        <v>119.13408211389125</v>
      </c>
    </row>
    <row r="2313" spans="1:9">
      <c r="A2313" s="19">
        <v>590.70000000000005</v>
      </c>
      <c r="B2313" s="43">
        <v>114.92116825613198</v>
      </c>
      <c r="C2313" s="43">
        <v>116.00668648364783</v>
      </c>
      <c r="D2313" s="43">
        <v>116.91254494642689</v>
      </c>
      <c r="E2313" s="43">
        <v>117.6482308424473</v>
      </c>
      <c r="F2313" s="43">
        <v>118.22621669658469</v>
      </c>
      <c r="G2313" s="43">
        <v>118.66041713327789</v>
      </c>
      <c r="H2313" s="43">
        <v>118.96509407139345</v>
      </c>
      <c r="I2313" s="43">
        <v>119.15414247971887</v>
      </c>
    </row>
    <row r="2314" spans="1:9">
      <c r="A2314" s="19">
        <v>590.79999999999995</v>
      </c>
      <c r="B2314" s="43">
        <v>114.93912706555275</v>
      </c>
      <c r="C2314" s="43">
        <v>116.02492096112633</v>
      </c>
      <c r="D2314" s="43">
        <v>116.9310779697883</v>
      </c>
      <c r="E2314" s="43">
        <v>117.66707475224666</v>
      </c>
      <c r="F2314" s="43">
        <v>118.24537491088898</v>
      </c>
      <c r="G2314" s="43">
        <v>118.67988600836978</v>
      </c>
      <c r="H2314" s="43">
        <v>118.98486468215302</v>
      </c>
      <c r="I2314" s="43">
        <v>119.17420215781542</v>
      </c>
    </row>
    <row r="2315" spans="1:9">
      <c r="A2315" s="19">
        <v>590.9</v>
      </c>
      <c r="B2315" s="43">
        <v>114.95708554522426</v>
      </c>
      <c r="C2315" s="43">
        <v>116.0431550166798</v>
      </c>
      <c r="D2315" s="43">
        <v>116.9496104902303</v>
      </c>
      <c r="E2315" s="43">
        <v>117.68591809251996</v>
      </c>
      <c r="F2315" s="43">
        <v>118.26453250451425</v>
      </c>
      <c r="G2315" s="43">
        <v>118.69935422684341</v>
      </c>
      <c r="H2315" s="43">
        <v>119.00463461450434</v>
      </c>
      <c r="I2315" s="43">
        <v>119.19426114829312</v>
      </c>
    </row>
    <row r="2316" spans="1:9">
      <c r="A2316" s="19">
        <v>591</v>
      </c>
      <c r="B2316" s="43">
        <v>114.97504369548719</v>
      </c>
      <c r="C2316" s="43">
        <v>116.06138865064696</v>
      </c>
      <c r="D2316" s="43">
        <v>116.96814250808896</v>
      </c>
      <c r="E2316" s="43">
        <v>117.70476086354344</v>
      </c>
      <c r="F2316" s="43">
        <v>118.28368947771324</v>
      </c>
      <c r="G2316" s="43">
        <v>118.71882178894489</v>
      </c>
      <c r="H2316" s="43">
        <v>119.02440386865322</v>
      </c>
      <c r="I2316" s="43">
        <v>119.21431945131206</v>
      </c>
    </row>
    <row r="2317" spans="1:9">
      <c r="A2317" s="19">
        <v>591.1</v>
      </c>
      <c r="B2317" s="43">
        <v>114.99300151653418</v>
      </c>
      <c r="C2317" s="43">
        <v>116.07962186321893</v>
      </c>
      <c r="D2317" s="43">
        <v>116.98667402354366</v>
      </c>
      <c r="E2317" s="43">
        <v>117.72360306549476</v>
      </c>
      <c r="F2317" s="43">
        <v>118.30284583067004</v>
      </c>
      <c r="G2317" s="43">
        <v>118.73828869482711</v>
      </c>
      <c r="H2317" s="43">
        <v>119.04417244470022</v>
      </c>
      <c r="I2317" s="43">
        <v>119.23437706697774</v>
      </c>
    </row>
    <row r="2318" spans="1:9">
      <c r="A2318" s="19">
        <v>591.20000000000005</v>
      </c>
      <c r="B2318" s="43">
        <v>115.01095900845903</v>
      </c>
      <c r="C2318" s="43">
        <v>116.09785465452356</v>
      </c>
      <c r="D2318" s="43">
        <v>117.00520503675182</v>
      </c>
      <c r="E2318" s="43">
        <v>117.74244469853787</v>
      </c>
      <c r="F2318" s="43">
        <v>118.32200156347903</v>
      </c>
      <c r="G2318" s="43">
        <v>118.75775494459046</v>
      </c>
      <c r="H2318" s="43">
        <v>119.06394034276076</v>
      </c>
      <c r="I2318" s="43">
        <v>119.25443399533236</v>
      </c>
    </row>
    <row r="2319" spans="1:9">
      <c r="A2319" s="19">
        <v>591.29999999999995</v>
      </c>
      <c r="B2319" s="43">
        <v>115.02891617150183</v>
      </c>
      <c r="C2319" s="43">
        <v>116.11608702480518</v>
      </c>
      <c r="D2319" s="43">
        <v>117.02373554797521</v>
      </c>
      <c r="E2319" s="43">
        <v>117.76128576291012</v>
      </c>
      <c r="F2319" s="43">
        <v>118.34115667642834</v>
      </c>
      <c r="G2319" s="43">
        <v>118.77722053848331</v>
      </c>
      <c r="H2319" s="43">
        <v>119.08370756302565</v>
      </c>
      <c r="I2319" s="43">
        <v>119.2744902365948</v>
      </c>
    </row>
    <row r="2320" spans="1:9">
      <c r="A2320" s="19">
        <v>591.4</v>
      </c>
      <c r="B2320" s="43">
        <v>115.04687300584467</v>
      </c>
      <c r="C2320" s="43">
        <v>116.13431897429581</v>
      </c>
      <c r="D2320" s="43">
        <v>117.042265557403</v>
      </c>
      <c r="E2320" s="43">
        <v>117.7801262588037</v>
      </c>
      <c r="F2320" s="43">
        <v>118.36031116964284</v>
      </c>
      <c r="G2320" s="43">
        <v>118.79668547660123</v>
      </c>
      <c r="H2320" s="43">
        <v>119.10347410560192</v>
      </c>
      <c r="I2320" s="43">
        <v>119.29454579080428</v>
      </c>
    </row>
    <row r="2321" spans="1:9">
      <c r="A2321" s="19">
        <v>591.5</v>
      </c>
      <c r="B2321" s="43">
        <v>115.06482951178697</v>
      </c>
      <c r="C2321" s="43">
        <v>116.15255050326408</v>
      </c>
      <c r="D2321" s="43">
        <v>117.06079506534155</v>
      </c>
      <c r="E2321" s="43">
        <v>117.79896618648408</v>
      </c>
      <c r="F2321" s="43">
        <v>118.3794650433988</v>
      </c>
      <c r="G2321" s="43">
        <v>118.81614975920269</v>
      </c>
      <c r="H2321" s="43">
        <v>119.12323997068512</v>
      </c>
      <c r="I2321" s="43">
        <v>119.31460065814105</v>
      </c>
    </row>
    <row r="2322" spans="1:9">
      <c r="A2322" s="19">
        <v>591.6</v>
      </c>
      <c r="B2322" s="43">
        <v>115.08278568949112</v>
      </c>
      <c r="C2322" s="43">
        <v>116.17078161188675</v>
      </c>
      <c r="D2322" s="43">
        <v>117.07932407191979</v>
      </c>
      <c r="E2322" s="43">
        <v>117.81780554613164</v>
      </c>
      <c r="F2322" s="43">
        <v>118.39861829786307</v>
      </c>
      <c r="G2322" s="43">
        <v>118.8356133864126</v>
      </c>
      <c r="H2322" s="43">
        <v>119.14300515840389</v>
      </c>
      <c r="I2322" s="43">
        <v>119.33465483868886</v>
      </c>
    </row>
    <row r="2323" spans="1:9">
      <c r="A2323" s="19">
        <v>591.70000000000005</v>
      </c>
      <c r="B2323" s="43">
        <v>115.10074153907189</v>
      </c>
      <c r="C2323" s="43">
        <v>116.18901230034402</v>
      </c>
      <c r="D2323" s="43">
        <v>117.09785257739239</v>
      </c>
      <c r="E2323" s="43">
        <v>117.83664433792052</v>
      </c>
      <c r="F2323" s="43">
        <v>118.41777093319743</v>
      </c>
      <c r="G2323" s="43">
        <v>118.85507635841464</v>
      </c>
      <c r="H2323" s="43">
        <v>119.16276966887645</v>
      </c>
      <c r="I2323" s="43">
        <v>119.35470833256653</v>
      </c>
    </row>
    <row r="2324" spans="1:9">
      <c r="A2324" s="19">
        <v>591.79999999999995</v>
      </c>
      <c r="B2324" s="43">
        <v>115.11869706072366</v>
      </c>
      <c r="C2324" s="43">
        <v>116.20724256879737</v>
      </c>
      <c r="D2324" s="43">
        <v>117.11638058190059</v>
      </c>
      <c r="E2324" s="43">
        <v>117.85548256205993</v>
      </c>
      <c r="F2324" s="43">
        <v>118.4369229495606</v>
      </c>
      <c r="G2324" s="43">
        <v>118.87453867534123</v>
      </c>
      <c r="H2324" s="43">
        <v>119.18253350225649</v>
      </c>
      <c r="I2324" s="43">
        <v>119.3747611398671</v>
      </c>
    </row>
    <row r="2325" spans="1:9">
      <c r="A2325" s="19">
        <v>591.9</v>
      </c>
      <c r="B2325" s="43">
        <v>115.13665225478783</v>
      </c>
      <c r="C2325" s="43">
        <v>116.2254724176272</v>
      </c>
      <c r="D2325" s="43">
        <v>117.1349080857949</v>
      </c>
      <c r="E2325" s="43">
        <v>117.87432021884297</v>
      </c>
      <c r="F2325" s="43">
        <v>118.45607434725929</v>
      </c>
      <c r="G2325" s="43">
        <v>118.89400033740381</v>
      </c>
      <c r="H2325" s="43">
        <v>119.2022966587063</v>
      </c>
      <c r="I2325" s="43">
        <v>119.39481326076339</v>
      </c>
    </row>
    <row r="2326" spans="1:9">
      <c r="A2326" s="19">
        <v>592</v>
      </c>
      <c r="B2326" s="43">
        <v>115.15460712136573</v>
      </c>
      <c r="C2326" s="43">
        <v>116.24370184693382</v>
      </c>
      <c r="D2326" s="43">
        <v>117.15343508920063</v>
      </c>
      <c r="E2326" s="43">
        <v>117.89315730840499</v>
      </c>
      <c r="F2326" s="43">
        <v>118.47522512639665</v>
      </c>
      <c r="G2326" s="43">
        <v>118.91346134477814</v>
      </c>
      <c r="H2326" s="43">
        <v>119.22205913836979</v>
      </c>
      <c r="I2326" s="43">
        <v>119.41486469533962</v>
      </c>
    </row>
    <row r="2327" spans="1:9">
      <c r="A2327" s="19">
        <v>592.1</v>
      </c>
      <c r="B2327" s="43">
        <v>115.17256166078946</v>
      </c>
      <c r="C2327" s="43">
        <v>116.26193085709076</v>
      </c>
      <c r="D2327" s="43">
        <v>117.17196159246399</v>
      </c>
      <c r="E2327" s="43">
        <v>117.9119938310578</v>
      </c>
      <c r="F2327" s="43">
        <v>118.49437528726818</v>
      </c>
      <c r="G2327" s="43">
        <v>118.93292169767255</v>
      </c>
      <c r="H2327" s="43">
        <v>119.24182094142415</v>
      </c>
      <c r="I2327" s="43">
        <v>119.43491544375698</v>
      </c>
    </row>
    <row r="2328" spans="1:9">
      <c r="A2328" s="19">
        <v>592.20000000000005</v>
      </c>
      <c r="B2328" s="43">
        <v>115.19051587299958</v>
      </c>
      <c r="C2328" s="43">
        <v>116.28015944803658</v>
      </c>
      <c r="D2328" s="43">
        <v>117.1904875955957</v>
      </c>
      <c r="E2328" s="43">
        <v>117.93082978685885</v>
      </c>
      <c r="F2328" s="43">
        <v>118.51352482991072</v>
      </c>
      <c r="G2328" s="43">
        <v>118.95238139615591</v>
      </c>
      <c r="H2328" s="43">
        <v>119.261582067928</v>
      </c>
      <c r="I2328" s="43">
        <v>119.45496550605145</v>
      </c>
    </row>
    <row r="2329" spans="1:9">
      <c r="A2329" s="19">
        <v>592.29999999999995</v>
      </c>
      <c r="B2329" s="43">
        <v>115.2084697583243</v>
      </c>
      <c r="C2329" s="43">
        <v>116.29838762010627</v>
      </c>
      <c r="D2329" s="43">
        <v>117.20901309887563</v>
      </c>
      <c r="E2329" s="43">
        <v>117.94966517603126</v>
      </c>
      <c r="F2329" s="43">
        <v>118.53267375457938</v>
      </c>
      <c r="G2329" s="43">
        <v>118.97184044040512</v>
      </c>
      <c r="H2329" s="43">
        <v>119.28134251805477</v>
      </c>
      <c r="I2329" s="43">
        <v>119.47501488236287</v>
      </c>
    </row>
    <row r="2330" spans="1:9">
      <c r="A2330" s="19">
        <v>592.4</v>
      </c>
      <c r="B2330" s="43">
        <v>115.22642331700564</v>
      </c>
      <c r="C2330" s="43">
        <v>116.3166153735913</v>
      </c>
      <c r="D2330" s="43">
        <v>117.22753810260701</v>
      </c>
      <c r="E2330" s="43">
        <v>117.9684999988956</v>
      </c>
      <c r="F2330" s="43">
        <v>118.55182206152199</v>
      </c>
      <c r="G2330" s="43">
        <v>118.9912988306842</v>
      </c>
      <c r="H2330" s="43">
        <v>119.30110229198138</v>
      </c>
      <c r="I2330" s="43">
        <v>119.49506357284767</v>
      </c>
    </row>
    <row r="2331" spans="1:9">
      <c r="A2331" s="19">
        <v>592.5</v>
      </c>
      <c r="B2331" s="43">
        <v>115.24437654925001</v>
      </c>
      <c r="C2331" s="43">
        <v>116.33484270867729</v>
      </c>
      <c r="D2331" s="43">
        <v>117.24606260698729</v>
      </c>
      <c r="E2331" s="43">
        <v>117.98733425560829</v>
      </c>
      <c r="F2331" s="43">
        <v>118.57096975091258</v>
      </c>
      <c r="G2331" s="43">
        <v>119.01075656712331</v>
      </c>
      <c r="H2331" s="43">
        <v>119.32086138987546</v>
      </c>
      <c r="I2331" s="43">
        <v>119.5151115776325</v>
      </c>
    </row>
    <row r="2332" spans="1:9">
      <c r="A2332" s="19">
        <v>592.6</v>
      </c>
      <c r="B2332" s="43">
        <v>115.26232945527636</v>
      </c>
      <c r="C2332" s="43">
        <v>116.35306962558542</v>
      </c>
      <c r="D2332" s="43">
        <v>117.26458661224569</v>
      </c>
      <c r="E2332" s="43">
        <v>118.00616794642818</v>
      </c>
      <c r="F2332" s="43">
        <v>118.5901168229353</v>
      </c>
      <c r="G2332" s="43">
        <v>119.03021364991378</v>
      </c>
      <c r="H2332" s="43">
        <v>119.34061981184706</v>
      </c>
      <c r="I2332" s="43">
        <v>119.53515889679852</v>
      </c>
    </row>
    <row r="2333" spans="1:9">
      <c r="A2333" s="19">
        <v>592.70000000000005</v>
      </c>
      <c r="B2333" s="43">
        <v>115.28028203512068</v>
      </c>
      <c r="C2333" s="43">
        <v>116.37129612440424</v>
      </c>
      <c r="D2333" s="43">
        <v>117.28311011847711</v>
      </c>
      <c r="E2333" s="43">
        <v>118.0250010714386</v>
      </c>
      <c r="F2333" s="43">
        <v>118.60926327773848</v>
      </c>
      <c r="G2333" s="43">
        <v>119.04967007915215</v>
      </c>
      <c r="H2333" s="43">
        <v>119.36037755801425</v>
      </c>
      <c r="I2333" s="43">
        <v>119.5552055304473</v>
      </c>
    </row>
    <row r="2334" spans="1:9">
      <c r="A2334" s="19">
        <v>592.79999999999995</v>
      </c>
      <c r="B2334" s="43">
        <v>115.29823428910407</v>
      </c>
      <c r="C2334" s="43">
        <v>116.38952220546449</v>
      </c>
      <c r="D2334" s="43">
        <v>117.30163312599794</v>
      </c>
      <c r="E2334" s="43">
        <v>118.043833630932</v>
      </c>
      <c r="F2334" s="43">
        <v>118.62840911556444</v>
      </c>
      <c r="G2334" s="43">
        <v>119.06912585506811</v>
      </c>
      <c r="H2334" s="43">
        <v>119.38013462853573</v>
      </c>
      <c r="I2334" s="43">
        <v>119.57525147872443</v>
      </c>
    </row>
    <row r="2335" spans="1:9">
      <c r="A2335" s="19">
        <v>592.9</v>
      </c>
      <c r="B2335" s="43">
        <v>115.31618621741563</v>
      </c>
      <c r="C2335" s="43">
        <v>116.40774786898112</v>
      </c>
      <c r="D2335" s="43">
        <v>117.32015563501795</v>
      </c>
      <c r="E2335" s="43">
        <v>118.06266562510402</v>
      </c>
      <c r="F2335" s="43">
        <v>118.64755433658752</v>
      </c>
      <c r="G2335" s="43">
        <v>119.08858097782311</v>
      </c>
      <c r="H2335" s="43">
        <v>119.39989102362111</v>
      </c>
      <c r="I2335" s="43">
        <v>119.59529674174712</v>
      </c>
    </row>
    <row r="2336" spans="1:9">
      <c r="A2336" s="19">
        <v>593</v>
      </c>
      <c r="B2336" s="43">
        <v>115.33413782029803</v>
      </c>
      <c r="C2336" s="43">
        <v>116.42597311516332</v>
      </c>
      <c r="D2336" s="43">
        <v>117.33867764577883</v>
      </c>
      <c r="E2336" s="43">
        <v>118.08149705420209</v>
      </c>
      <c r="F2336" s="43">
        <v>118.66669894104663</v>
      </c>
      <c r="G2336" s="43">
        <v>119.10803544760526</v>
      </c>
      <c r="H2336" s="43">
        <v>119.41964674334756</v>
      </c>
      <c r="I2336" s="43">
        <v>119.61534131964567</v>
      </c>
    </row>
    <row r="2337" spans="1:9">
      <c r="A2337" s="19">
        <v>593.1</v>
      </c>
      <c r="B2337" s="43">
        <v>115.3520890979126</v>
      </c>
      <c r="C2337" s="43">
        <v>116.44419794420799</v>
      </c>
      <c r="D2337" s="43">
        <v>117.35719915847346</v>
      </c>
      <c r="E2337" s="43">
        <v>118.10032791840408</v>
      </c>
      <c r="F2337" s="43">
        <v>118.68584292906826</v>
      </c>
      <c r="G2337" s="43">
        <v>119.12748926455819</v>
      </c>
      <c r="H2337" s="43">
        <v>119.43940178787497</v>
      </c>
      <c r="I2337" s="43">
        <v>119.63538521251826</v>
      </c>
    </row>
    <row r="2338" spans="1:9">
      <c r="A2338" s="19">
        <v>593.20000000000005</v>
      </c>
      <c r="B2338" s="43">
        <v>115.37004005040649</v>
      </c>
      <c r="C2338" s="43">
        <v>116.46242235633602</v>
      </c>
      <c r="D2338" s="43">
        <v>117.37572017330879</v>
      </c>
      <c r="E2338" s="43">
        <v>118.11915821792243</v>
      </c>
      <c r="F2338" s="43">
        <v>118.70498630088244</v>
      </c>
      <c r="G2338" s="43">
        <v>119.14694242885798</v>
      </c>
      <c r="H2338" s="43">
        <v>119.45915615737482</v>
      </c>
      <c r="I2338" s="43">
        <v>119.65542842049129</v>
      </c>
    </row>
    <row r="2339" spans="1:9">
      <c r="A2339" s="19">
        <v>593.29999999999995</v>
      </c>
      <c r="B2339" s="43">
        <v>115.38799067790467</v>
      </c>
      <c r="C2339" s="43">
        <v>116.4806463516239</v>
      </c>
      <c r="D2339" s="43">
        <v>117.39424069038967</v>
      </c>
      <c r="E2339" s="43">
        <v>118.13798795286573</v>
      </c>
      <c r="F2339" s="43">
        <v>118.72412905660511</v>
      </c>
      <c r="G2339" s="43">
        <v>119.16639494062923</v>
      </c>
      <c r="H2339" s="43">
        <v>119.47890985191265</v>
      </c>
      <c r="I2339" s="43">
        <v>119.67547094363201</v>
      </c>
    </row>
    <row r="2340" spans="1:9">
      <c r="A2340" s="19">
        <v>593.4</v>
      </c>
      <c r="B2340" s="43">
        <v>115.40594098082263</v>
      </c>
      <c r="C2340" s="43">
        <v>116.49886993050549</v>
      </c>
      <c r="D2340" s="43">
        <v>117.41276071012243</v>
      </c>
      <c r="E2340" s="43">
        <v>118.1568171235987</v>
      </c>
      <c r="F2340" s="43">
        <v>118.74327119654231</v>
      </c>
      <c r="G2340" s="43">
        <v>119.18584680014342</v>
      </c>
      <c r="H2340" s="43">
        <v>119.49866287172293</v>
      </c>
      <c r="I2340" s="43">
        <v>119.69551278213817</v>
      </c>
    </row>
    <row r="2341" spans="1:9">
      <c r="A2341" s="19">
        <v>593.5</v>
      </c>
      <c r="B2341" s="43">
        <v>115.42389095933243</v>
      </c>
      <c r="C2341" s="43">
        <v>116.51709309319938</v>
      </c>
      <c r="D2341" s="43">
        <v>117.43128023271584</v>
      </c>
      <c r="E2341" s="43">
        <v>118.17564573035605</v>
      </c>
      <c r="F2341" s="43">
        <v>118.76241272090678</v>
      </c>
      <c r="G2341" s="43">
        <v>119.20529800756779</v>
      </c>
      <c r="H2341" s="43">
        <v>119.51841521697523</v>
      </c>
      <c r="I2341" s="43">
        <v>119.71555393612581</v>
      </c>
    </row>
    <row r="2342" spans="1:9">
      <c r="A2342" s="19">
        <v>593.6</v>
      </c>
      <c r="B2342" s="43">
        <v>115.44184061350254</v>
      </c>
      <c r="C2342" s="43">
        <v>116.53531583974589</v>
      </c>
      <c r="D2342" s="43">
        <v>117.44979925827221</v>
      </c>
      <c r="E2342" s="43">
        <v>118.19447377317886</v>
      </c>
      <c r="F2342" s="43">
        <v>118.78155362977097</v>
      </c>
      <c r="G2342" s="43">
        <v>119.22474856298632</v>
      </c>
      <c r="H2342" s="43">
        <v>119.53816688772773</v>
      </c>
      <c r="I2342" s="43">
        <v>119.73559440565597</v>
      </c>
    </row>
    <row r="2343" spans="1:9">
      <c r="A2343" s="19">
        <v>593.70000000000005</v>
      </c>
      <c r="B2343" s="43">
        <v>115.45978994346589</v>
      </c>
      <c r="C2343" s="43">
        <v>116.55353817033708</v>
      </c>
      <c r="D2343" s="43">
        <v>117.46831778697737</v>
      </c>
      <c r="E2343" s="43">
        <v>118.21330125229514</v>
      </c>
      <c r="F2343" s="43">
        <v>118.80069392332382</v>
      </c>
      <c r="G2343" s="43">
        <v>119.2441984665663</v>
      </c>
      <c r="H2343" s="43">
        <v>119.55791788410212</v>
      </c>
      <c r="I2343" s="43">
        <v>119.75563419082914</v>
      </c>
    </row>
    <row r="2344" spans="1:9">
      <c r="A2344" s="19">
        <v>593.79999999999995</v>
      </c>
      <c r="B2344" s="43">
        <v>115.47773894962901</v>
      </c>
      <c r="C2344" s="43">
        <v>116.57176008538269</v>
      </c>
      <c r="D2344" s="43">
        <v>117.48683581918763</v>
      </c>
      <c r="E2344" s="43">
        <v>118.23212816803985</v>
      </c>
      <c r="F2344" s="43">
        <v>118.81983360187692</v>
      </c>
      <c r="G2344" s="43">
        <v>119.26364771855549</v>
      </c>
      <c r="H2344" s="43">
        <v>119.577668206347</v>
      </c>
      <c r="I2344" s="43">
        <v>119.77567329184566</v>
      </c>
    </row>
    <row r="2345" spans="1:9">
      <c r="A2345" s="19">
        <v>593.9</v>
      </c>
      <c r="B2345" s="43">
        <v>115.4956876321047</v>
      </c>
      <c r="C2345" s="43">
        <v>116.5899815850164</v>
      </c>
      <c r="D2345" s="43">
        <v>117.50535335506058</v>
      </c>
      <c r="E2345" s="43">
        <v>118.25095452057411</v>
      </c>
      <c r="F2345" s="43">
        <v>118.83897266557594</v>
      </c>
      <c r="G2345" s="43">
        <v>119.28309631912799</v>
      </c>
      <c r="H2345" s="43">
        <v>119.59741785458206</v>
      </c>
      <c r="I2345" s="43">
        <v>119.79571170879004</v>
      </c>
    </row>
    <row r="2346" spans="1:9">
      <c r="A2346" s="19">
        <v>594</v>
      </c>
      <c r="B2346" s="43">
        <v>115.51363599114853</v>
      </c>
      <c r="C2346" s="43">
        <v>116.60820266946013</v>
      </c>
      <c r="D2346" s="43">
        <v>117.52387039485819</v>
      </c>
      <c r="E2346" s="43">
        <v>118.26978031010958</v>
      </c>
      <c r="F2346" s="43">
        <v>118.85811111462607</v>
      </c>
      <c r="G2346" s="43">
        <v>119.30254426841887</v>
      </c>
      <c r="H2346" s="43">
        <v>119.6171668289376</v>
      </c>
      <c r="I2346" s="43">
        <v>119.81574944178669</v>
      </c>
    </row>
    <row r="2347" spans="1:9">
      <c r="A2347" s="19">
        <v>594.1</v>
      </c>
      <c r="B2347" s="43">
        <v>115.53158402681032</v>
      </c>
      <c r="C2347" s="43">
        <v>116.62642333882866</v>
      </c>
      <c r="D2347" s="43">
        <v>117.54238693867796</v>
      </c>
      <c r="E2347" s="43">
        <v>118.28860553680073</v>
      </c>
      <c r="F2347" s="43">
        <v>118.87724894914047</v>
      </c>
      <c r="G2347" s="43">
        <v>119.32199156656509</v>
      </c>
      <c r="H2347" s="43">
        <v>119.6369151295257</v>
      </c>
      <c r="I2347" s="43">
        <v>119.83578649091504</v>
      </c>
    </row>
    <row r="2348" spans="1:9">
      <c r="A2348" s="19">
        <v>594.20000000000005</v>
      </c>
      <c r="B2348" s="43">
        <v>115.54953173931855</v>
      </c>
      <c r="C2348" s="43">
        <v>116.64464359339743</v>
      </c>
      <c r="D2348" s="43">
        <v>117.56090298680385</v>
      </c>
      <c r="E2348" s="43">
        <v>118.30743020086811</v>
      </c>
      <c r="F2348" s="43">
        <v>118.8963861693681</v>
      </c>
      <c r="G2348" s="43">
        <v>119.34143821378058</v>
      </c>
      <c r="H2348" s="43">
        <v>119.65666275650599</v>
      </c>
      <c r="I2348" s="43">
        <v>119.85582285631583</v>
      </c>
    </row>
    <row r="2349" spans="1:9">
      <c r="A2349" s="19">
        <v>594.29999999999995</v>
      </c>
      <c r="B2349" s="43">
        <v>115.56747912900397</v>
      </c>
      <c r="C2349" s="43">
        <v>116.66286343343023</v>
      </c>
      <c r="D2349" s="43">
        <v>117.57941853948313</v>
      </c>
      <c r="E2349" s="43">
        <v>118.32625430256539</v>
      </c>
      <c r="F2349" s="43">
        <v>118.91552277551688</v>
      </c>
      <c r="G2349" s="43">
        <v>119.36088421025326</v>
      </c>
      <c r="H2349" s="43">
        <v>119.67640971008257</v>
      </c>
      <c r="I2349" s="43">
        <v>119.87585853812749</v>
      </c>
    </row>
    <row r="2350" spans="1:9">
      <c r="A2350" s="19">
        <v>594.4</v>
      </c>
      <c r="B2350" s="43">
        <v>115.58542619595701</v>
      </c>
      <c r="C2350" s="43">
        <v>116.68108285907905</v>
      </c>
      <c r="D2350" s="43">
        <v>117.59793359687083</v>
      </c>
      <c r="E2350" s="43">
        <v>118.34507784205985</v>
      </c>
      <c r="F2350" s="43">
        <v>118.9346587677575</v>
      </c>
      <c r="G2350" s="43">
        <v>119.38032955609941</v>
      </c>
      <c r="H2350" s="43">
        <v>119.6961559903329</v>
      </c>
      <c r="I2350" s="43">
        <v>119.89589353644141</v>
      </c>
    </row>
    <row r="2351" spans="1:9">
      <c r="A2351" s="19">
        <v>594.5</v>
      </c>
      <c r="B2351" s="43">
        <v>115.60337294047002</v>
      </c>
      <c r="C2351" s="43">
        <v>116.69930187065754</v>
      </c>
      <c r="D2351" s="43">
        <v>117.61644815930751</v>
      </c>
      <c r="E2351" s="43">
        <v>118.36390081966331</v>
      </c>
      <c r="F2351" s="43">
        <v>118.9537941463247</v>
      </c>
      <c r="G2351" s="43">
        <v>119.39977425158096</v>
      </c>
      <c r="H2351" s="43">
        <v>119.71590159746549</v>
      </c>
      <c r="I2351" s="43">
        <v>119.91592785141128</v>
      </c>
    </row>
    <row r="2352" spans="1:9">
      <c r="A2352" s="19">
        <v>594.6</v>
      </c>
      <c r="B2352" s="43">
        <v>115.62131936261483</v>
      </c>
      <c r="C2352" s="43">
        <v>116.71752046822473</v>
      </c>
      <c r="D2352" s="43">
        <v>117.6349622268352</v>
      </c>
      <c r="E2352" s="43">
        <v>118.38272323544092</v>
      </c>
      <c r="F2352" s="43">
        <v>118.97292891137121</v>
      </c>
      <c r="G2352" s="43">
        <v>119.41921829678097</v>
      </c>
      <c r="H2352" s="43">
        <v>119.73564653157612</v>
      </c>
      <c r="I2352" s="43">
        <v>119.93596148311977</v>
      </c>
    </row>
    <row r="2353" spans="1:9">
      <c r="A2353" s="19">
        <v>594.70000000000005</v>
      </c>
      <c r="B2353" s="43">
        <v>115.639265462585</v>
      </c>
      <c r="C2353" s="43">
        <v>116.73573865201999</v>
      </c>
      <c r="D2353" s="43">
        <v>117.65347579972135</v>
      </c>
      <c r="E2353" s="43">
        <v>118.40154508961092</v>
      </c>
      <c r="F2353" s="43">
        <v>118.99206306302443</v>
      </c>
      <c r="G2353" s="43">
        <v>119.43866169186899</v>
      </c>
      <c r="H2353" s="43">
        <v>119.75539079278383</v>
      </c>
      <c r="I2353" s="43">
        <v>119.95599443166412</v>
      </c>
    </row>
    <row r="2354" spans="1:9">
      <c r="A2354" s="19">
        <v>594.79999999999995</v>
      </c>
      <c r="B2354" s="43">
        <v>115.65721124068463</v>
      </c>
      <c r="C2354" s="43">
        <v>116.75395642233588</v>
      </c>
      <c r="D2354" s="43">
        <v>117.67198887823403</v>
      </c>
      <c r="E2354" s="43">
        <v>118.42036638247811</v>
      </c>
      <c r="F2354" s="43">
        <v>119.01119660157914</v>
      </c>
      <c r="G2354" s="43">
        <v>119.45810443705258</v>
      </c>
      <c r="H2354" s="43">
        <v>119.77513438128977</v>
      </c>
      <c r="I2354" s="43">
        <v>119.97602669721536</v>
      </c>
    </row>
    <row r="2355" spans="1:9">
      <c r="A2355" s="19">
        <v>594.9</v>
      </c>
      <c r="B2355" s="43">
        <v>115.67515669713521</v>
      </c>
      <c r="C2355" s="43">
        <v>116.77217377942648</v>
      </c>
      <c r="D2355" s="43">
        <v>117.69050146262742</v>
      </c>
      <c r="E2355" s="43">
        <v>118.43918711422776</v>
      </c>
      <c r="F2355" s="43">
        <v>119.03032952723498</v>
      </c>
      <c r="G2355" s="43">
        <v>119.47754653252622</v>
      </c>
      <c r="H2355" s="43">
        <v>119.79487729726105</v>
      </c>
      <c r="I2355" s="43">
        <v>119.99605827989006</v>
      </c>
    </row>
    <row r="2356" spans="1:9">
      <c r="A2356" s="19">
        <v>595</v>
      </c>
      <c r="B2356" s="43">
        <v>115.69310183196757</v>
      </c>
      <c r="C2356" s="43">
        <v>116.79039072337167</v>
      </c>
      <c r="D2356" s="43">
        <v>117.70901355301567</v>
      </c>
      <c r="E2356" s="43">
        <v>118.45800728502041</v>
      </c>
      <c r="F2356" s="43">
        <v>119.049461840123</v>
      </c>
      <c r="G2356" s="43">
        <v>119.49698797843439</v>
      </c>
      <c r="H2356" s="43">
        <v>119.81461954078847</v>
      </c>
      <c r="I2356" s="43">
        <v>120.01608917977973</v>
      </c>
    </row>
    <row r="2357" spans="1:9">
      <c r="A2357" s="19">
        <v>595.1</v>
      </c>
      <c r="B2357" s="43">
        <v>115.7110466455093</v>
      </c>
      <c r="C2357" s="43">
        <v>116.80860725443046</v>
      </c>
      <c r="D2357" s="43">
        <v>117.72752514964779</v>
      </c>
      <c r="E2357" s="43">
        <v>118.47682689508216</v>
      </c>
      <c r="F2357" s="43">
        <v>119.06859354044741</v>
      </c>
      <c r="G2357" s="43">
        <v>119.51642877491082</v>
      </c>
      <c r="H2357" s="43">
        <v>119.83436111202371</v>
      </c>
      <c r="I2357" s="43">
        <v>120.03611939698922</v>
      </c>
    </row>
    <row r="2358" spans="1:9">
      <c r="A2358" s="19">
        <v>595.20000000000005</v>
      </c>
      <c r="B2358" s="43">
        <v>115.72899113784234</v>
      </c>
      <c r="C2358" s="43">
        <v>116.82682337276543</v>
      </c>
      <c r="D2358" s="43">
        <v>117.74603625267926</v>
      </c>
      <c r="E2358" s="43">
        <v>118.49564594458514</v>
      </c>
      <c r="F2358" s="43">
        <v>119.08772462836245</v>
      </c>
      <c r="G2358" s="43">
        <v>119.53586892214898</v>
      </c>
      <c r="H2358" s="43">
        <v>119.85410201110236</v>
      </c>
      <c r="I2358" s="43">
        <v>120.056148931661</v>
      </c>
    </row>
    <row r="2359" spans="1:9">
      <c r="A2359" s="19">
        <v>595.29999999999995</v>
      </c>
      <c r="B2359" s="43">
        <v>115.74693530927985</v>
      </c>
      <c r="C2359" s="43">
        <v>116.84503907870598</v>
      </c>
      <c r="D2359" s="43">
        <v>117.76454686245796</v>
      </c>
      <c r="E2359" s="43">
        <v>118.51446443382017</v>
      </c>
      <c r="F2359" s="43">
        <v>119.1068551041522</v>
      </c>
      <c r="G2359" s="43">
        <v>119.55530842035762</v>
      </c>
      <c r="H2359" s="43">
        <v>119.87384223821968</v>
      </c>
      <c r="I2359" s="43">
        <v>120.07617778392324</v>
      </c>
    </row>
    <row r="2360" spans="1:9">
      <c r="A2360" s="19">
        <v>595.4</v>
      </c>
      <c r="B2360" s="43">
        <v>115.7648791601072</v>
      </c>
      <c r="C2360" s="43">
        <v>116.86325437249226</v>
      </c>
      <c r="D2360" s="43">
        <v>117.78305697919646</v>
      </c>
      <c r="E2360" s="43">
        <v>118.53328236300368</v>
      </c>
      <c r="F2360" s="43">
        <v>119.12598496801624</v>
      </c>
      <c r="G2360" s="43">
        <v>119.57474726972472</v>
      </c>
      <c r="H2360" s="43">
        <v>119.89358179352519</v>
      </c>
      <c r="I2360" s="43">
        <v>120.09620595391161</v>
      </c>
    </row>
    <row r="2361" spans="1:9">
      <c r="A2361" s="19">
        <v>595.5</v>
      </c>
      <c r="B2361" s="43">
        <v>115.78282269028335</v>
      </c>
      <c r="C2361" s="43">
        <v>116.88146925417695</v>
      </c>
      <c r="D2361" s="43">
        <v>117.80156660297988</v>
      </c>
      <c r="E2361" s="43">
        <v>118.5520997322333</v>
      </c>
      <c r="F2361" s="43">
        <v>119.14511422004449</v>
      </c>
      <c r="G2361" s="43">
        <v>119.59418547033044</v>
      </c>
      <c r="H2361" s="43">
        <v>119.91332067710894</v>
      </c>
      <c r="I2361" s="43">
        <v>120.11623344169183</v>
      </c>
    </row>
    <row r="2362" spans="1:9">
      <c r="A2362" s="19">
        <v>595.6</v>
      </c>
      <c r="B2362" s="43">
        <v>115.80076590004646</v>
      </c>
      <c r="C2362" s="43">
        <v>116.89968372396731</v>
      </c>
      <c r="D2362" s="43">
        <v>117.82007573402709</v>
      </c>
      <c r="E2362" s="43">
        <v>118.57091654176219</v>
      </c>
      <c r="F2362" s="43">
        <v>119.16424286044798</v>
      </c>
      <c r="G2362" s="43">
        <v>119.61362302237259</v>
      </c>
      <c r="H2362" s="43">
        <v>119.93305888910265</v>
      </c>
      <c r="I2362" s="43">
        <v>120.13626024737204</v>
      </c>
    </row>
    <row r="2363" spans="1:9">
      <c r="A2363" s="19">
        <v>595.70000000000005</v>
      </c>
      <c r="B2363" s="43">
        <v>115.81870878978793</v>
      </c>
      <c r="C2363" s="43">
        <v>116.91789778226112</v>
      </c>
      <c r="D2363" s="43">
        <v>117.83858437271843</v>
      </c>
      <c r="E2363" s="43">
        <v>118.58973279187634</v>
      </c>
      <c r="F2363" s="43">
        <v>119.18337088952163</v>
      </c>
      <c r="G2363" s="43">
        <v>119.63305992610742</v>
      </c>
      <c r="H2363" s="43">
        <v>119.95279642976377</v>
      </c>
      <c r="I2363" s="43">
        <v>120.15628637115165</v>
      </c>
    </row>
    <row r="2364" spans="1:9">
      <c r="A2364" s="19">
        <v>595.79999999999995</v>
      </c>
      <c r="B2364" s="43">
        <v>115.83665135950613</v>
      </c>
      <c r="C2364" s="43">
        <v>116.9361114291379</v>
      </c>
      <c r="D2364" s="43">
        <v>117.8570925191338</v>
      </c>
      <c r="E2364" s="43">
        <v>118.6085484826711</v>
      </c>
      <c r="F2364" s="43">
        <v>119.2024983073517</v>
      </c>
      <c r="G2364" s="43">
        <v>119.65249618160368</v>
      </c>
      <c r="H2364" s="43">
        <v>119.97253329912576</v>
      </c>
      <c r="I2364" s="43">
        <v>120.17631181307979</v>
      </c>
    </row>
    <row r="2365" spans="1:9">
      <c r="A2365" s="19">
        <v>595.9</v>
      </c>
      <c r="B2365" s="43">
        <v>115.85459360954653</v>
      </c>
      <c r="C2365" s="43">
        <v>116.95432466486415</v>
      </c>
      <c r="D2365" s="43">
        <v>117.87560017357342</v>
      </c>
      <c r="E2365" s="43">
        <v>118.62736361447614</v>
      </c>
      <c r="F2365" s="43">
        <v>119.22162511421419</v>
      </c>
      <c r="G2365" s="43">
        <v>119.6719317891116</v>
      </c>
      <c r="H2365" s="43">
        <v>119.99226949740662</v>
      </c>
      <c r="I2365" s="43">
        <v>120.19633657333534</v>
      </c>
    </row>
    <row r="2366" spans="1:9">
      <c r="A2366" s="19">
        <v>596</v>
      </c>
      <c r="B2366" s="43">
        <v>115.87253553999381</v>
      </c>
      <c r="C2366" s="43">
        <v>116.97253748962049</v>
      </c>
      <c r="D2366" s="43">
        <v>117.89410733616455</v>
      </c>
      <c r="E2366" s="43">
        <v>118.64617818739703</v>
      </c>
      <c r="F2366" s="43">
        <v>119.24075131024904</v>
      </c>
      <c r="G2366" s="43">
        <v>119.69136674875188</v>
      </c>
      <c r="H2366" s="43">
        <v>120.01200502471892</v>
      </c>
      <c r="I2366" s="43">
        <v>120.21636065198555</v>
      </c>
    </row>
    <row r="2367" spans="1:9">
      <c r="A2367" s="19">
        <v>596.1</v>
      </c>
      <c r="B2367" s="43">
        <v>115.89047715099039</v>
      </c>
      <c r="C2367" s="43">
        <v>116.99074990353313</v>
      </c>
      <c r="D2367" s="43">
        <v>117.91261400711315</v>
      </c>
      <c r="E2367" s="43">
        <v>118.66499220162123</v>
      </c>
      <c r="F2367" s="43">
        <v>119.25987689558946</v>
      </c>
      <c r="G2367" s="43">
        <v>119.71080106067612</v>
      </c>
      <c r="H2367" s="43">
        <v>120.03173988117504</v>
      </c>
      <c r="I2367" s="43">
        <v>120.23638404913606</v>
      </c>
    </row>
    <row r="2368" spans="1:9">
      <c r="A2368" s="19">
        <v>596.20000000000005</v>
      </c>
      <c r="B2368" s="43">
        <v>115.90841844287795</v>
      </c>
      <c r="C2368" s="43">
        <v>117.0089619069453</v>
      </c>
      <c r="D2368" s="43">
        <v>117.93112018670027</v>
      </c>
      <c r="E2368" s="43">
        <v>118.68380565743371</v>
      </c>
      <c r="F2368" s="43">
        <v>119.27900187052103</v>
      </c>
      <c r="G2368" s="43">
        <v>119.73023472508353</v>
      </c>
      <c r="H2368" s="43">
        <v>120.05147406698242</v>
      </c>
      <c r="I2368" s="43">
        <v>120.25640676495047</v>
      </c>
    </row>
    <row r="2369" spans="1:9">
      <c r="A2369" s="19">
        <v>596.29999999999995</v>
      </c>
      <c r="B2369" s="43">
        <v>115.92635941578058</v>
      </c>
      <c r="C2369" s="43">
        <v>117.02717350004539</v>
      </c>
      <c r="D2369" s="43">
        <v>117.9496258751459</v>
      </c>
      <c r="E2369" s="43">
        <v>118.70261855502079</v>
      </c>
      <c r="F2369" s="43">
        <v>119.29812623522213</v>
      </c>
      <c r="G2369" s="43">
        <v>119.74966774216804</v>
      </c>
      <c r="H2369" s="43">
        <v>120.07120758224963</v>
      </c>
      <c r="I2369" s="43">
        <v>120.27642879954024</v>
      </c>
    </row>
    <row r="2370" spans="1:9">
      <c r="A2370" s="19">
        <v>596.4</v>
      </c>
      <c r="B2370" s="43">
        <v>115.94430007002669</v>
      </c>
      <c r="C2370" s="43">
        <v>117.04538468310815</v>
      </c>
      <c r="D2370" s="43">
        <v>117.96813107271061</v>
      </c>
      <c r="E2370" s="43">
        <v>118.72143089469776</v>
      </c>
      <c r="F2370" s="43">
        <v>119.31724998994019</v>
      </c>
      <c r="G2370" s="43">
        <v>119.76910011213636</v>
      </c>
      <c r="H2370" s="43">
        <v>120.09094042719846</v>
      </c>
      <c r="I2370" s="43">
        <v>120.29645015304612</v>
      </c>
    </row>
    <row r="2371" spans="1:9">
      <c r="A2371" s="19">
        <v>596.5</v>
      </c>
      <c r="B2371" s="43">
        <v>115.96224040558099</v>
      </c>
      <c r="C2371" s="43">
        <v>117.06359545614674</v>
      </c>
      <c r="D2371" s="43">
        <v>117.98663577944913</v>
      </c>
      <c r="E2371" s="43">
        <v>118.74024267643853</v>
      </c>
      <c r="F2371" s="43">
        <v>119.33637313472309</v>
      </c>
      <c r="G2371" s="43">
        <v>119.78853183504461</v>
      </c>
      <c r="H2371" s="43">
        <v>120.11067260186778</v>
      </c>
      <c r="I2371" s="43">
        <v>120.31647082552684</v>
      </c>
    </row>
    <row r="2372" spans="1:9">
      <c r="A2372" s="19">
        <v>596.6</v>
      </c>
      <c r="B2372" s="43">
        <v>115.98018042265585</v>
      </c>
      <c r="C2372" s="43">
        <v>117.08180581946007</v>
      </c>
      <c r="D2372" s="43">
        <v>118.00513999563154</v>
      </c>
      <c r="E2372" s="43">
        <v>118.75905390054015</v>
      </c>
      <c r="F2372" s="43">
        <v>119.35549566980575</v>
      </c>
      <c r="G2372" s="43">
        <v>119.80796291108487</v>
      </c>
      <c r="H2372" s="43">
        <v>120.13040410641642</v>
      </c>
      <c r="I2372" s="43">
        <v>120.33649081709194</v>
      </c>
    </row>
    <row r="2373" spans="1:9">
      <c r="A2373" s="19">
        <v>596.70000000000005</v>
      </c>
      <c r="B2373" s="43">
        <v>115.99812012165049</v>
      </c>
      <c r="C2373" s="43">
        <v>117.10001577331425</v>
      </c>
      <c r="D2373" s="43">
        <v>118.02364372155807</v>
      </c>
      <c r="E2373" s="43">
        <v>118.77786456731843</v>
      </c>
      <c r="F2373" s="43">
        <v>119.37461759547443</v>
      </c>
      <c r="G2373" s="43">
        <v>119.82739334052204</v>
      </c>
      <c r="H2373" s="43">
        <v>120.15013494105506</v>
      </c>
      <c r="I2373" s="43">
        <v>120.35651012795043</v>
      </c>
    </row>
    <row r="2374" spans="1:9">
      <c r="A2374" s="19">
        <v>596.79999999999995</v>
      </c>
      <c r="B2374" s="43">
        <v>116.01605950273799</v>
      </c>
      <c r="C2374" s="43">
        <v>117.1182253180049</v>
      </c>
      <c r="D2374" s="43">
        <v>118.04214695746657</v>
      </c>
      <c r="E2374" s="43">
        <v>118.79667467696521</v>
      </c>
      <c r="F2374" s="43">
        <v>119.39373891190382</v>
      </c>
      <c r="G2374" s="43">
        <v>119.84682312351177</v>
      </c>
      <c r="H2374" s="43">
        <v>120.16986510593324</v>
      </c>
      <c r="I2374" s="43">
        <v>120.37652875819768</v>
      </c>
    </row>
    <row r="2375" spans="1:9">
      <c r="A2375" s="19">
        <v>596.9</v>
      </c>
      <c r="B2375" s="43">
        <v>116.03399856589033</v>
      </c>
      <c r="C2375" s="43">
        <v>117.13643445348541</v>
      </c>
      <c r="D2375" s="43">
        <v>118.06064970338832</v>
      </c>
      <c r="E2375" s="43">
        <v>118.81548422952812</v>
      </c>
      <c r="F2375" s="43">
        <v>119.4128596191571</v>
      </c>
      <c r="G2375" s="43">
        <v>119.86625226010619</v>
      </c>
      <c r="H2375" s="43">
        <v>120.1895946010965</v>
      </c>
      <c r="I2375" s="43">
        <v>120.39654670786524</v>
      </c>
    </row>
    <row r="2376" spans="1:9">
      <c r="A2376" s="19">
        <v>597</v>
      </c>
      <c r="B2376" s="43">
        <v>116.05193731144942</v>
      </c>
      <c r="C2376" s="43">
        <v>117.15464318017283</v>
      </c>
      <c r="D2376" s="43">
        <v>118.07915195967325</v>
      </c>
      <c r="E2376" s="43">
        <v>118.83429322534073</v>
      </c>
      <c r="F2376" s="43">
        <v>119.43197971754557</v>
      </c>
      <c r="G2376" s="43">
        <v>119.88568075058652</v>
      </c>
      <c r="H2376" s="43">
        <v>120.20932342678503</v>
      </c>
      <c r="I2376" s="43">
        <v>120.41656397715025</v>
      </c>
    </row>
    <row r="2377" spans="1:9">
      <c r="A2377" s="19">
        <v>597.1</v>
      </c>
      <c r="B2377" s="43">
        <v>116.06987573956857</v>
      </c>
      <c r="C2377" s="43">
        <v>117.17285149814967</v>
      </c>
      <c r="D2377" s="43">
        <v>118.09765372648286</v>
      </c>
      <c r="E2377" s="43">
        <v>118.85310166454789</v>
      </c>
      <c r="F2377" s="43">
        <v>119.45109920720915</v>
      </c>
      <c r="G2377" s="43">
        <v>119.90510859508635</v>
      </c>
      <c r="H2377" s="43">
        <v>120.22905158310346</v>
      </c>
      <c r="I2377" s="43">
        <v>120.43658056615848</v>
      </c>
    </row>
    <row r="2378" spans="1:9">
      <c r="A2378" s="19">
        <v>597.20000000000005</v>
      </c>
      <c r="B2378" s="43">
        <v>116.08781385054732</v>
      </c>
      <c r="C2378" s="43">
        <v>117.1910594077672</v>
      </c>
      <c r="D2378" s="43">
        <v>118.11615500411531</v>
      </c>
      <c r="E2378" s="43">
        <v>118.87190954745429</v>
      </c>
      <c r="F2378" s="43">
        <v>119.47021808838866</v>
      </c>
      <c r="G2378" s="43">
        <v>119.92453579381214</v>
      </c>
      <c r="H2378" s="43">
        <v>120.24877907023733</v>
      </c>
      <c r="I2378" s="43">
        <v>120.45659647500952</v>
      </c>
    </row>
    <row r="2379" spans="1:9">
      <c r="A2379" s="19">
        <v>597.29999999999995</v>
      </c>
      <c r="B2379" s="43">
        <v>116.10575164448784</v>
      </c>
      <c r="C2379" s="43">
        <v>117.20926690915547</v>
      </c>
      <c r="D2379" s="43">
        <v>118.13465579270587</v>
      </c>
      <c r="E2379" s="43">
        <v>118.89071687420338</v>
      </c>
      <c r="F2379" s="43">
        <v>119.48933636126014</v>
      </c>
      <c r="G2379" s="43">
        <v>119.94396234688463</v>
      </c>
      <c r="H2379" s="43">
        <v>120.26850588830726</v>
      </c>
      <c r="I2379" s="43">
        <v>120.47661170383014</v>
      </c>
    </row>
    <row r="2380" spans="1:9">
      <c r="A2380" s="19">
        <v>597.4</v>
      </c>
      <c r="B2380" s="43">
        <v>116.1236891216015</v>
      </c>
      <c r="C2380" s="43">
        <v>117.22747400252274</v>
      </c>
      <c r="D2380" s="43">
        <v>118.15315609250825</v>
      </c>
      <c r="E2380" s="43">
        <v>118.90952364499537</v>
      </c>
      <c r="F2380" s="43">
        <v>119.50845402598711</v>
      </c>
      <c r="G2380" s="43">
        <v>119.96338825450954</v>
      </c>
      <c r="H2380" s="43">
        <v>120.28823203745225</v>
      </c>
      <c r="I2380" s="43">
        <v>120.49662625272668</v>
      </c>
    </row>
    <row r="2381" spans="1:9">
      <c r="A2381" s="19">
        <v>597.5</v>
      </c>
      <c r="B2381" s="43">
        <v>116.14162628202848</v>
      </c>
      <c r="C2381" s="43">
        <v>117.24568068800613</v>
      </c>
      <c r="D2381" s="43">
        <v>118.17165590364968</v>
      </c>
      <c r="E2381" s="43">
        <v>118.92832986003035</v>
      </c>
      <c r="F2381" s="43">
        <v>119.52757108276009</v>
      </c>
      <c r="G2381" s="43">
        <v>119.98281351682138</v>
      </c>
      <c r="H2381" s="43">
        <v>120.30795751780354</v>
      </c>
      <c r="I2381" s="43">
        <v>120.5166401217916</v>
      </c>
    </row>
    <row r="2382" spans="1:9">
      <c r="A2382" s="19">
        <v>597.6</v>
      </c>
      <c r="B2382" s="43">
        <v>116.15956312604249</v>
      </c>
      <c r="C2382" s="43">
        <v>117.26388696597641</v>
      </c>
      <c r="D2382" s="43">
        <v>118.1901552264496</v>
      </c>
      <c r="E2382" s="43">
        <v>118.94713551953814</v>
      </c>
      <c r="F2382" s="43">
        <v>119.54668753179098</v>
      </c>
      <c r="G2382" s="43">
        <v>120.00223813402712</v>
      </c>
      <c r="H2382" s="43">
        <v>120.32768232953552</v>
      </c>
      <c r="I2382" s="43">
        <v>120.5366533111918</v>
      </c>
    </row>
    <row r="2383" spans="1:9">
      <c r="A2383" s="19">
        <v>597.70000000000005</v>
      </c>
      <c r="B2383" s="43">
        <v>116.1774996538235</v>
      </c>
      <c r="C2383" s="43">
        <v>117.28209283655147</v>
      </c>
      <c r="D2383" s="43">
        <v>118.20865406110616</v>
      </c>
      <c r="E2383" s="43">
        <v>118.9659406237335</v>
      </c>
      <c r="F2383" s="43">
        <v>119.56580337327279</v>
      </c>
      <c r="G2383" s="43">
        <v>120.02166210628215</v>
      </c>
      <c r="H2383" s="43">
        <v>120.34740647280285</v>
      </c>
      <c r="I2383" s="43">
        <v>120.55666582103206</v>
      </c>
    </row>
    <row r="2384" spans="1:9">
      <c r="A2384" s="19">
        <v>597.79999999999995</v>
      </c>
      <c r="B2384" s="43">
        <v>116.19543586568648</v>
      </c>
      <c r="C2384" s="43">
        <v>117.30029830006538</v>
      </c>
      <c r="D2384" s="43">
        <v>118.22715240790782</v>
      </c>
      <c r="E2384" s="43">
        <v>118.98474517289949</v>
      </c>
      <c r="F2384" s="43">
        <v>119.58491860749447</v>
      </c>
      <c r="G2384" s="43">
        <v>120.04108543384785</v>
      </c>
      <c r="H2384" s="43">
        <v>120.36712994779114</v>
      </c>
      <c r="I2384" s="43">
        <v>120.57667765147048</v>
      </c>
    </row>
    <row r="2385" spans="1:9">
      <c r="A2385" s="19">
        <v>597.9</v>
      </c>
      <c r="B2385" s="43">
        <v>116.21337176157576</v>
      </c>
      <c r="C2385" s="43">
        <v>117.31850335651339</v>
      </c>
      <c r="D2385" s="43">
        <v>118.24565026686264</v>
      </c>
      <c r="E2385" s="43">
        <v>119.00354916707875</v>
      </c>
      <c r="F2385" s="43">
        <v>119.60403323446064</v>
      </c>
      <c r="G2385" s="43">
        <v>120.06050811671497</v>
      </c>
      <c r="H2385" s="43">
        <v>120.38685275453824</v>
      </c>
      <c r="I2385" s="43">
        <v>120.59668880253628</v>
      </c>
    </row>
    <row r="2386" spans="1:9">
      <c r="A2386" s="19">
        <v>598</v>
      </c>
      <c r="B2386" s="43">
        <v>116.23130734171926</v>
      </c>
      <c r="C2386" s="43">
        <v>117.33670800613902</v>
      </c>
      <c r="D2386" s="43">
        <v>118.26414763825187</v>
      </c>
      <c r="E2386" s="43">
        <v>119.02235260649516</v>
      </c>
      <c r="F2386" s="43">
        <v>119.62314725440044</v>
      </c>
      <c r="G2386" s="43">
        <v>120.07993015513344</v>
      </c>
      <c r="H2386" s="43">
        <v>120.40657489321728</v>
      </c>
      <c r="I2386" s="43">
        <v>120.61669927437825</v>
      </c>
    </row>
    <row r="2387" spans="1:9">
      <c r="A2387" s="19">
        <v>598.1</v>
      </c>
      <c r="B2387" s="43">
        <v>116.24924260648268</v>
      </c>
      <c r="C2387" s="43">
        <v>117.35491224930846</v>
      </c>
      <c r="D2387" s="43">
        <v>118.2826445223813</v>
      </c>
      <c r="E2387" s="43">
        <v>119.04115549147079</v>
      </c>
      <c r="F2387" s="43">
        <v>119.64226066762012</v>
      </c>
      <c r="G2387" s="43">
        <v>120.09935154933353</v>
      </c>
      <c r="H2387" s="43">
        <v>120.4262963640353</v>
      </c>
      <c r="I2387" s="43">
        <v>120.63670906716195</v>
      </c>
    </row>
    <row r="2388" spans="1:9">
      <c r="A2388" s="19">
        <v>598.20000000000005</v>
      </c>
      <c r="B2388" s="43">
        <v>116.26717755597051</v>
      </c>
      <c r="C2388" s="43">
        <v>117.37311608612941</v>
      </c>
      <c r="D2388" s="43">
        <v>118.30114091943562</v>
      </c>
      <c r="E2388" s="43">
        <v>119.05995782216542</v>
      </c>
      <c r="F2388" s="43">
        <v>119.66137347425024</v>
      </c>
      <c r="G2388" s="43">
        <v>120.11877229944224</v>
      </c>
      <c r="H2388" s="43">
        <v>120.44601716712543</v>
      </c>
      <c r="I2388" s="43">
        <v>120.6567181809867</v>
      </c>
    </row>
    <row r="2389" spans="1:9">
      <c r="A2389" s="19">
        <v>598.29999999999995</v>
      </c>
      <c r="B2389" s="43">
        <v>116.28511219044341</v>
      </c>
      <c r="C2389" s="43">
        <v>117.39131951689248</v>
      </c>
      <c r="D2389" s="43">
        <v>118.31963682963843</v>
      </c>
      <c r="E2389" s="43">
        <v>119.07875959882179</v>
      </c>
      <c r="F2389" s="43">
        <v>119.68048567450484</v>
      </c>
      <c r="G2389" s="43">
        <v>120.13819240566076</v>
      </c>
      <c r="H2389" s="43">
        <v>120.465737302625</v>
      </c>
      <c r="I2389" s="43">
        <v>120.67672661597794</v>
      </c>
    </row>
    <row r="2390" spans="1:9">
      <c r="A2390" s="19">
        <v>598.4</v>
      </c>
      <c r="B2390" s="43">
        <v>116.30304650997928</v>
      </c>
      <c r="C2390" s="43">
        <v>117.40952254167311</v>
      </c>
      <c r="D2390" s="43">
        <v>118.3381322531458</v>
      </c>
      <c r="E2390" s="43">
        <v>119.09756082157611</v>
      </c>
      <c r="F2390" s="43">
        <v>119.69959726853108</v>
      </c>
      <c r="G2390" s="43">
        <v>120.15761186809479</v>
      </c>
      <c r="H2390" s="43">
        <v>120.48545677064976</v>
      </c>
      <c r="I2390" s="43">
        <v>120.69673437222988</v>
      </c>
    </row>
    <row r="2391" spans="1:9">
      <c r="A2391" s="19">
        <v>598.5</v>
      </c>
      <c r="B2391" s="43">
        <v>116.3209805147898</v>
      </c>
      <c r="C2391" s="43">
        <v>117.42772516076326</v>
      </c>
      <c r="D2391" s="43">
        <v>118.35662719016821</v>
      </c>
      <c r="E2391" s="43">
        <v>119.11636149061758</v>
      </c>
      <c r="F2391" s="43">
        <v>119.71870825652115</v>
      </c>
      <c r="G2391" s="43">
        <v>120.177030686959</v>
      </c>
      <c r="H2391" s="43">
        <v>120.50517557135421</v>
      </c>
      <c r="I2391" s="43">
        <v>120.71674144985738</v>
      </c>
    </row>
    <row r="2392" spans="1:9">
      <c r="A2392" s="19">
        <v>598.6</v>
      </c>
      <c r="B2392" s="43">
        <v>116.33891420512137</v>
      </c>
      <c r="C2392" s="43">
        <v>117.44592737434925</v>
      </c>
      <c r="D2392" s="43">
        <v>118.37512164098135</v>
      </c>
      <c r="E2392" s="43">
        <v>119.13516160623615</v>
      </c>
      <c r="F2392" s="43">
        <v>119.73781863870147</v>
      </c>
      <c r="G2392" s="43">
        <v>120.19644886241747</v>
      </c>
      <c r="H2392" s="43">
        <v>120.52489370492319</v>
      </c>
      <c r="I2392" s="43">
        <v>120.73674784900504</v>
      </c>
    </row>
    <row r="2393" spans="1:9">
      <c r="A2393" s="19">
        <v>598.70000000000005</v>
      </c>
      <c r="B2393" s="43">
        <v>116.35684758117765</v>
      </c>
      <c r="C2393" s="43">
        <v>117.46412918269723</v>
      </c>
      <c r="D2393" s="43">
        <v>118.39361560577709</v>
      </c>
      <c r="E2393" s="43">
        <v>119.15396116859907</v>
      </c>
      <c r="F2393" s="43">
        <v>119.7569284152616</v>
      </c>
      <c r="G2393" s="43">
        <v>120.21586639465087</v>
      </c>
      <c r="H2393" s="43">
        <v>120.54461117147795</v>
      </c>
      <c r="I2393" s="43">
        <v>120.75675356980034</v>
      </c>
    </row>
    <row r="2394" spans="1:9">
      <c r="A2394" s="19">
        <v>598.79999999999995</v>
      </c>
      <c r="B2394" s="43">
        <v>116.37478064312822</v>
      </c>
      <c r="C2394" s="43">
        <v>117.4823305859577</v>
      </c>
      <c r="D2394" s="43">
        <v>118.4121090847687</v>
      </c>
      <c r="E2394" s="43">
        <v>119.17276017793634</v>
      </c>
      <c r="F2394" s="43">
        <v>119.77603758637846</v>
      </c>
      <c r="G2394" s="43">
        <v>120.235283283819</v>
      </c>
      <c r="H2394" s="43">
        <v>120.56432797115662</v>
      </c>
      <c r="I2394" s="43">
        <v>120.77675861234704</v>
      </c>
    </row>
    <row r="2395" spans="1:9">
      <c r="A2395" s="19">
        <v>598.9</v>
      </c>
      <c r="B2395" s="43">
        <v>116.39271339117866</v>
      </c>
      <c r="C2395" s="43">
        <v>117.5005315843753</v>
      </c>
      <c r="D2395" s="43">
        <v>118.43060207817413</v>
      </c>
      <c r="E2395" s="43">
        <v>119.19155863442663</v>
      </c>
      <c r="F2395" s="43">
        <v>119.79514615228248</v>
      </c>
      <c r="G2395" s="43">
        <v>120.25469953012026</v>
      </c>
      <c r="H2395" s="43">
        <v>120.58404410414181</v>
      </c>
      <c r="I2395" s="43">
        <v>120.79676297677557</v>
      </c>
    </row>
    <row r="2396" spans="1:9">
      <c r="A2396" s="19">
        <v>599</v>
      </c>
      <c r="B2396" s="43">
        <v>116.41064582538101</v>
      </c>
      <c r="C2396" s="43">
        <v>117.5187321780345</v>
      </c>
      <c r="D2396" s="43">
        <v>118.44909458608385</v>
      </c>
      <c r="E2396" s="43">
        <v>119.21035653823421</v>
      </c>
      <c r="F2396" s="43">
        <v>119.81425411302993</v>
      </c>
      <c r="G2396" s="43">
        <v>120.27411513363538</v>
      </c>
      <c r="H2396" s="43">
        <v>120.60375957050016</v>
      </c>
      <c r="I2396" s="43">
        <v>120.81676666315977</v>
      </c>
    </row>
    <row r="2397" spans="1:9">
      <c r="A2397" s="19">
        <v>599.1</v>
      </c>
      <c r="B2397" s="43">
        <v>116.4285779461471</v>
      </c>
      <c r="C2397" s="43">
        <v>117.53693236730777</v>
      </c>
      <c r="D2397" s="43">
        <v>118.46758660890492</v>
      </c>
      <c r="E2397" s="43">
        <v>119.22915388964856</v>
      </c>
      <c r="F2397" s="43">
        <v>119.8333614689862</v>
      </c>
      <c r="G2397" s="43">
        <v>120.29353009462801</v>
      </c>
      <c r="H2397" s="43">
        <v>120.62347437045625</v>
      </c>
      <c r="I2397" s="43">
        <v>120.83676967167293</v>
      </c>
    </row>
    <row r="2398" spans="1:9">
      <c r="A2398" s="19">
        <v>599.20000000000005</v>
      </c>
      <c r="B2398" s="43">
        <v>116.44650975362578</v>
      </c>
      <c r="C2398" s="43">
        <v>117.55513215241953</v>
      </c>
      <c r="D2398" s="43">
        <v>118.48607814680909</v>
      </c>
      <c r="E2398" s="43">
        <v>119.24795068888892</v>
      </c>
      <c r="F2398" s="43">
        <v>119.8524682203159</v>
      </c>
      <c r="G2398" s="43">
        <v>120.31294441328507</v>
      </c>
      <c r="H2398" s="43">
        <v>120.64318850417325</v>
      </c>
      <c r="I2398" s="43">
        <v>120.85677200244646</v>
      </c>
    </row>
    <row r="2399" spans="1:9">
      <c r="A2399" s="19">
        <v>599.29999999999995</v>
      </c>
      <c r="B2399" s="43">
        <v>116.46444124790978</v>
      </c>
      <c r="C2399" s="43">
        <v>117.57333153345309</v>
      </c>
      <c r="D2399" s="43">
        <v>118.50456919991299</v>
      </c>
      <c r="E2399" s="43">
        <v>119.26674693607126</v>
      </c>
      <c r="F2399" s="43">
        <v>119.87157436710365</v>
      </c>
      <c r="G2399" s="43">
        <v>120.33235808971034</v>
      </c>
      <c r="H2399" s="43">
        <v>120.66290197171668</v>
      </c>
      <c r="I2399" s="43">
        <v>120.8767736555576</v>
      </c>
    </row>
    <row r="2400" spans="1:9">
      <c r="A2400" s="19">
        <v>599.4</v>
      </c>
      <c r="B2400" s="43">
        <v>116.4823724292286</v>
      </c>
      <c r="C2400" s="43">
        <v>117.59153051063259</v>
      </c>
      <c r="D2400" s="43">
        <v>118.52305976847251</v>
      </c>
      <c r="E2400" s="43">
        <v>119.28554263145287</v>
      </c>
      <c r="F2400" s="43">
        <v>119.89067990961991</v>
      </c>
      <c r="G2400" s="43">
        <v>120.35177112409195</v>
      </c>
      <c r="H2400" s="43">
        <v>120.68261477328082</v>
      </c>
      <c r="I2400" s="43">
        <v>120.89677463112335</v>
      </c>
    </row>
    <row r="2401" spans="1:9">
      <c r="A2401" s="19">
        <v>599.5</v>
      </c>
      <c r="B2401" s="43">
        <v>116.50030329773676</v>
      </c>
      <c r="C2401" s="43">
        <v>117.60972908418839</v>
      </c>
      <c r="D2401" s="43">
        <v>118.54154985270708</v>
      </c>
      <c r="E2401" s="43">
        <v>119.30433777519232</v>
      </c>
      <c r="F2401" s="43">
        <v>119.90978484799518</v>
      </c>
      <c r="G2401" s="43">
        <v>120.37118351658356</v>
      </c>
      <c r="H2401" s="43">
        <v>120.70232690898254</v>
      </c>
      <c r="I2401" s="43">
        <v>120.91677492928537</v>
      </c>
    </row>
    <row r="2402" spans="1:9">
      <c r="A2402" s="19">
        <v>599.6</v>
      </c>
      <c r="B2402" s="43">
        <v>116.51823385375346</v>
      </c>
      <c r="C2402" s="43">
        <v>117.62792725438567</v>
      </c>
      <c r="D2402" s="43">
        <v>118.56003945286571</v>
      </c>
      <c r="E2402" s="43">
        <v>119.32313236759245</v>
      </c>
      <c r="F2402" s="43">
        <v>119.92888918252405</v>
      </c>
      <c r="G2402" s="43">
        <v>120.39059526742608</v>
      </c>
      <c r="H2402" s="43">
        <v>120.7220383790289</v>
      </c>
      <c r="I2402" s="43">
        <v>120.93677455018167</v>
      </c>
    </row>
    <row r="2403" spans="1:9">
      <c r="A2403" s="19">
        <v>599.70000000000005</v>
      </c>
      <c r="B2403" s="43">
        <v>116.53616409749131</v>
      </c>
      <c r="C2403" s="43">
        <v>117.64612502146585</v>
      </c>
      <c r="D2403" s="43">
        <v>118.57852856917683</v>
      </c>
      <c r="E2403" s="43">
        <v>119.34192640884677</v>
      </c>
      <c r="F2403" s="43">
        <v>119.94799291338265</v>
      </c>
      <c r="G2403" s="43">
        <v>120.41000637677118</v>
      </c>
      <c r="H2403" s="43">
        <v>120.74174918354558</v>
      </c>
      <c r="I2403" s="43">
        <v>120.95677349392858</v>
      </c>
    </row>
    <row r="2404" spans="1:9">
      <c r="A2404" s="19">
        <v>599.79999999999995</v>
      </c>
      <c r="B2404" s="43">
        <v>116.55409402889566</v>
      </c>
      <c r="C2404" s="43">
        <v>117.66432238547998</v>
      </c>
      <c r="D2404" s="43">
        <v>118.59701720173442</v>
      </c>
      <c r="E2404" s="43">
        <v>119.36071989905827</v>
      </c>
      <c r="F2404" s="43">
        <v>119.9670960406481</v>
      </c>
      <c r="G2404" s="43">
        <v>120.42941684470597</v>
      </c>
      <c r="H2404" s="43">
        <v>120.76145932263094</v>
      </c>
      <c r="I2404" s="43">
        <v>120.97677176059102</v>
      </c>
    </row>
    <row r="2405" spans="1:9">
      <c r="A2405" s="19">
        <v>599.9</v>
      </c>
      <c r="B2405" s="43">
        <v>116.57202364834495</v>
      </c>
      <c r="C2405" s="43">
        <v>117.68251934670394</v>
      </c>
      <c r="D2405" s="43">
        <v>118.61550535082878</v>
      </c>
      <c r="E2405" s="43">
        <v>119.37951283848346</v>
      </c>
      <c r="F2405" s="43">
        <v>119.98619856458683</v>
      </c>
      <c r="G2405" s="43">
        <v>120.44882667147274</v>
      </c>
      <c r="H2405" s="43">
        <v>120.78116879645029</v>
      </c>
      <c r="I2405" s="43">
        <v>120.99676935032696</v>
      </c>
    </row>
    <row r="2406" spans="1:9">
      <c r="A2406" s="19">
        <v>600</v>
      </c>
      <c r="B2406" s="43">
        <v>116.57545820968173</v>
      </c>
      <c r="C2406" s="43">
        <v>117.68664852617005</v>
      </c>
      <c r="D2406" s="43">
        <v>118.62054018603206</v>
      </c>
      <c r="E2406" s="43">
        <v>119.38563834329358</v>
      </c>
      <c r="F2406" s="43">
        <v>119.99357050184631</v>
      </c>
      <c r="G2406" s="43">
        <v>120.4575717424261</v>
      </c>
      <c r="H2406" s="43">
        <v>120.79138680957826</v>
      </c>
      <c r="I2406" s="43">
        <v>121.00853630789334</v>
      </c>
    </row>
    <row r="2407" spans="1:9">
      <c r="A2407" s="19">
        <v>600.1</v>
      </c>
      <c r="B2407" s="43">
        <v>116.57887742738171</v>
      </c>
      <c r="C2407" s="43">
        <v>117.69076104944997</v>
      </c>
      <c r="D2407" s="43">
        <v>118.62555683318692</v>
      </c>
      <c r="E2407" s="43">
        <v>119.39174405052432</v>
      </c>
      <c r="F2407" s="43">
        <v>120.00092106054896</v>
      </c>
      <c r="G2407" s="43">
        <v>120.46629395355492</v>
      </c>
      <c r="H2407" s="43">
        <v>120.80158062305495</v>
      </c>
      <c r="I2407" s="43">
        <v>121.02027788659342</v>
      </c>
    </row>
    <row r="2408" spans="1:9">
      <c r="A2408" s="19">
        <v>600.20000000000005</v>
      </c>
      <c r="B2408" s="43">
        <v>116.59679478119821</v>
      </c>
      <c r="C2408" s="43">
        <v>117.70894411127082</v>
      </c>
      <c r="D2408" s="43">
        <v>118.64402918077377</v>
      </c>
      <c r="E2408" s="43">
        <v>119.41051913723243</v>
      </c>
      <c r="F2408" s="43">
        <v>120.02000362703595</v>
      </c>
      <c r="G2408" s="43">
        <v>120.48568173625239</v>
      </c>
      <c r="H2408" s="43">
        <v>120.82126603493697</v>
      </c>
      <c r="I2408" s="43">
        <v>121.04024949918914</v>
      </c>
    </row>
    <row r="2409" spans="1:9">
      <c r="A2409" s="19">
        <v>600.29999999999995</v>
      </c>
      <c r="B2409" s="43">
        <v>116.61471182398685</v>
      </c>
      <c r="C2409" s="43">
        <v>117.72712677242947</v>
      </c>
      <c r="D2409" s="43">
        <v>118.66250104787937</v>
      </c>
      <c r="E2409" s="43">
        <v>119.42929367678335</v>
      </c>
      <c r="F2409" s="43">
        <v>120.03908559414464</v>
      </c>
      <c r="G2409" s="43">
        <v>120.50506888177605</v>
      </c>
      <c r="H2409" s="43">
        <v>120.84095078538158</v>
      </c>
      <c r="I2409" s="43">
        <v>121.06022043830336</v>
      </c>
    </row>
    <row r="2410" spans="1:9">
      <c r="A2410" s="19">
        <v>600.4</v>
      </c>
      <c r="B2410" s="43">
        <v>116.63262855600155</v>
      </c>
      <c r="C2410" s="43">
        <v>117.74530903321039</v>
      </c>
      <c r="D2410" s="43">
        <v>118.68097243482492</v>
      </c>
      <c r="E2410" s="43">
        <v>119.44806766941005</v>
      </c>
      <c r="F2410" s="43">
        <v>120.0581669620617</v>
      </c>
      <c r="G2410" s="43">
        <v>120.52445539028412</v>
      </c>
      <c r="H2410" s="43">
        <v>120.86063487454982</v>
      </c>
      <c r="I2410" s="43">
        <v>121.08019070408008</v>
      </c>
    </row>
    <row r="2411" spans="1:9">
      <c r="A2411" s="19">
        <v>600.5</v>
      </c>
      <c r="B2411" s="43">
        <v>116.65054497728715</v>
      </c>
      <c r="C2411" s="43">
        <v>117.76349089367935</v>
      </c>
      <c r="D2411" s="43">
        <v>118.69944334164822</v>
      </c>
      <c r="E2411" s="43">
        <v>119.46684111523382</v>
      </c>
      <c r="F2411" s="43">
        <v>120.07724773092377</v>
      </c>
      <c r="G2411" s="43">
        <v>120.5438412618962</v>
      </c>
      <c r="H2411" s="43">
        <v>120.88031830254394</v>
      </c>
      <c r="I2411" s="43">
        <v>121.10016029662438</v>
      </c>
    </row>
    <row r="2412" spans="1:9">
      <c r="A2412" s="19">
        <v>600.6</v>
      </c>
      <c r="B2412" s="43">
        <v>116.66846108822938</v>
      </c>
      <c r="C2412" s="43">
        <v>117.78167235421282</v>
      </c>
      <c r="D2412" s="43">
        <v>118.7179137687574</v>
      </c>
      <c r="E2412" s="43">
        <v>119.48561401459298</v>
      </c>
      <c r="F2412" s="43">
        <v>120.09632790100082</v>
      </c>
      <c r="G2412" s="43">
        <v>120.56322649686217</v>
      </c>
      <c r="H2412" s="43">
        <v>120.90000106958914</v>
      </c>
      <c r="I2412" s="43">
        <v>121.12012921609463</v>
      </c>
    </row>
    <row r="2413" spans="1:9">
      <c r="A2413" s="19">
        <v>600.70000000000005</v>
      </c>
      <c r="B2413" s="43">
        <v>116.68637688891067</v>
      </c>
      <c r="C2413" s="43">
        <v>117.79985341493648</v>
      </c>
      <c r="D2413" s="43">
        <v>118.73638371626504</v>
      </c>
      <c r="E2413" s="43">
        <v>119.50438636763218</v>
      </c>
      <c r="F2413" s="43">
        <v>120.11540747245871</v>
      </c>
      <c r="G2413" s="43">
        <v>120.58261109533481</v>
      </c>
      <c r="H2413" s="43">
        <v>120.91968317577903</v>
      </c>
      <c r="I2413" s="43">
        <v>121.14009746258495</v>
      </c>
    </row>
    <row r="2414" spans="1:9">
      <c r="A2414" s="19">
        <v>600.79999999999995</v>
      </c>
      <c r="B2414" s="43">
        <v>116.70429237956128</v>
      </c>
      <c r="C2414" s="43">
        <v>117.81803407606796</v>
      </c>
      <c r="D2414" s="43">
        <v>118.75485318439215</v>
      </c>
      <c r="E2414" s="43">
        <v>119.52315817454198</v>
      </c>
      <c r="F2414" s="43">
        <v>120.13448644547202</v>
      </c>
      <c r="G2414" s="43">
        <v>120.60199505746664</v>
      </c>
      <c r="H2414" s="43">
        <v>120.93936462127067</v>
      </c>
      <c r="I2414" s="43">
        <v>121.16006503621998</v>
      </c>
    </row>
    <row r="2415" spans="1:9">
      <c r="A2415" s="19">
        <v>600.9</v>
      </c>
      <c r="B2415" s="43">
        <v>116.72220756029068</v>
      </c>
      <c r="C2415" s="43">
        <v>117.83621433777171</v>
      </c>
      <c r="D2415" s="43">
        <v>118.77332217333165</v>
      </c>
      <c r="E2415" s="43">
        <v>119.54192943553048</v>
      </c>
      <c r="F2415" s="43">
        <v>120.15356482024762</v>
      </c>
      <c r="G2415" s="43">
        <v>120.62137838343651</v>
      </c>
      <c r="H2415" s="43">
        <v>120.9590454062288</v>
      </c>
      <c r="I2415" s="43">
        <v>121.18003193712633</v>
      </c>
    </row>
    <row r="2416" spans="1:9">
      <c r="A2416" s="19">
        <v>601</v>
      </c>
      <c r="B2416" s="43">
        <v>116.74012243138131</v>
      </c>
      <c r="C2416" s="43">
        <v>117.85439420033947</v>
      </c>
      <c r="D2416" s="43">
        <v>118.7917906833182</v>
      </c>
      <c r="E2416" s="43">
        <v>119.56070015081616</v>
      </c>
      <c r="F2416" s="43">
        <v>120.17264259696012</v>
      </c>
      <c r="G2416" s="43">
        <v>120.6407610733996</v>
      </c>
      <c r="H2416" s="43">
        <v>120.97872553076505</v>
      </c>
      <c r="I2416" s="43">
        <v>121.19999816540559</v>
      </c>
    </row>
    <row r="2417" spans="1:9">
      <c r="A2417" s="19">
        <v>601.1</v>
      </c>
      <c r="B2417" s="43">
        <v>116.75803699296085</v>
      </c>
      <c r="C2417" s="43">
        <v>117.8725736638672</v>
      </c>
      <c r="D2417" s="43">
        <v>118.8102587145523</v>
      </c>
      <c r="E2417" s="43">
        <v>119.57947032058178</v>
      </c>
      <c r="F2417" s="43">
        <v>120.19171977581075</v>
      </c>
      <c r="G2417" s="43">
        <v>120.66014312755672</v>
      </c>
      <c r="H2417" s="43">
        <v>120.99840499504717</v>
      </c>
      <c r="I2417" s="43">
        <v>121.21996372120776</v>
      </c>
    </row>
    <row r="2418" spans="1:9">
      <c r="A2418" s="19">
        <v>601.20000000000005</v>
      </c>
      <c r="B2418" s="43">
        <v>116.77595124531607</v>
      </c>
      <c r="C2418" s="43">
        <v>117.89075272869482</v>
      </c>
      <c r="D2418" s="43">
        <v>118.82872626728212</v>
      </c>
      <c r="E2418" s="43">
        <v>119.59823994507056</v>
      </c>
      <c r="F2418" s="43">
        <v>120.21079635702822</v>
      </c>
      <c r="G2418" s="43">
        <v>120.67952454608013</v>
      </c>
      <c r="H2418" s="43">
        <v>121.01808379925134</v>
      </c>
      <c r="I2418" s="43">
        <v>121.23992860465597</v>
      </c>
    </row>
    <row r="2419" spans="1:9">
      <c r="A2419" s="19">
        <v>601.29999999999995</v>
      </c>
      <c r="B2419" s="43">
        <v>116.79386518847542</v>
      </c>
      <c r="C2419" s="43">
        <v>117.90893139488188</v>
      </c>
      <c r="D2419" s="43">
        <v>118.84719334164561</v>
      </c>
      <c r="E2419" s="43">
        <v>119.61700902442902</v>
      </c>
      <c r="F2419" s="43">
        <v>120.22987234071326</v>
      </c>
      <c r="G2419" s="43">
        <v>120.69890532909571</v>
      </c>
      <c r="H2419" s="43">
        <v>121.03776194346938</v>
      </c>
      <c r="I2419" s="43">
        <v>121.25989281583961</v>
      </c>
    </row>
    <row r="2420" spans="1:9">
      <c r="A2420" s="19">
        <v>601.4</v>
      </c>
      <c r="B2420" s="43">
        <v>116.81177882269367</v>
      </c>
      <c r="C2420" s="43">
        <v>117.92710966268424</v>
      </c>
      <c r="D2420" s="43">
        <v>118.86565993787039</v>
      </c>
      <c r="E2420" s="43">
        <v>119.63577755888673</v>
      </c>
      <c r="F2420" s="43">
        <v>120.24894772709604</v>
      </c>
      <c r="G2420" s="43">
        <v>120.71828547677458</v>
      </c>
      <c r="H2420" s="43">
        <v>121.05743942787117</v>
      </c>
      <c r="I2420" s="43">
        <v>121.27985635488886</v>
      </c>
    </row>
    <row r="2421" spans="1:9">
      <c r="A2421" s="19">
        <v>601.5</v>
      </c>
      <c r="B2421" s="43">
        <v>116.82969214818834</v>
      </c>
      <c r="C2421" s="43">
        <v>117.94528753232083</v>
      </c>
      <c r="D2421" s="43">
        <v>118.88412605615497</v>
      </c>
      <c r="E2421" s="43">
        <v>119.65454554863314</v>
      </c>
      <c r="F2421" s="43">
        <v>120.26802251636408</v>
      </c>
      <c r="G2421" s="43">
        <v>120.73766498933517</v>
      </c>
      <c r="H2421" s="43">
        <v>121.07711625260944</v>
      </c>
      <c r="I2421" s="43">
        <v>121.29981922194335</v>
      </c>
    </row>
    <row r="2422" spans="1:9">
      <c r="A2422" s="19">
        <v>601.6</v>
      </c>
      <c r="B2422" s="43">
        <v>116.84760516509584</v>
      </c>
      <c r="C2422" s="43">
        <v>117.96346500399139</v>
      </c>
      <c r="D2422" s="43">
        <v>118.90259169675826</v>
      </c>
      <c r="E2422" s="43">
        <v>119.67331299391188</v>
      </c>
      <c r="F2422" s="43">
        <v>120.28709670872496</v>
      </c>
      <c r="G2422" s="43">
        <v>120.75704386691388</v>
      </c>
      <c r="H2422" s="43">
        <v>121.09679241782115</v>
      </c>
      <c r="I2422" s="43">
        <v>121.31978141709979</v>
      </c>
    </row>
    <row r="2423" spans="1:9">
      <c r="A2423" s="19">
        <v>601.70000000000005</v>
      </c>
      <c r="B2423" s="43">
        <v>116.86551787368691</v>
      </c>
      <c r="C2423" s="43">
        <v>117.98164207791953</v>
      </c>
      <c r="D2423" s="43">
        <v>118.92105685985209</v>
      </c>
      <c r="E2423" s="43">
        <v>119.69207989487808</v>
      </c>
      <c r="F2423" s="43">
        <v>120.30617030434911</v>
      </c>
      <c r="G2423" s="43">
        <v>120.77642210970495</v>
      </c>
      <c r="H2423" s="43">
        <v>121.11646792365511</v>
      </c>
      <c r="I2423" s="43">
        <v>121.33974294048562</v>
      </c>
    </row>
    <row r="2424" spans="1:9">
      <c r="A2424" s="19">
        <v>601.79999999999995</v>
      </c>
      <c r="B2424" s="43">
        <v>116.88343027408024</v>
      </c>
      <c r="C2424" s="43">
        <v>117.999818754297</v>
      </c>
      <c r="D2424" s="43">
        <v>118.93952154567612</v>
      </c>
      <c r="E2424" s="43">
        <v>119.71084625178639</v>
      </c>
      <c r="F2424" s="43">
        <v>120.32524330347502</v>
      </c>
      <c r="G2424" s="43">
        <v>120.79579971785932</v>
      </c>
      <c r="H2424" s="43">
        <v>121.1361427702781</v>
      </c>
      <c r="I2424" s="43">
        <v>121.35970379225313</v>
      </c>
    </row>
    <row r="2425" spans="1:9">
      <c r="A2425" s="19">
        <v>601.9</v>
      </c>
      <c r="B2425" s="43">
        <v>116.90134236650968</v>
      </c>
      <c r="C2425" s="43">
        <v>118.01799503333189</v>
      </c>
      <c r="D2425" s="43">
        <v>118.95798575442493</v>
      </c>
      <c r="E2425" s="43">
        <v>119.72961206481907</v>
      </c>
      <c r="F2425" s="43">
        <v>120.34431570623983</v>
      </c>
      <c r="G2425" s="43">
        <v>120.8151766915623</v>
      </c>
      <c r="H2425" s="43">
        <v>121.1558169578409</v>
      </c>
      <c r="I2425" s="43">
        <v>121.37966397249886</v>
      </c>
    </row>
    <row r="2426" spans="1:9">
      <c r="A2426" s="19">
        <v>602</v>
      </c>
      <c r="B2426" s="43">
        <v>116.91925415110475</v>
      </c>
      <c r="C2426" s="43">
        <v>118.03617091519169</v>
      </c>
      <c r="D2426" s="43">
        <v>118.97644948628411</v>
      </c>
      <c r="E2426" s="43">
        <v>119.74837733416626</v>
      </c>
      <c r="F2426" s="43">
        <v>120.36338751284333</v>
      </c>
      <c r="G2426" s="43">
        <v>120.83455303097131</v>
      </c>
      <c r="H2426" s="43">
        <v>121.17549048646018</v>
      </c>
      <c r="I2426" s="43">
        <v>121.3996234813464</v>
      </c>
    </row>
    <row r="2427" spans="1:9">
      <c r="A2427" s="19">
        <v>602.1</v>
      </c>
      <c r="B2427" s="43">
        <v>116.93716562811861</v>
      </c>
      <c r="C2427" s="43">
        <v>118.05434640015196</v>
      </c>
      <c r="D2427" s="43">
        <v>118.99491274151299</v>
      </c>
      <c r="E2427" s="43">
        <v>119.76714206006392</v>
      </c>
      <c r="F2427" s="43">
        <v>120.38245872349276</v>
      </c>
      <c r="G2427" s="43">
        <v>120.85392873627399</v>
      </c>
      <c r="H2427" s="43">
        <v>121.19516335629109</v>
      </c>
      <c r="I2427" s="43">
        <v>121.41958231892346</v>
      </c>
    </row>
    <row r="2428" spans="1:9">
      <c r="A2428" s="19">
        <v>602.20000000000005</v>
      </c>
      <c r="B2428" s="43">
        <v>116.95507679763665</v>
      </c>
      <c r="C2428" s="43">
        <v>118.07252148830113</v>
      </c>
      <c r="D2428" s="43">
        <v>119.01337552022756</v>
      </c>
      <c r="E2428" s="43">
        <v>119.78590624265291</v>
      </c>
      <c r="F2428" s="43">
        <v>120.40152933834267</v>
      </c>
      <c r="G2428" s="43">
        <v>120.87330380760471</v>
      </c>
      <c r="H2428" s="43">
        <v>121.21483556746867</v>
      </c>
      <c r="I2428" s="43">
        <v>121.4395404853407</v>
      </c>
    </row>
    <row r="2429" spans="1:9">
      <c r="A2429" s="19">
        <v>602.29999999999995</v>
      </c>
      <c r="B2429" s="43">
        <v>116.97298765995029</v>
      </c>
      <c r="C2429" s="43">
        <v>118.09069617996801</v>
      </c>
      <c r="D2429" s="43">
        <v>119.03183782274229</v>
      </c>
      <c r="E2429" s="43">
        <v>119.80466988218532</v>
      </c>
      <c r="F2429" s="43">
        <v>120.4205993576187</v>
      </c>
      <c r="G2429" s="43">
        <v>120.89267824517268</v>
      </c>
      <c r="H2429" s="43">
        <v>121.23450712017979</v>
      </c>
      <c r="I2429" s="43">
        <v>121.45949798073198</v>
      </c>
    </row>
    <row r="2430" spans="1:9">
      <c r="A2430" s="19">
        <v>602.4</v>
      </c>
      <c r="B2430" s="43">
        <v>116.99089821526096</v>
      </c>
      <c r="C2430" s="43">
        <v>118.10887047532509</v>
      </c>
      <c r="D2430" s="43">
        <v>119.05029964921516</v>
      </c>
      <c r="E2430" s="43">
        <v>119.8234329788782</v>
      </c>
      <c r="F2430" s="43">
        <v>120.43966878152168</v>
      </c>
      <c r="G2430" s="43">
        <v>120.91205204915008</v>
      </c>
      <c r="H2430" s="43">
        <v>121.25417801456629</v>
      </c>
      <c r="I2430" s="43">
        <v>121.47945480520997</v>
      </c>
    </row>
    <row r="2431" spans="1:9">
      <c r="A2431" s="19">
        <v>602.5</v>
      </c>
      <c r="B2431" s="43">
        <v>117.0088084637236</v>
      </c>
      <c r="C2431" s="43">
        <v>118.12704437456662</v>
      </c>
      <c r="D2431" s="43">
        <v>119.06876099990978</v>
      </c>
      <c r="E2431" s="43">
        <v>119.84219553292891</v>
      </c>
      <c r="F2431" s="43">
        <v>120.4587376102298</v>
      </c>
      <c r="G2431" s="43">
        <v>120.93142521969415</v>
      </c>
      <c r="H2431" s="43">
        <v>121.27384825076621</v>
      </c>
      <c r="I2431" s="43">
        <v>121.4994109589241</v>
      </c>
    </row>
    <row r="2432" spans="1:9">
      <c r="A2432" s="19">
        <v>602.6</v>
      </c>
      <c r="B2432" s="43">
        <v>117.02671840548919</v>
      </c>
      <c r="C2432" s="43">
        <v>118.14521787785992</v>
      </c>
      <c r="D2432" s="43">
        <v>119.08722187497222</v>
      </c>
      <c r="E2432" s="43">
        <v>119.8609575445237</v>
      </c>
      <c r="F2432" s="43">
        <v>120.47780584391899</v>
      </c>
      <c r="G2432" s="43">
        <v>120.95079775697943</v>
      </c>
      <c r="H2432" s="43">
        <v>121.29351782890973</v>
      </c>
      <c r="I2432" s="43">
        <v>121.51936644195953</v>
      </c>
    </row>
    <row r="2433" spans="1:9">
      <c r="A2433" s="19">
        <v>602.70000000000005</v>
      </c>
      <c r="B2433" s="43">
        <v>117.04462804076397</v>
      </c>
      <c r="C2433" s="43">
        <v>118.16339098543537</v>
      </c>
      <c r="D2433" s="43">
        <v>119.10568227462079</v>
      </c>
      <c r="E2433" s="43">
        <v>119.87971901384782</v>
      </c>
      <c r="F2433" s="43">
        <v>120.4968734827734</v>
      </c>
      <c r="G2433" s="43">
        <v>120.97016966116411</v>
      </c>
      <c r="H2433" s="43">
        <v>121.3131867491536</v>
      </c>
      <c r="I2433" s="43">
        <v>121.53932125445348</v>
      </c>
    </row>
    <row r="2434" spans="1:9">
      <c r="A2434" s="19">
        <v>602.79999999999995</v>
      </c>
      <c r="B2434" s="43">
        <v>117.06253736968605</v>
      </c>
      <c r="C2434" s="43">
        <v>118.18156369750992</v>
      </c>
      <c r="D2434" s="43">
        <v>119.12414219904269</v>
      </c>
      <c r="E2434" s="43">
        <v>119.8984799411401</v>
      </c>
      <c r="F2434" s="43">
        <v>120.51594052697703</v>
      </c>
      <c r="G2434" s="43">
        <v>120.98954093242762</v>
      </c>
      <c r="H2434" s="43">
        <v>121.33285501163846</v>
      </c>
      <c r="I2434" s="43">
        <v>121.55927539651952</v>
      </c>
    </row>
    <row r="2435" spans="1:9">
      <c r="A2435" s="19">
        <v>602.9</v>
      </c>
      <c r="B2435" s="43">
        <v>117.08044639262181</v>
      </c>
      <c r="C2435" s="43">
        <v>118.19973601432415</v>
      </c>
      <c r="D2435" s="43">
        <v>119.14260164855486</v>
      </c>
      <c r="E2435" s="43">
        <v>119.9172403266453</v>
      </c>
      <c r="F2435" s="43">
        <v>120.53500697681477</v>
      </c>
      <c r="G2435" s="43">
        <v>121.00891157096848</v>
      </c>
      <c r="H2435" s="43">
        <v>121.35252261655734</v>
      </c>
      <c r="I2435" s="43">
        <v>121.57922886831645</v>
      </c>
    </row>
    <row r="2436" spans="1:9">
      <c r="A2436" s="19">
        <v>603</v>
      </c>
      <c r="B2436" s="43">
        <v>117.09835510956813</v>
      </c>
      <c r="C2436" s="43">
        <v>118.21790793600204</v>
      </c>
      <c r="D2436" s="43">
        <v>119.1610606232467</v>
      </c>
      <c r="E2436" s="43">
        <v>119.93600017045958</v>
      </c>
      <c r="F2436" s="43">
        <v>120.55407283234362</v>
      </c>
      <c r="G2436" s="43">
        <v>121.02828157691886</v>
      </c>
      <c r="H2436" s="43">
        <v>121.37218956402029</v>
      </c>
      <c r="I2436" s="43">
        <v>121.59918166991937</v>
      </c>
    </row>
    <row r="2437" spans="1:9">
      <c r="A2437" s="19">
        <v>603.1</v>
      </c>
      <c r="B2437" s="43">
        <v>117.11626352074356</v>
      </c>
      <c r="C2437" s="43">
        <v>118.23607946274998</v>
      </c>
      <c r="D2437" s="43">
        <v>119.17951912333933</v>
      </c>
      <c r="E2437" s="43">
        <v>119.95475947280852</v>
      </c>
      <c r="F2437" s="43">
        <v>120.57313809380906</v>
      </c>
      <c r="G2437" s="43">
        <v>121.04765095044101</v>
      </c>
      <c r="H2437" s="43">
        <v>121.39185585414882</v>
      </c>
      <c r="I2437" s="43">
        <v>121.61913380146478</v>
      </c>
    </row>
    <row r="2438" spans="1:9">
      <c r="A2438" s="19">
        <v>603.20000000000005</v>
      </c>
      <c r="B2438" s="43">
        <v>117.13417162637762</v>
      </c>
      <c r="C2438" s="43">
        <v>118.25425059481228</v>
      </c>
      <c r="D2438" s="43">
        <v>119.19797714909137</v>
      </c>
      <c r="E2438" s="43">
        <v>119.97351823395203</v>
      </c>
      <c r="F2438" s="43">
        <v>120.59220276139845</v>
      </c>
      <c r="G2438" s="43">
        <v>121.06701969173344</v>
      </c>
      <c r="H2438" s="43">
        <v>121.41152148713954</v>
      </c>
      <c r="I2438" s="43">
        <v>121.63908526308325</v>
      </c>
    </row>
    <row r="2439" spans="1:9">
      <c r="A2439" s="19">
        <v>603.29999999999995</v>
      </c>
      <c r="B2439" s="43">
        <v>117.15207942667578</v>
      </c>
      <c r="C2439" s="43">
        <v>118.27242133240458</v>
      </c>
      <c r="D2439" s="43">
        <v>119.21643470070472</v>
      </c>
      <c r="E2439" s="43">
        <v>119.99227645409661</v>
      </c>
      <c r="F2439" s="43">
        <v>120.61126683531396</v>
      </c>
      <c r="G2439" s="43">
        <v>121.08638780096203</v>
      </c>
      <c r="H2439" s="43">
        <v>121.43118646311643</v>
      </c>
      <c r="I2439" s="43">
        <v>121.65903605490112</v>
      </c>
    </row>
    <row r="2440" spans="1:9">
      <c r="A2440" s="19">
        <v>603.4</v>
      </c>
      <c r="B2440" s="43">
        <v>117.16998692179422</v>
      </c>
      <c r="C2440" s="43">
        <v>118.2905916756965</v>
      </c>
      <c r="D2440" s="43">
        <v>119.23489177836251</v>
      </c>
      <c r="E2440" s="43">
        <v>120.01103413340962</v>
      </c>
      <c r="F2440" s="43">
        <v>120.63033031577979</v>
      </c>
      <c r="G2440" s="43">
        <v>121.10575527831548</v>
      </c>
      <c r="H2440" s="43">
        <v>121.45085078224429</v>
      </c>
      <c r="I2440" s="43">
        <v>121.67898617705131</v>
      </c>
    </row>
    <row r="2441" spans="1:9">
      <c r="A2441" s="19">
        <v>603.5</v>
      </c>
      <c r="B2441" s="43">
        <v>117.18789411189806</v>
      </c>
      <c r="C2441" s="43">
        <v>118.3087616248753</v>
      </c>
      <c r="D2441" s="43">
        <v>119.25334838228798</v>
      </c>
      <c r="E2441" s="43">
        <v>120.02979127207519</v>
      </c>
      <c r="F2441" s="43">
        <v>120.6493932028875</v>
      </c>
      <c r="G2441" s="43">
        <v>121.12512212391945</v>
      </c>
      <c r="H2441" s="43">
        <v>121.47051444463847</v>
      </c>
      <c r="I2441" s="43">
        <v>121.69893562960618</v>
      </c>
    </row>
    <row r="2442" spans="1:9">
      <c r="A2442" s="19">
        <v>603.6</v>
      </c>
      <c r="B2442" s="43">
        <v>117.20580099720547</v>
      </c>
      <c r="C2442" s="43">
        <v>118.32693118020779</v>
      </c>
      <c r="D2442" s="43">
        <v>119.27180451268072</v>
      </c>
      <c r="E2442" s="43">
        <v>120.04854787033807</v>
      </c>
      <c r="F2442" s="43">
        <v>120.66845549691806</v>
      </c>
      <c r="G2442" s="43">
        <v>121.14448833799133</v>
      </c>
      <c r="H2442" s="43">
        <v>121.49017745047598</v>
      </c>
      <c r="I2442" s="43">
        <v>121.71888441272887</v>
      </c>
    </row>
    <row r="2443" spans="1:9">
      <c r="A2443" s="19">
        <v>603.70000000000005</v>
      </c>
      <c r="B2443" s="43">
        <v>117.22370757790614</v>
      </c>
      <c r="C2443" s="43">
        <v>118.34510034183569</v>
      </c>
      <c r="D2443" s="43">
        <v>119.29026016974285</v>
      </c>
      <c r="E2443" s="43">
        <v>120.06730392837525</v>
      </c>
      <c r="F2443" s="43">
        <v>120.68751719800974</v>
      </c>
      <c r="G2443" s="43">
        <v>121.16385392065854</v>
      </c>
      <c r="H2443" s="43">
        <v>121.50983979988149</v>
      </c>
      <c r="I2443" s="43">
        <v>121.7388325265253</v>
      </c>
    </row>
    <row r="2444" spans="1:9">
      <c r="A2444" s="19">
        <v>603.79999999999995</v>
      </c>
      <c r="B2444" s="43">
        <v>117.24161385417275</v>
      </c>
      <c r="C2444" s="43">
        <v>118.36326911000108</v>
      </c>
      <c r="D2444" s="43">
        <v>119.30871535370215</v>
      </c>
      <c r="E2444" s="43">
        <v>120.08605944641778</v>
      </c>
      <c r="F2444" s="43">
        <v>120.70657830636208</v>
      </c>
      <c r="G2444" s="43">
        <v>121.18321887211562</v>
      </c>
      <c r="H2444" s="43">
        <v>121.52950149302993</v>
      </c>
      <c r="I2444" s="43">
        <v>121.75877997113292</v>
      </c>
    </row>
    <row r="2445" spans="1:9">
      <c r="A2445" s="19">
        <v>603.9</v>
      </c>
      <c r="B2445" s="43">
        <v>117.25951982607921</v>
      </c>
      <c r="C2445" s="43">
        <v>118.38143748478802</v>
      </c>
      <c r="D2445" s="43">
        <v>119.32717006469028</v>
      </c>
      <c r="E2445" s="43">
        <v>120.10481442456796</v>
      </c>
      <c r="F2445" s="43">
        <v>120.72563882212057</v>
      </c>
      <c r="G2445" s="43">
        <v>121.20258319248353</v>
      </c>
      <c r="H2445" s="43">
        <v>121.54916253000766</v>
      </c>
      <c r="I2445" s="43">
        <v>121.77872674663408</v>
      </c>
    </row>
    <row r="2446" spans="1:9">
      <c r="A2446" s="19">
        <v>604</v>
      </c>
      <c r="B2446" s="43">
        <v>117.2774254940629</v>
      </c>
      <c r="C2446" s="43">
        <v>118.39960546662948</v>
      </c>
      <c r="D2446" s="43">
        <v>119.34562430306093</v>
      </c>
      <c r="E2446" s="43">
        <v>120.12356886320566</v>
      </c>
      <c r="F2446" s="43">
        <v>120.74469874559003</v>
      </c>
      <c r="G2446" s="43">
        <v>121.22194688204709</v>
      </c>
      <c r="H2446" s="43">
        <v>121.56882291105893</v>
      </c>
      <c r="I2446" s="43">
        <v>121.79867285322152</v>
      </c>
    </row>
    <row r="2447" spans="1:9">
      <c r="A2447" s="19">
        <v>604.1</v>
      </c>
      <c r="B2447" s="43">
        <v>117.29533085813</v>
      </c>
      <c r="C2447" s="43">
        <v>118.41777305554305</v>
      </c>
      <c r="D2447" s="43">
        <v>119.36407806892765</v>
      </c>
      <c r="E2447" s="43">
        <v>120.14232276241427</v>
      </c>
      <c r="F2447" s="43">
        <v>120.76375807688407</v>
      </c>
      <c r="G2447" s="43">
        <v>121.24130994089498</v>
      </c>
      <c r="H2447" s="43">
        <v>121.58848263626632</v>
      </c>
      <c r="I2447" s="43">
        <v>121.81861829096584</v>
      </c>
    </row>
    <row r="2448" spans="1:9">
      <c r="A2448" s="19">
        <v>604.20000000000005</v>
      </c>
      <c r="B2448" s="43">
        <v>117.31323591850676</v>
      </c>
      <c r="C2448" s="43">
        <v>118.43594025179914</v>
      </c>
      <c r="D2448" s="43">
        <v>119.3825313624798</v>
      </c>
      <c r="E2448" s="43">
        <v>120.16107612240452</v>
      </c>
      <c r="F2448" s="43">
        <v>120.78281681618068</v>
      </c>
      <c r="G2448" s="43">
        <v>121.26067236918755</v>
      </c>
      <c r="H2448" s="43">
        <v>121.60814170577785</v>
      </c>
      <c r="I2448" s="43">
        <v>121.83856305999316</v>
      </c>
    </row>
    <row r="2449" spans="1:9">
      <c r="A2449" s="19">
        <v>604.29999999999995</v>
      </c>
      <c r="B2449" s="43">
        <v>117.3311406753653</v>
      </c>
      <c r="C2449" s="43">
        <v>118.45410705558629</v>
      </c>
      <c r="D2449" s="43">
        <v>119.40098418398779</v>
      </c>
      <c r="E2449" s="43">
        <v>120.17982894340548</v>
      </c>
      <c r="F2449" s="43">
        <v>120.8018749637144</v>
      </c>
      <c r="G2449" s="43">
        <v>121.28003416713034</v>
      </c>
      <c r="H2449" s="43">
        <v>121.62780011977404</v>
      </c>
      <c r="I2449" s="43">
        <v>121.85850716044541</v>
      </c>
    </row>
    <row r="2450" spans="1:9">
      <c r="A2450" s="19">
        <v>604.4</v>
      </c>
      <c r="B2450" s="43">
        <v>117.34904512898186</v>
      </c>
      <c r="C2450" s="43">
        <v>118.47227346715852</v>
      </c>
      <c r="D2450" s="43">
        <v>119.41943653367701</v>
      </c>
      <c r="E2450" s="43">
        <v>120.19858122564875</v>
      </c>
      <c r="F2450" s="43">
        <v>120.82093251967908</v>
      </c>
      <c r="G2450" s="43">
        <v>121.29939533492779</v>
      </c>
      <c r="H2450" s="43">
        <v>121.64745787840945</v>
      </c>
      <c r="I2450" s="43">
        <v>121.87845059245353</v>
      </c>
    </row>
    <row r="2451" spans="1:9">
      <c r="A2451" s="19">
        <v>604.5</v>
      </c>
      <c r="B2451" s="43">
        <v>117.36694927942935</v>
      </c>
      <c r="C2451" s="43">
        <v>118.49043948666497</v>
      </c>
      <c r="D2451" s="43">
        <v>119.43788841164914</v>
      </c>
      <c r="E2451" s="43">
        <v>120.21733296927104</v>
      </c>
      <c r="F2451" s="43">
        <v>120.83998948422558</v>
      </c>
      <c r="G2451" s="43">
        <v>121.31875587267126</v>
      </c>
      <c r="H2451" s="43">
        <v>121.6671149817972</v>
      </c>
      <c r="I2451" s="43">
        <v>121.89839335611626</v>
      </c>
    </row>
    <row r="2452" spans="1:9">
      <c r="A2452" s="19">
        <v>604.6</v>
      </c>
      <c r="B2452" s="43">
        <v>117.38485312698793</v>
      </c>
      <c r="C2452" s="43">
        <v>118.50860511434033</v>
      </c>
      <c r="D2452" s="43">
        <v>119.45633981826469</v>
      </c>
      <c r="E2452" s="43">
        <v>120.23608417455591</v>
      </c>
      <c r="F2452" s="43">
        <v>120.85904585759155</v>
      </c>
      <c r="G2452" s="43">
        <v>121.33811578061366</v>
      </c>
      <c r="H2452" s="43">
        <v>121.68677143011587</v>
      </c>
      <c r="I2452" s="43">
        <v>121.91833545158084</v>
      </c>
    </row>
    <row r="2453" spans="1:9">
      <c r="A2453" s="19">
        <v>604.70000000000005</v>
      </c>
      <c r="B2453" s="43">
        <v>117.40275667172327</v>
      </c>
      <c r="C2453" s="43">
        <v>118.52677035032866</v>
      </c>
      <c r="D2453" s="43">
        <v>119.47479075357185</v>
      </c>
      <c r="E2453" s="43">
        <v>120.25483484161356</v>
      </c>
      <c r="F2453" s="43">
        <v>120.87810163990054</v>
      </c>
      <c r="G2453" s="43">
        <v>121.35747505884041</v>
      </c>
      <c r="H2453" s="43">
        <v>121.70642722347159</v>
      </c>
      <c r="I2453" s="43">
        <v>121.93827687893176</v>
      </c>
    </row>
    <row r="2454" spans="1:9">
      <c r="A2454" s="19">
        <v>604.79999999999995</v>
      </c>
      <c r="B2454" s="43">
        <v>117.42065991388966</v>
      </c>
      <c r="C2454" s="43">
        <v>118.54493519483651</v>
      </c>
      <c r="D2454" s="43">
        <v>119.49324121785614</v>
      </c>
      <c r="E2454" s="43">
        <v>120.27358497067061</v>
      </c>
      <c r="F2454" s="43">
        <v>120.89715683136714</v>
      </c>
      <c r="G2454" s="43">
        <v>121.37683370756375</v>
      </c>
      <c r="H2454" s="43">
        <v>121.72608236202646</v>
      </c>
      <c r="I2454" s="43">
        <v>121.95821763830671</v>
      </c>
    </row>
    <row r="2455" spans="1:9">
      <c r="A2455" s="19">
        <v>604.9</v>
      </c>
      <c r="B2455" s="43">
        <v>117.43856285366039</v>
      </c>
      <c r="C2455" s="43">
        <v>118.56309964810976</v>
      </c>
      <c r="D2455" s="43">
        <v>119.51169121128177</v>
      </c>
      <c r="E2455" s="43">
        <v>120.29233456195917</v>
      </c>
      <c r="F2455" s="43">
        <v>120.91621143218489</v>
      </c>
      <c r="G2455" s="43">
        <v>121.39619172695768</v>
      </c>
      <c r="H2455" s="43">
        <v>121.74573684593199</v>
      </c>
      <c r="I2455" s="43">
        <v>121.97815772983722</v>
      </c>
    </row>
    <row r="2456" spans="1:9">
      <c r="A2456" s="19">
        <v>605</v>
      </c>
      <c r="B2456" s="43">
        <v>117.45646549124962</v>
      </c>
      <c r="C2456" s="43">
        <v>118.58126371034948</v>
      </c>
      <c r="D2456" s="43">
        <v>119.53014073412456</v>
      </c>
      <c r="E2456" s="43">
        <v>120.31108361569895</v>
      </c>
      <c r="F2456" s="43">
        <v>120.9352654425507</v>
      </c>
      <c r="G2456" s="43">
        <v>121.41554911719649</v>
      </c>
      <c r="H2456" s="43">
        <v>121.76539067536567</v>
      </c>
      <c r="I2456" s="43">
        <v>121.99809715364066</v>
      </c>
    </row>
    <row r="2457" spans="1:9">
      <c r="A2457" s="19">
        <v>605.1</v>
      </c>
      <c r="B2457" s="43">
        <v>117.4743678267881</v>
      </c>
      <c r="C2457" s="43">
        <v>118.59942738172447</v>
      </c>
      <c r="D2457" s="43">
        <v>119.5485897865417</v>
      </c>
      <c r="E2457" s="43">
        <v>120.32983213201689</v>
      </c>
      <c r="F2457" s="43">
        <v>120.95431886264257</v>
      </c>
      <c r="G2457" s="43">
        <v>121.43490587842325</v>
      </c>
      <c r="H2457" s="43">
        <v>121.78504385042592</v>
      </c>
      <c r="I2457" s="43">
        <v>122.01803590983633</v>
      </c>
    </row>
    <row r="2458" spans="1:9">
      <c r="A2458" s="19">
        <v>605.20000000000005</v>
      </c>
      <c r="B2458" s="43">
        <v>117.49226986052116</v>
      </c>
      <c r="C2458" s="43">
        <v>118.61759066247112</v>
      </c>
      <c r="D2458" s="43">
        <v>119.5670383687563</v>
      </c>
      <c r="E2458" s="43">
        <v>120.34858011117416</v>
      </c>
      <c r="F2458" s="43">
        <v>120.97337169267183</v>
      </c>
      <c r="G2458" s="43">
        <v>121.4542620108281</v>
      </c>
      <c r="H2458" s="43">
        <v>121.80469637129394</v>
      </c>
      <c r="I2458" s="43">
        <v>122.03797399856003</v>
      </c>
    </row>
    <row r="2459" spans="1:9">
      <c r="A2459" s="19">
        <v>605.29999999999995</v>
      </c>
      <c r="B2459" s="43">
        <v>117.5101715925833</v>
      </c>
      <c r="C2459" s="43">
        <v>118.63575355274867</v>
      </c>
      <c r="D2459" s="43">
        <v>119.58548648093887</v>
      </c>
      <c r="E2459" s="43">
        <v>120.36732755335618</v>
      </c>
      <c r="F2459" s="43">
        <v>120.99242393279738</v>
      </c>
      <c r="G2459" s="43">
        <v>121.47361751458118</v>
      </c>
      <c r="H2459" s="43">
        <v>121.82434823809206</v>
      </c>
      <c r="I2459" s="43">
        <v>122.0579114199208</v>
      </c>
    </row>
    <row r="2460" spans="1:9">
      <c r="A2460" s="19">
        <v>605.4</v>
      </c>
      <c r="B2460" s="43">
        <v>117.52807302321</v>
      </c>
      <c r="C2460" s="43">
        <v>118.65391605281724</v>
      </c>
      <c r="D2460" s="43">
        <v>119.60393412337874</v>
      </c>
      <c r="E2460" s="43">
        <v>120.38607445877108</v>
      </c>
      <c r="F2460" s="43">
        <v>121.01147558322398</v>
      </c>
      <c r="G2460" s="43">
        <v>121.49297238984735</v>
      </c>
      <c r="H2460" s="43">
        <v>121.84399945099284</v>
      </c>
      <c r="I2460" s="43">
        <v>122.07784817403277</v>
      </c>
    </row>
    <row r="2461" spans="1:9">
      <c r="A2461" s="19">
        <v>605.5</v>
      </c>
      <c r="B2461" s="43">
        <v>117.54597415247127</v>
      </c>
      <c r="C2461" s="43">
        <v>118.6720781627703</v>
      </c>
      <c r="D2461" s="43">
        <v>119.6223812961662</v>
      </c>
      <c r="E2461" s="43">
        <v>120.40482082756878</v>
      </c>
      <c r="F2461" s="43">
        <v>121.03052664411996</v>
      </c>
      <c r="G2461" s="43">
        <v>121.51232663677723</v>
      </c>
      <c r="H2461" s="43">
        <v>121.86365001011796</v>
      </c>
      <c r="I2461" s="43">
        <v>122.09778426103327</v>
      </c>
    </row>
    <row r="2462" spans="1:9">
      <c r="A2462" s="19">
        <v>605.6</v>
      </c>
      <c r="B2462" s="43">
        <v>117.56387498073013</v>
      </c>
      <c r="C2462" s="43">
        <v>118.69023988296078</v>
      </c>
      <c r="D2462" s="43">
        <v>119.64082799964427</v>
      </c>
      <c r="E2462" s="43">
        <v>120.42356666006791</v>
      </c>
      <c r="F2462" s="43">
        <v>121.04957711574238</v>
      </c>
      <c r="G2462" s="43">
        <v>121.53168025561669</v>
      </c>
      <c r="H2462" s="43">
        <v>121.88329991566354</v>
      </c>
      <c r="I2462" s="43">
        <v>122.11771968106717</v>
      </c>
    </row>
    <row r="2463" spans="1:9">
      <c r="A2463" s="19">
        <v>605.70000000000005</v>
      </c>
      <c r="B2463" s="43">
        <v>117.58177550805004</v>
      </c>
      <c r="C2463" s="43">
        <v>118.7084012134724</v>
      </c>
      <c r="D2463" s="43">
        <v>119.65927423392492</v>
      </c>
      <c r="E2463" s="43">
        <v>120.44231195638497</v>
      </c>
      <c r="F2463" s="43">
        <v>121.06862699819777</v>
      </c>
      <c r="G2463" s="43">
        <v>121.55103324646333</v>
      </c>
      <c r="H2463" s="43">
        <v>121.9029491677228</v>
      </c>
      <c r="I2463" s="43">
        <v>122.13765443422889</v>
      </c>
    </row>
    <row r="2464" spans="1:9">
      <c r="A2464" s="19">
        <v>605.79999999999995</v>
      </c>
      <c r="B2464" s="43">
        <v>117.59967573466636</v>
      </c>
      <c r="C2464" s="43">
        <v>118.7265621546029</v>
      </c>
      <c r="D2464" s="43">
        <v>119.67771999926322</v>
      </c>
      <c r="E2464" s="43">
        <v>120.46105671674823</v>
      </c>
      <c r="F2464" s="43">
        <v>121.08767629174133</v>
      </c>
      <c r="G2464" s="43">
        <v>121.57038560951469</v>
      </c>
      <c r="H2464" s="43">
        <v>121.92259776649021</v>
      </c>
      <c r="I2464" s="43">
        <v>122.15758852064701</v>
      </c>
    </row>
    <row r="2465" spans="1:9">
      <c r="A2465" s="19">
        <v>605.9</v>
      </c>
      <c r="B2465" s="43">
        <v>117.61757566075988</v>
      </c>
      <c r="C2465" s="43">
        <v>118.74472270650153</v>
      </c>
      <c r="D2465" s="43">
        <v>119.69616529586662</v>
      </c>
      <c r="E2465" s="43">
        <v>120.47980094138862</v>
      </c>
      <c r="F2465" s="43">
        <v>121.1067249965522</v>
      </c>
      <c r="G2465" s="43">
        <v>121.58973734497661</v>
      </c>
      <c r="H2465" s="43">
        <v>121.94224571211316</v>
      </c>
      <c r="I2465" s="43">
        <v>122.17752194047401</v>
      </c>
    </row>
    <row r="2466" spans="1:9">
      <c r="A2466" s="19">
        <v>606</v>
      </c>
      <c r="B2466" s="43">
        <v>117.6354752864859</v>
      </c>
      <c r="C2466" s="43">
        <v>118.76288286934172</v>
      </c>
      <c r="D2466" s="43">
        <v>119.71461012391961</v>
      </c>
      <c r="E2466" s="43">
        <v>120.49854463044477</v>
      </c>
      <c r="F2466" s="43">
        <v>121.1257731127757</v>
      </c>
      <c r="G2466" s="43">
        <v>121.60908845295219</v>
      </c>
      <c r="H2466" s="43">
        <v>121.9618930046847</v>
      </c>
      <c r="I2466" s="43">
        <v>122.19745469378469</v>
      </c>
    </row>
    <row r="2467" spans="1:9">
      <c r="A2467" s="19">
        <v>606.1</v>
      </c>
      <c r="B2467" s="43">
        <v>117.65337461202134</v>
      </c>
      <c r="C2467" s="43">
        <v>118.78104264336804</v>
      </c>
      <c r="D2467" s="43">
        <v>119.73305448361774</v>
      </c>
      <c r="E2467" s="43">
        <v>120.51728778414238</v>
      </c>
      <c r="F2467" s="43">
        <v>121.14482064062673</v>
      </c>
      <c r="G2467" s="43">
        <v>121.62843893362427</v>
      </c>
      <c r="H2467" s="43">
        <v>121.98153964440732</v>
      </c>
      <c r="I2467" s="43">
        <v>122.2173867807073</v>
      </c>
    </row>
    <row r="2468" spans="1:9">
      <c r="A2468" s="19">
        <v>606.20000000000005</v>
      </c>
      <c r="B2468" s="43">
        <v>117.67127363767602</v>
      </c>
      <c r="C2468" s="43">
        <v>118.79920202884009</v>
      </c>
      <c r="D2468" s="43">
        <v>119.75149837521826</v>
      </c>
      <c r="E2468" s="43">
        <v>120.53603040275351</v>
      </c>
      <c r="F2468" s="43">
        <v>121.16386758034506</v>
      </c>
      <c r="G2468" s="43">
        <v>121.64778878724633</v>
      </c>
      <c r="H2468" s="43">
        <v>122.00118563142712</v>
      </c>
      <c r="I2468" s="43">
        <v>122.2373182014191</v>
      </c>
    </row>
    <row r="2469" spans="1:9">
      <c r="A2469" s="19">
        <v>606.29999999999995</v>
      </c>
      <c r="B2469" s="43">
        <v>117.68917236345234</v>
      </c>
      <c r="C2469" s="43">
        <v>118.81736102580402</v>
      </c>
      <c r="D2469" s="43">
        <v>119.7699417988625</v>
      </c>
      <c r="E2469" s="43">
        <v>120.55477248635594</v>
      </c>
      <c r="F2469" s="43">
        <v>121.18291393201895</v>
      </c>
      <c r="G2469" s="43">
        <v>121.66713801388809</v>
      </c>
      <c r="H2469" s="43">
        <v>122.02083096585326</v>
      </c>
      <c r="I2469" s="43">
        <v>122.25724895597779</v>
      </c>
    </row>
    <row r="2470" spans="1:9">
      <c r="A2470" s="19">
        <v>606.4</v>
      </c>
      <c r="B2470" s="43">
        <v>117.70707078956812</v>
      </c>
      <c r="C2470" s="43">
        <v>118.83551963453232</v>
      </c>
      <c r="D2470" s="43">
        <v>119.7883847547684</v>
      </c>
      <c r="E2470" s="43">
        <v>120.57351403521378</v>
      </c>
      <c r="F2470" s="43">
        <v>121.2019596958913</v>
      </c>
      <c r="G2470" s="43">
        <v>121.68648661373746</v>
      </c>
      <c r="H2470" s="43">
        <v>122.04047564783664</v>
      </c>
      <c r="I2470" s="43">
        <v>122.2771790445328</v>
      </c>
    </row>
    <row r="2471" spans="1:9">
      <c r="A2471" s="19">
        <v>606.5</v>
      </c>
      <c r="B2471" s="43">
        <v>117.72496891628842</v>
      </c>
      <c r="C2471" s="43">
        <v>118.85367785524926</v>
      </c>
      <c r="D2471" s="43">
        <v>119.80682724315946</v>
      </c>
      <c r="E2471" s="43">
        <v>120.59225504952582</v>
      </c>
      <c r="F2471" s="43">
        <v>121.22100487215309</v>
      </c>
      <c r="G2471" s="43">
        <v>121.70583458698471</v>
      </c>
      <c r="H2471" s="43">
        <v>122.06011967755973</v>
      </c>
      <c r="I2471" s="43">
        <v>122.29710846721105</v>
      </c>
    </row>
    <row r="2472" spans="1:9">
      <c r="A2472" s="19">
        <v>606.6</v>
      </c>
      <c r="B2472" s="43">
        <v>117.74286674373755</v>
      </c>
      <c r="C2472" s="43">
        <v>118.87183568813316</v>
      </c>
      <c r="D2472" s="43">
        <v>119.82526926425777</v>
      </c>
      <c r="E2472" s="43">
        <v>120.61099552950674</v>
      </c>
      <c r="F2472" s="43">
        <v>121.24004946099183</v>
      </c>
      <c r="G2472" s="43">
        <v>121.72518193381345</v>
      </c>
      <c r="H2472" s="43">
        <v>122.07976305515081</v>
      </c>
      <c r="I2472" s="43">
        <v>122.31703722413246</v>
      </c>
    </row>
    <row r="2473" spans="1:9">
      <c r="A2473" s="19">
        <v>606.70000000000005</v>
      </c>
      <c r="B2473" s="43">
        <v>117.76076427215739</v>
      </c>
      <c r="C2473" s="43">
        <v>118.88999313342035</v>
      </c>
      <c r="D2473" s="43">
        <v>119.84371081825009</v>
      </c>
      <c r="E2473" s="43">
        <v>120.62973547530976</v>
      </c>
      <c r="F2473" s="43">
        <v>121.25909346258035</v>
      </c>
      <c r="G2473" s="43">
        <v>121.74452865434841</v>
      </c>
      <c r="H2473" s="43">
        <v>122.09940578074583</v>
      </c>
      <c r="I2473" s="43">
        <v>122.33696531539167</v>
      </c>
    </row>
    <row r="2474" spans="1:9">
      <c r="A2474" s="19">
        <v>606.79999999999995</v>
      </c>
      <c r="B2474" s="43">
        <v>117.77866150163422</v>
      </c>
      <c r="C2474" s="43">
        <v>118.9081501912211</v>
      </c>
      <c r="D2474" s="43">
        <v>119.86215190531794</v>
      </c>
      <c r="E2474" s="43">
        <v>120.64847488718954</v>
      </c>
      <c r="F2474" s="43">
        <v>121.27813687710403</v>
      </c>
      <c r="G2474" s="43">
        <v>121.7638747488088</v>
      </c>
      <c r="H2474" s="43">
        <v>122.11904785450528</v>
      </c>
      <c r="I2474" s="43">
        <v>122.35689274116649</v>
      </c>
    </row>
    <row r="2475" spans="1:9">
      <c r="A2475" s="19">
        <v>606.9</v>
      </c>
      <c r="B2475" s="43">
        <v>117.79655843244012</v>
      </c>
      <c r="C2475" s="43">
        <v>118.92630686183554</v>
      </c>
      <c r="D2475" s="43">
        <v>119.88059252570997</v>
      </c>
      <c r="E2475" s="43">
        <v>120.66721376534252</v>
      </c>
      <c r="F2475" s="43">
        <v>121.29717970481164</v>
      </c>
      <c r="G2475" s="43">
        <v>121.78322021735329</v>
      </c>
      <c r="H2475" s="43">
        <v>122.13868927661323</v>
      </c>
      <c r="I2475" s="43">
        <v>122.37681950155465</v>
      </c>
    </row>
    <row r="2476" spans="1:9">
      <c r="A2476" s="19">
        <v>607</v>
      </c>
      <c r="B2476" s="43">
        <v>117.81445506476572</v>
      </c>
      <c r="C2476" s="43">
        <v>118.94446314546963</v>
      </c>
      <c r="D2476" s="43">
        <v>119.89903267965084</v>
      </c>
      <c r="E2476" s="43">
        <v>120.68595210997418</v>
      </c>
      <c r="F2476" s="43">
        <v>121.3162219458379</v>
      </c>
      <c r="G2476" s="43">
        <v>121.80256506014612</v>
      </c>
      <c r="H2476" s="43">
        <v>122.15833004717362</v>
      </c>
      <c r="I2476" s="43">
        <v>122.39674559667785</v>
      </c>
    </row>
    <row r="2477" spans="1:9">
      <c r="A2477" s="19">
        <v>607.1</v>
      </c>
      <c r="B2477" s="43">
        <v>117.83235139874316</v>
      </c>
      <c r="C2477" s="43">
        <v>118.96261904225352</v>
      </c>
      <c r="D2477" s="43">
        <v>119.91747236730887</v>
      </c>
      <c r="E2477" s="43">
        <v>120.70468992124211</v>
      </c>
      <c r="F2477" s="43">
        <v>121.33526360037337</v>
      </c>
      <c r="G2477" s="43">
        <v>121.8219092773621</v>
      </c>
      <c r="H2477" s="43">
        <v>122.17797016634614</v>
      </c>
      <c r="I2477" s="43">
        <v>122.41667102665917</v>
      </c>
    </row>
    <row r="2478" spans="1:9">
      <c r="A2478" s="19">
        <v>607.20000000000005</v>
      </c>
      <c r="B2478" s="43">
        <v>117.85024743447218</v>
      </c>
      <c r="C2478" s="43">
        <v>118.9807745523245</v>
      </c>
      <c r="D2478" s="43">
        <v>119.93591158881691</v>
      </c>
      <c r="E2478" s="43">
        <v>120.72342719933371</v>
      </c>
      <c r="F2478" s="43">
        <v>121.35430466858509</v>
      </c>
      <c r="G2478" s="43">
        <v>121.84125286912311</v>
      </c>
      <c r="H2478" s="43">
        <v>122.19760963424838</v>
      </c>
      <c r="I2478" s="43">
        <v>122.43659579160209</v>
      </c>
    </row>
    <row r="2479" spans="1:9">
      <c r="A2479" s="19">
        <v>607.29999999999995</v>
      </c>
      <c r="B2479" s="43">
        <v>117.86814317234331</v>
      </c>
      <c r="C2479" s="43">
        <v>118.99892967607556</v>
      </c>
      <c r="D2479" s="43">
        <v>119.95435034455011</v>
      </c>
      <c r="E2479" s="43">
        <v>120.74216394457707</v>
      </c>
      <c r="F2479" s="43">
        <v>121.37334515074656</v>
      </c>
      <c r="G2479" s="43">
        <v>121.86059583571708</v>
      </c>
      <c r="H2479" s="43">
        <v>122.21724845109682</v>
      </c>
      <c r="I2479" s="43">
        <v>122.45651989168596</v>
      </c>
    </row>
    <row r="2480" spans="1:9">
      <c r="A2480" s="19">
        <v>607.4</v>
      </c>
      <c r="B2480" s="43">
        <v>117.88603861244451</v>
      </c>
      <c r="C2480" s="43">
        <v>119.01708441360412</v>
      </c>
      <c r="D2480" s="43">
        <v>119.97278863459988</v>
      </c>
      <c r="E2480" s="43">
        <v>120.76090015708021</v>
      </c>
      <c r="F2480" s="43">
        <v>121.39238504699986</v>
      </c>
      <c r="G2480" s="43">
        <v>121.87993817721082</v>
      </c>
      <c r="H2480" s="43">
        <v>122.2368866169794</v>
      </c>
      <c r="I2480" s="43">
        <v>122.47644332698917</v>
      </c>
    </row>
    <row r="2481" spans="1:9">
      <c r="A2481" s="19">
        <v>607.5</v>
      </c>
      <c r="B2481" s="43">
        <v>117.90393375490638</v>
      </c>
      <c r="C2481" s="43">
        <v>119.03523876508652</v>
      </c>
      <c r="D2481" s="43">
        <v>119.99122645919249</v>
      </c>
      <c r="E2481" s="43">
        <v>120.77963583702478</v>
      </c>
      <c r="F2481" s="43">
        <v>121.41142435748921</v>
      </c>
      <c r="G2481" s="43">
        <v>121.89927989380254</v>
      </c>
      <c r="H2481" s="43">
        <v>122.2565241320921</v>
      </c>
      <c r="I2481" s="43">
        <v>122.49636609763374</v>
      </c>
    </row>
    <row r="2482" spans="1:9">
      <c r="A2482" s="19">
        <v>607.6</v>
      </c>
      <c r="B2482" s="43">
        <v>117.92182859994921</v>
      </c>
      <c r="C2482" s="43">
        <v>119.05339273076689</v>
      </c>
      <c r="D2482" s="43">
        <v>120.00966381853289</v>
      </c>
      <c r="E2482" s="43">
        <v>120.79837098465055</v>
      </c>
      <c r="F2482" s="43">
        <v>121.43046308247293</v>
      </c>
      <c r="G2482" s="43">
        <v>121.91862098566887</v>
      </c>
      <c r="H2482" s="43">
        <v>122.27616099653935</v>
      </c>
      <c r="I2482" s="43">
        <v>122.51628820375171</v>
      </c>
    </row>
    <row r="2483" spans="1:9">
      <c r="A2483" s="19">
        <v>607.70000000000005</v>
      </c>
      <c r="B2483" s="43">
        <v>117.93972314779751</v>
      </c>
      <c r="C2483" s="43">
        <v>119.07154631083321</v>
      </c>
      <c r="D2483" s="43">
        <v>120.0281007128595</v>
      </c>
      <c r="E2483" s="43">
        <v>120.81710560016253</v>
      </c>
      <c r="F2483" s="43">
        <v>121.44950122211768</v>
      </c>
      <c r="G2483" s="43">
        <v>121.9379614530063</v>
      </c>
      <c r="H2483" s="43">
        <v>122.2957972105057</v>
      </c>
      <c r="I2483" s="43">
        <v>122.53620964549214</v>
      </c>
    </row>
    <row r="2484" spans="1:9">
      <c r="A2484" s="19">
        <v>607.79999999999995</v>
      </c>
      <c r="B2484" s="43">
        <v>117.9576173985829</v>
      </c>
      <c r="C2484" s="43">
        <v>119.08969950550411</v>
      </c>
      <c r="D2484" s="43">
        <v>120.04653714234215</v>
      </c>
      <c r="E2484" s="43">
        <v>120.83583968375072</v>
      </c>
      <c r="F2484" s="43">
        <v>121.46853877657895</v>
      </c>
      <c r="G2484" s="43">
        <v>121.95730129594159</v>
      </c>
      <c r="H2484" s="43">
        <v>122.31543277409952</v>
      </c>
      <c r="I2484" s="43">
        <v>122.55613042294908</v>
      </c>
    </row>
    <row r="2485" spans="1:9">
      <c r="A2485" s="19">
        <v>607.9</v>
      </c>
      <c r="B2485" s="43">
        <v>117.97551135255847</v>
      </c>
      <c r="C2485" s="43">
        <v>119.10785231496163</v>
      </c>
      <c r="D2485" s="43">
        <v>120.06497310723645</v>
      </c>
      <c r="E2485" s="43">
        <v>120.85457323565313</v>
      </c>
      <c r="F2485" s="43">
        <v>121.48757574611716</v>
      </c>
      <c r="G2485" s="43">
        <v>121.97664051467578</v>
      </c>
      <c r="H2485" s="43">
        <v>122.33506768751926</v>
      </c>
      <c r="I2485" s="43">
        <v>122.57605053626656</v>
      </c>
    </row>
    <row r="2486" spans="1:9">
      <c r="A2486" s="19">
        <v>608</v>
      </c>
      <c r="B2486" s="43">
        <v>117.99340500980935</v>
      </c>
      <c r="C2486" s="43">
        <v>119.12600473935663</v>
      </c>
      <c r="D2486" s="43">
        <v>120.08340860763192</v>
      </c>
      <c r="E2486" s="43">
        <v>120.87330625599336</v>
      </c>
      <c r="F2486" s="43">
        <v>121.50661213085203</v>
      </c>
      <c r="G2486" s="43">
        <v>121.99597910934358</v>
      </c>
      <c r="H2486" s="43">
        <v>122.35470195087777</v>
      </c>
      <c r="I2486" s="43">
        <v>122.59596998553988</v>
      </c>
    </row>
    <row r="2487" spans="1:9">
      <c r="A2487" s="19">
        <v>608.1</v>
      </c>
      <c r="B2487" s="43">
        <v>118.01129837051312</v>
      </c>
      <c r="C2487" s="43">
        <v>119.14415677892805</v>
      </c>
      <c r="D2487" s="43">
        <v>120.10184364383622</v>
      </c>
      <c r="E2487" s="43">
        <v>120.89203874501803</v>
      </c>
      <c r="F2487" s="43">
        <v>121.52564793098284</v>
      </c>
      <c r="G2487" s="43">
        <v>122.01531708014696</v>
      </c>
      <c r="H2487" s="43">
        <v>122.3743355643274</v>
      </c>
      <c r="I2487" s="43">
        <v>122.61588877090659</v>
      </c>
    </row>
    <row r="2488" spans="1:9">
      <c r="A2488" s="19">
        <v>608.20000000000005</v>
      </c>
      <c r="B2488" s="43">
        <v>118.02919143492693</v>
      </c>
      <c r="C2488" s="43">
        <v>119.1623084338857</v>
      </c>
      <c r="D2488" s="43">
        <v>120.12027821601865</v>
      </c>
      <c r="E2488" s="43">
        <v>120.91077070291985</v>
      </c>
      <c r="F2488" s="43">
        <v>121.54468314671416</v>
      </c>
      <c r="G2488" s="43">
        <v>122.0346544272424</v>
      </c>
      <c r="H2488" s="43">
        <v>122.3939685280051</v>
      </c>
      <c r="I2488" s="43">
        <v>122.6358068924954</v>
      </c>
    </row>
    <row r="2489" spans="1:9">
      <c r="A2489" s="19">
        <v>608.29999999999995</v>
      </c>
      <c r="B2489" s="43">
        <v>118.04708420318036</v>
      </c>
      <c r="C2489" s="43">
        <v>119.18045970442751</v>
      </c>
      <c r="D2489" s="43">
        <v>120.13871232439487</v>
      </c>
      <c r="E2489" s="43">
        <v>120.92950212987478</v>
      </c>
      <c r="F2489" s="43">
        <v>121.56371777823588</v>
      </c>
      <c r="G2489" s="43">
        <v>122.05399115079382</v>
      </c>
      <c r="H2489" s="43">
        <v>122.41360084207798</v>
      </c>
      <c r="I2489" s="43">
        <v>122.65572435040943</v>
      </c>
    </row>
    <row r="2490" spans="1:9">
      <c r="A2490" s="19">
        <v>608.4</v>
      </c>
      <c r="B2490" s="43">
        <v>118.06497667553197</v>
      </c>
      <c r="C2490" s="43">
        <v>119.19861059075598</v>
      </c>
      <c r="D2490" s="43">
        <v>120.15714596919511</v>
      </c>
      <c r="E2490" s="43">
        <v>120.94823302616729</v>
      </c>
      <c r="F2490" s="43">
        <v>121.58275182574255</v>
      </c>
      <c r="G2490" s="43">
        <v>122.07332725100656</v>
      </c>
      <c r="H2490" s="43">
        <v>122.43323250670974</v>
      </c>
      <c r="I2490" s="43">
        <v>122.67564114483108</v>
      </c>
    </row>
    <row r="2491" spans="1:9">
      <c r="A2491" s="19">
        <v>608.5</v>
      </c>
      <c r="B2491" s="43">
        <v>118.08286885210669</v>
      </c>
      <c r="C2491" s="43">
        <v>119.2167610930471</v>
      </c>
      <c r="D2491" s="43">
        <v>120.17557915057415</v>
      </c>
      <c r="E2491" s="43">
        <v>120.96696339192067</v>
      </c>
      <c r="F2491" s="43">
        <v>121.60178528941401</v>
      </c>
      <c r="G2491" s="43">
        <v>122.09266272801315</v>
      </c>
      <c r="H2491" s="43">
        <v>122.45286352201109</v>
      </c>
      <c r="I2491" s="43">
        <v>122.69555727580587</v>
      </c>
    </row>
    <row r="2492" spans="1:9">
      <c r="A2492" s="19">
        <v>608.6</v>
      </c>
      <c r="B2492" s="43">
        <v>118.10076073304378</v>
      </c>
      <c r="C2492" s="43">
        <v>119.23491121151096</v>
      </c>
      <c r="D2492" s="43">
        <v>120.19401186876973</v>
      </c>
      <c r="E2492" s="43">
        <v>120.98569322736213</v>
      </c>
      <c r="F2492" s="43">
        <v>121.62081816943228</v>
      </c>
      <c r="G2492" s="43">
        <v>122.11199758201585</v>
      </c>
      <c r="H2492" s="43">
        <v>122.47249388817127</v>
      </c>
      <c r="I2492" s="43">
        <v>122.71547274350664</v>
      </c>
    </row>
    <row r="2493" spans="1:9">
      <c r="A2493" s="19">
        <v>608.70000000000005</v>
      </c>
      <c r="B2493" s="43">
        <v>118.11865231862637</v>
      </c>
      <c r="C2493" s="43">
        <v>119.25306094637395</v>
      </c>
      <c r="D2493" s="43">
        <v>120.21244412399375</v>
      </c>
      <c r="E2493" s="43">
        <v>121.00442253270299</v>
      </c>
      <c r="F2493" s="43">
        <v>121.63985046598739</v>
      </c>
      <c r="G2493" s="43">
        <v>122.13133181316076</v>
      </c>
      <c r="H2493" s="43">
        <v>122.49212360530123</v>
      </c>
      <c r="I2493" s="43">
        <v>122.73538754803693</v>
      </c>
    </row>
    <row r="2494" spans="1:9">
      <c r="A2494" s="19">
        <v>608.79999999999995</v>
      </c>
      <c r="B2494" s="43">
        <v>118.13654360898019</v>
      </c>
      <c r="C2494" s="43">
        <v>119.2712102978073</v>
      </c>
      <c r="D2494" s="43">
        <v>120.23087591643045</v>
      </c>
      <c r="E2494" s="43">
        <v>121.02315130811766</v>
      </c>
      <c r="F2494" s="43">
        <v>121.65888217929086</v>
      </c>
      <c r="G2494" s="43">
        <v>122.15066542162458</v>
      </c>
      <c r="H2494" s="43">
        <v>122.51175267356368</v>
      </c>
      <c r="I2494" s="43">
        <v>122.75530168954216</v>
      </c>
    </row>
    <row r="2495" spans="1:9">
      <c r="A2495" s="19">
        <v>608.9</v>
      </c>
      <c r="B2495" s="43">
        <v>118.15443460418621</v>
      </c>
      <c r="C2495" s="43">
        <v>119.28935926593508</v>
      </c>
      <c r="D2495" s="43">
        <v>120.24930724620745</v>
      </c>
      <c r="E2495" s="43">
        <v>121.04187955377839</v>
      </c>
      <c r="F2495" s="43">
        <v>121.67791330945758</v>
      </c>
      <c r="G2495" s="43">
        <v>122.16999840752916</v>
      </c>
      <c r="H2495" s="43">
        <v>122.53138109307767</v>
      </c>
      <c r="I2495" s="43">
        <v>122.77521516810489</v>
      </c>
    </row>
    <row r="2496" spans="1:9">
      <c r="A2496" s="19">
        <v>609</v>
      </c>
      <c r="B2496" s="43">
        <v>118.17232530460194</v>
      </c>
      <c r="C2496" s="43">
        <v>119.3075078511049</v>
      </c>
      <c r="D2496" s="43">
        <v>120.2677381136867</v>
      </c>
      <c r="E2496" s="43">
        <v>121.06060726996208</v>
      </c>
      <c r="F2496" s="43">
        <v>121.6969438567742</v>
      </c>
      <c r="G2496" s="43">
        <v>122.18933077114551</v>
      </c>
      <c r="H2496" s="43">
        <v>122.55100886404972</v>
      </c>
      <c r="I2496" s="43">
        <v>122.79512798388924</v>
      </c>
    </row>
    <row r="2497" spans="1:9">
      <c r="A2497" s="19">
        <v>609.1</v>
      </c>
      <c r="B2497" s="43">
        <v>118.190215710362</v>
      </c>
      <c r="C2497" s="43">
        <v>119.32565605346895</v>
      </c>
      <c r="D2497" s="43">
        <v>120.28616851898985</v>
      </c>
      <c r="E2497" s="43">
        <v>121.07933445684702</v>
      </c>
      <c r="F2497" s="43">
        <v>121.71597382138734</v>
      </c>
      <c r="G2497" s="43">
        <v>122.20866251259085</v>
      </c>
      <c r="H2497" s="43">
        <v>122.57063598660355</v>
      </c>
      <c r="I2497" s="43">
        <v>122.81504013700246</v>
      </c>
    </row>
    <row r="2498" spans="1:9">
      <c r="A2498" s="19">
        <v>609.20000000000005</v>
      </c>
      <c r="B2498" s="43">
        <v>118.20810582159751</v>
      </c>
      <c r="C2498" s="43">
        <v>119.3438038731538</v>
      </c>
      <c r="D2498" s="43">
        <v>120.30459846232671</v>
      </c>
      <c r="E2498" s="43">
        <v>121.09806111459827</v>
      </c>
      <c r="F2498" s="43">
        <v>121.73500320348484</v>
      </c>
      <c r="G2498" s="43">
        <v>122.22799363199988</v>
      </c>
      <c r="H2498" s="43">
        <v>122.5902624608689</v>
      </c>
      <c r="I2498" s="43">
        <v>122.83495162758393</v>
      </c>
    </row>
    <row r="2499" spans="1:9">
      <c r="A2499" s="19">
        <v>609.29999999999995</v>
      </c>
      <c r="B2499" s="43">
        <v>118.22599563852452</v>
      </c>
      <c r="C2499" s="43">
        <v>119.36195131044715</v>
      </c>
      <c r="D2499" s="43">
        <v>120.32302794391725</v>
      </c>
      <c r="E2499" s="43">
        <v>121.11678724345953</v>
      </c>
      <c r="F2499" s="43">
        <v>121.75403200326298</v>
      </c>
      <c r="G2499" s="43">
        <v>122.24732412963394</v>
      </c>
      <c r="H2499" s="43">
        <v>122.6098882870304</v>
      </c>
      <c r="I2499" s="43">
        <v>122.85486245573779</v>
      </c>
    </row>
    <row r="2500" spans="1:9">
      <c r="A2500" s="19">
        <v>609.4</v>
      </c>
      <c r="B2500" s="43">
        <v>118.24388516134078</v>
      </c>
      <c r="C2500" s="43">
        <v>119.38009836551251</v>
      </c>
      <c r="D2500" s="43">
        <v>120.34145696395774</v>
      </c>
      <c r="E2500" s="43">
        <v>121.13551284361924</v>
      </c>
      <c r="F2500" s="43">
        <v>121.77306022090167</v>
      </c>
      <c r="G2500" s="43">
        <v>122.2666540055925</v>
      </c>
      <c r="H2500" s="43">
        <v>122.6295134652089</v>
      </c>
      <c r="I2500" s="43">
        <v>122.87477262160624</v>
      </c>
    </row>
    <row r="2501" spans="1:9">
      <c r="A2501" s="19">
        <v>609.5</v>
      </c>
      <c r="B2501" s="43">
        <v>118.26177439018844</v>
      </c>
      <c r="C2501" s="43">
        <v>119.39824503852913</v>
      </c>
      <c r="D2501" s="43">
        <v>120.35988552264934</v>
      </c>
      <c r="E2501" s="43">
        <v>121.15423791526547</v>
      </c>
      <c r="F2501" s="43">
        <v>121.7920878566016</v>
      </c>
      <c r="G2501" s="43">
        <v>122.28598326006568</v>
      </c>
      <c r="H2501" s="43">
        <v>122.64913799556706</v>
      </c>
      <c r="I2501" s="43">
        <v>122.89468212530141</v>
      </c>
    </row>
    <row r="2502" spans="1:9">
      <c r="A2502" s="19">
        <v>609.6</v>
      </c>
      <c r="B2502" s="43">
        <v>118.27966332537684</v>
      </c>
      <c r="C2502" s="43">
        <v>119.41639132981155</v>
      </c>
      <c r="D2502" s="43">
        <v>120.37831362027839</v>
      </c>
      <c r="E2502" s="43">
        <v>121.17296245866535</v>
      </c>
      <c r="F2502" s="43">
        <v>121.8111149105803</v>
      </c>
      <c r="G2502" s="43">
        <v>122.30531189326285</v>
      </c>
      <c r="H2502" s="43">
        <v>122.66876187827174</v>
      </c>
      <c r="I2502" s="43">
        <v>122.91459096697687</v>
      </c>
    </row>
    <row r="2503" spans="1:9">
      <c r="A2503" s="19">
        <v>609.70000000000005</v>
      </c>
      <c r="B2503" s="43">
        <v>118.29755196687086</v>
      </c>
      <c r="C2503" s="43">
        <v>119.43453723936688</v>
      </c>
      <c r="D2503" s="43">
        <v>120.39674125689368</v>
      </c>
      <c r="E2503" s="43">
        <v>121.19168647391857</v>
      </c>
      <c r="F2503" s="43">
        <v>121.83014138294854</v>
      </c>
      <c r="G2503" s="43">
        <v>122.32463990528191</v>
      </c>
      <c r="H2503" s="43">
        <v>122.68838511342264</v>
      </c>
      <c r="I2503" s="43">
        <v>122.93449914671706</v>
      </c>
    </row>
    <row r="2504" spans="1:9">
      <c r="A2504" s="19">
        <v>609.79999999999995</v>
      </c>
      <c r="B2504" s="43">
        <v>118.31544031494585</v>
      </c>
      <c r="C2504" s="43">
        <v>119.45268276748149</v>
      </c>
      <c r="D2504" s="43">
        <v>120.4151684327592</v>
      </c>
      <c r="E2504" s="43">
        <v>121.21040996124819</v>
      </c>
      <c r="F2504" s="43">
        <v>121.84916727393349</v>
      </c>
      <c r="G2504" s="43">
        <v>122.34396729631459</v>
      </c>
      <c r="H2504" s="43">
        <v>122.70800770119379</v>
      </c>
      <c r="I2504" s="43">
        <v>122.95440666464611</v>
      </c>
    </row>
    <row r="2505" spans="1:9">
      <c r="A2505" s="19">
        <v>609.9</v>
      </c>
      <c r="B2505" s="43">
        <v>118.3333283698102</v>
      </c>
      <c r="C2505" s="43">
        <v>119.47082791436404</v>
      </c>
      <c r="D2505" s="43">
        <v>120.43359514810959</v>
      </c>
      <c r="E2505" s="43">
        <v>121.22913292088293</v>
      </c>
      <c r="F2505" s="43">
        <v>121.86819258370684</v>
      </c>
      <c r="G2505" s="43">
        <v>122.363294066555</v>
      </c>
      <c r="H2505" s="43">
        <v>122.72762964172708</v>
      </c>
      <c r="I2505" s="43">
        <v>122.97431352088441</v>
      </c>
    </row>
    <row r="2506" spans="1:9">
      <c r="A2506" s="19">
        <v>610</v>
      </c>
      <c r="B2506" s="43">
        <v>118.33741380161158</v>
      </c>
      <c r="C2506" s="43">
        <v>119.47568176936269</v>
      </c>
      <c r="D2506" s="43">
        <v>120.43938260059954</v>
      </c>
      <c r="E2506" s="43">
        <v>121.23599627364953</v>
      </c>
      <c r="F2506" s="43">
        <v>121.87624968159565</v>
      </c>
      <c r="G2506" s="43">
        <v>122.37263910935897</v>
      </c>
      <c r="H2506" s="43">
        <v>122.7383353305421</v>
      </c>
      <c r="I2506" s="43">
        <v>122.98643376441998</v>
      </c>
    </row>
    <row r="2507" spans="1:9">
      <c r="A2507" s="19">
        <v>610.1</v>
      </c>
      <c r="B2507" s="43">
        <v>118.34147802765239</v>
      </c>
      <c r="C2507" s="43">
        <v>119.480513497217</v>
      </c>
      <c r="D2507" s="43">
        <v>120.44514691098595</v>
      </c>
      <c r="E2507" s="43">
        <v>121.24283546481112</v>
      </c>
      <c r="F2507" s="43">
        <v>121.88428165768653</v>
      </c>
      <c r="G2507" s="43">
        <v>122.38195816992675</v>
      </c>
      <c r="H2507" s="43">
        <v>122.7490142977025</v>
      </c>
      <c r="I2507" s="43">
        <v>122.99852667493718</v>
      </c>
    </row>
    <row r="2508" spans="1:9">
      <c r="A2508" s="19">
        <v>610.20000000000005</v>
      </c>
      <c r="B2508" s="43">
        <v>118.3593498830547</v>
      </c>
      <c r="C2508" s="43">
        <v>119.49864106212669</v>
      </c>
      <c r="D2508" s="43">
        <v>120.46355448367154</v>
      </c>
      <c r="E2508" s="43">
        <v>121.26153762871485</v>
      </c>
      <c r="F2508" s="43">
        <v>121.90328449470718</v>
      </c>
      <c r="G2508" s="43">
        <v>122.40126081758521</v>
      </c>
      <c r="H2508" s="43">
        <v>122.76861052898855</v>
      </c>
      <c r="I2508" s="43">
        <v>123.01840632240041</v>
      </c>
    </row>
    <row r="2509" spans="1:9">
      <c r="A2509" s="19">
        <v>610.29999999999995</v>
      </c>
      <c r="B2509" s="43">
        <v>118.37722144426533</v>
      </c>
      <c r="C2509" s="43">
        <v>119.51676824564575</v>
      </c>
      <c r="D2509" s="43">
        <v>120.48196159634168</v>
      </c>
      <c r="E2509" s="43">
        <v>121.28023926579945</v>
      </c>
      <c r="F2509" s="43">
        <v>121.92228675166669</v>
      </c>
      <c r="G2509" s="43">
        <v>122.42056284557239</v>
      </c>
      <c r="H2509" s="43">
        <v>122.78820611401196</v>
      </c>
      <c r="I2509" s="43">
        <v>123.0382853088546</v>
      </c>
    </row>
    <row r="2510" spans="1:9">
      <c r="A2510" s="19">
        <v>610.4</v>
      </c>
      <c r="B2510" s="43">
        <v>118.39509271165412</v>
      </c>
      <c r="C2510" s="43">
        <v>119.53489504812828</v>
      </c>
      <c r="D2510" s="43">
        <v>120.50036824930351</v>
      </c>
      <c r="E2510" s="43">
        <v>121.29894037639929</v>
      </c>
      <c r="F2510" s="43">
        <v>121.9412884288044</v>
      </c>
      <c r="G2510" s="43">
        <v>122.43986425411327</v>
      </c>
      <c r="H2510" s="43">
        <v>122.80780105298805</v>
      </c>
      <c r="I2510" s="43">
        <v>123.05816363451513</v>
      </c>
    </row>
    <row r="2511" spans="1:9">
      <c r="A2511" s="19">
        <v>610.5</v>
      </c>
      <c r="B2511" s="43">
        <v>118.41296368515313</v>
      </c>
      <c r="C2511" s="43">
        <v>119.55302146960736</v>
      </c>
      <c r="D2511" s="43">
        <v>120.51877444258102</v>
      </c>
      <c r="E2511" s="43">
        <v>121.31764096057319</v>
      </c>
      <c r="F2511" s="43">
        <v>121.96028952621461</v>
      </c>
      <c r="G2511" s="43">
        <v>122.45916504329386</v>
      </c>
      <c r="H2511" s="43">
        <v>122.82739534597687</v>
      </c>
      <c r="I2511" s="43">
        <v>123.07804129940536</v>
      </c>
    </row>
    <row r="2512" spans="1:9">
      <c r="A2512" s="19">
        <v>610.6</v>
      </c>
      <c r="B2512" s="43">
        <v>118.43083436498617</v>
      </c>
      <c r="C2512" s="43">
        <v>119.57114751028007</v>
      </c>
      <c r="D2512" s="43">
        <v>120.53718017642771</v>
      </c>
      <c r="E2512" s="43">
        <v>121.33634101853116</v>
      </c>
      <c r="F2512" s="43">
        <v>121.97929004410008</v>
      </c>
      <c r="G2512" s="43">
        <v>122.47846521329555</v>
      </c>
      <c r="H2512" s="43">
        <v>122.84698899314893</v>
      </c>
      <c r="I2512" s="43">
        <v>123.09791830367035</v>
      </c>
    </row>
    <row r="2513" spans="1:9">
      <c r="A2513" s="19">
        <v>610.70000000000005</v>
      </c>
      <c r="B2513" s="43">
        <v>118.44870475155565</v>
      </c>
      <c r="C2513" s="43">
        <v>119.5892731705232</v>
      </c>
      <c r="D2513" s="43">
        <v>120.55558545118603</v>
      </c>
      <c r="E2513" s="43">
        <v>121.35504055060309</v>
      </c>
      <c r="F2513" s="43">
        <v>121.99828998272156</v>
      </c>
      <c r="G2513" s="43">
        <v>122.49776476437015</v>
      </c>
      <c r="H2513" s="43">
        <v>122.86658199472441</v>
      </c>
      <c r="I2513" s="43">
        <v>123.11779464750228</v>
      </c>
    </row>
    <row r="2514" spans="1:9">
      <c r="A2514" s="19">
        <v>610.79999999999995</v>
      </c>
      <c r="B2514" s="43">
        <v>118.46657484478365</v>
      </c>
      <c r="C2514" s="43">
        <v>119.60739845035695</v>
      </c>
      <c r="D2514" s="43">
        <v>120.57399026690797</v>
      </c>
      <c r="E2514" s="43">
        <v>121.37373955685311</v>
      </c>
      <c r="F2514" s="43">
        <v>122.01728934220674</v>
      </c>
      <c r="G2514" s="43">
        <v>122.51706369661733</v>
      </c>
      <c r="H2514" s="43">
        <v>122.88617435075284</v>
      </c>
      <c r="I2514" s="43">
        <v>123.13767033096053</v>
      </c>
    </row>
    <row r="2515" spans="1:9">
      <c r="A2515" s="19">
        <v>610.9</v>
      </c>
      <c r="B2515" s="43">
        <v>118.48444464484305</v>
      </c>
      <c r="C2515" s="43">
        <v>119.62552334994834</v>
      </c>
      <c r="D2515" s="43">
        <v>120.59239462375638</v>
      </c>
      <c r="E2515" s="43">
        <v>121.39243803743275</v>
      </c>
      <c r="F2515" s="43">
        <v>122.03628812267161</v>
      </c>
      <c r="G2515" s="43">
        <v>122.5363620101414</v>
      </c>
      <c r="H2515" s="43">
        <v>122.90576606139311</v>
      </c>
      <c r="I2515" s="43">
        <v>123.1575453541351</v>
      </c>
    </row>
    <row r="2516" spans="1:9">
      <c r="A2516" s="19">
        <v>611</v>
      </c>
      <c r="B2516" s="43">
        <v>118.50231415214725</v>
      </c>
      <c r="C2516" s="43">
        <v>119.64364786970447</v>
      </c>
      <c r="D2516" s="43">
        <v>120.61079852213624</v>
      </c>
      <c r="E2516" s="43">
        <v>121.41113599277</v>
      </c>
      <c r="F2516" s="43">
        <v>122.05528632447513</v>
      </c>
      <c r="G2516" s="43">
        <v>122.55565970530364</v>
      </c>
      <c r="H2516" s="43">
        <v>122.92535712689909</v>
      </c>
      <c r="I2516" s="43">
        <v>123.17741971728429</v>
      </c>
    </row>
    <row r="2517" spans="1:9">
      <c r="A2517" s="19">
        <v>611.1</v>
      </c>
      <c r="B2517" s="43">
        <v>118.52018336666922</v>
      </c>
      <c r="C2517" s="43">
        <v>119.66177200960959</v>
      </c>
      <c r="D2517" s="43">
        <v>120.62920196204513</v>
      </c>
      <c r="E2517" s="43">
        <v>121.42983342283279</v>
      </c>
      <c r="F2517" s="43">
        <v>122.07428394767072</v>
      </c>
      <c r="G2517" s="43">
        <v>122.57495678206917</v>
      </c>
      <c r="H2517" s="43">
        <v>122.94494754729666</v>
      </c>
      <c r="I2517" s="43">
        <v>123.19729342039423</v>
      </c>
    </row>
    <row r="2518" spans="1:9">
      <c r="A2518" s="19">
        <v>611.20000000000005</v>
      </c>
      <c r="B2518" s="43">
        <v>118.53805228855458</v>
      </c>
      <c r="C2518" s="43">
        <v>119.67989576985818</v>
      </c>
      <c r="D2518" s="43">
        <v>120.64760494371021</v>
      </c>
      <c r="E2518" s="43">
        <v>121.44853032787591</v>
      </c>
      <c r="F2518" s="43">
        <v>122.09328099243984</v>
      </c>
      <c r="G2518" s="43">
        <v>122.59425324070079</v>
      </c>
      <c r="H2518" s="43">
        <v>122.96453732276035</v>
      </c>
      <c r="I2518" s="43">
        <v>123.21716646361853</v>
      </c>
    </row>
    <row r="2519" spans="1:9">
      <c r="A2519" s="19">
        <v>611.29999999999995</v>
      </c>
      <c r="B2519" s="43">
        <v>118.55592091817704</v>
      </c>
      <c r="C2519" s="43">
        <v>119.69801915081334</v>
      </c>
      <c r="D2519" s="43">
        <v>120.66600746748585</v>
      </c>
      <c r="E2519" s="43">
        <v>121.46722670820742</v>
      </c>
      <c r="F2519" s="43">
        <v>122.11227745906979</v>
      </c>
      <c r="G2519" s="43">
        <v>122.61354908140098</v>
      </c>
      <c r="H2519" s="43">
        <v>122.98412645347651</v>
      </c>
      <c r="I2519" s="43">
        <v>123.23703884716301</v>
      </c>
    </row>
    <row r="2520" spans="1:9">
      <c r="A2520" s="19">
        <v>611.4</v>
      </c>
      <c r="B2520" s="43">
        <v>118.57378925563552</v>
      </c>
      <c r="C2520" s="43">
        <v>119.71614215261667</v>
      </c>
      <c r="D2520" s="43">
        <v>120.68440953348181</v>
      </c>
      <c r="E2520" s="43">
        <v>121.48592256395102</v>
      </c>
      <c r="F2520" s="43">
        <v>122.13127334770195</v>
      </c>
      <c r="G2520" s="43">
        <v>122.6328443043156</v>
      </c>
      <c r="H2520" s="43">
        <v>123.00371493961825</v>
      </c>
      <c r="I2520" s="43">
        <v>123.25691057110356</v>
      </c>
    </row>
    <row r="2521" spans="1:9">
      <c r="A2521" s="19">
        <v>611.5</v>
      </c>
      <c r="B2521" s="43">
        <v>118.59165730106616</v>
      </c>
      <c r="C2521" s="43">
        <v>119.73426477540627</v>
      </c>
      <c r="D2521" s="43">
        <v>120.70281114187588</v>
      </c>
      <c r="E2521" s="43">
        <v>121.50461789528197</v>
      </c>
      <c r="F2521" s="43">
        <v>122.15026865850024</v>
      </c>
      <c r="G2521" s="43">
        <v>122.65213890959853</v>
      </c>
      <c r="H2521" s="43">
        <v>123.02330278128608</v>
      </c>
      <c r="I2521" s="43">
        <v>123.27678163554776</v>
      </c>
    </row>
    <row r="2522" spans="1:9">
      <c r="A2522" s="19">
        <v>611.6</v>
      </c>
      <c r="B2522" s="43">
        <v>118.60952505454722</v>
      </c>
      <c r="C2522" s="43">
        <v>119.75238701930559</v>
      </c>
      <c r="D2522" s="43">
        <v>120.72121229281058</v>
      </c>
      <c r="E2522" s="43">
        <v>121.52331270234919</v>
      </c>
      <c r="F2522" s="43">
        <v>122.16926339161185</v>
      </c>
      <c r="G2522" s="43">
        <v>122.67143289736782</v>
      </c>
      <c r="H2522" s="43">
        <v>123.04288997857091</v>
      </c>
      <c r="I2522" s="43">
        <v>123.29665204059182</v>
      </c>
    </row>
    <row r="2523" spans="1:9">
      <c r="A2523" s="19">
        <v>611.70000000000005</v>
      </c>
      <c r="B2523" s="43">
        <v>118.62739251656515</v>
      </c>
      <c r="C2523" s="43">
        <v>119.77050888474358</v>
      </c>
      <c r="D2523" s="43">
        <v>120.73961298670196</v>
      </c>
      <c r="E2523" s="43">
        <v>121.54200698556022</v>
      </c>
      <c r="F2523" s="43">
        <v>122.18825754737114</v>
      </c>
      <c r="G2523" s="43">
        <v>122.69072626793178</v>
      </c>
      <c r="H2523" s="43">
        <v>123.06247653177877</v>
      </c>
      <c r="I2523" s="43">
        <v>123.31652178648653</v>
      </c>
    </row>
    <row r="2524" spans="1:9">
      <c r="A2524" s="19">
        <v>611.79999999999995</v>
      </c>
      <c r="B2524" s="43">
        <v>118.64525968698314</v>
      </c>
      <c r="C2524" s="43">
        <v>119.78863037171786</v>
      </c>
      <c r="D2524" s="43">
        <v>120.75801322352063</v>
      </c>
      <c r="E2524" s="43">
        <v>121.56070074488809</v>
      </c>
      <c r="F2524" s="43">
        <v>122.20725112582326</v>
      </c>
      <c r="G2524" s="43">
        <v>122.71001902133645</v>
      </c>
      <c r="H2524" s="43">
        <v>123.08206244092173</v>
      </c>
      <c r="I2524" s="43">
        <v>123.33639087322933</v>
      </c>
    </row>
    <row r="2525" spans="1:9">
      <c r="A2525" s="19">
        <v>611.9</v>
      </c>
      <c r="B2525" s="43">
        <v>118.66312656607968</v>
      </c>
      <c r="C2525" s="43">
        <v>119.80675148040314</v>
      </c>
      <c r="D2525" s="43">
        <v>120.77641300355145</v>
      </c>
      <c r="E2525" s="43">
        <v>121.57939398059489</v>
      </c>
      <c r="F2525" s="43">
        <v>122.22624412718343</v>
      </c>
      <c r="G2525" s="43">
        <v>122.72931115775188</v>
      </c>
      <c r="H2525" s="43">
        <v>123.10164770617018</v>
      </c>
      <c r="I2525" s="43">
        <v>123.35625930095665</v>
      </c>
    </row>
    <row r="2526" spans="1:9">
      <c r="A2526" s="19">
        <v>612</v>
      </c>
      <c r="B2526" s="43">
        <v>118.68099315415398</v>
      </c>
      <c r="C2526" s="43">
        <v>119.82487221118549</v>
      </c>
      <c r="D2526" s="43">
        <v>120.79481232708932</v>
      </c>
      <c r="E2526" s="43">
        <v>121.598086692984</v>
      </c>
      <c r="F2526" s="43">
        <v>122.24523655171728</v>
      </c>
      <c r="G2526" s="43">
        <v>122.74860267748068</v>
      </c>
      <c r="H2526" s="43">
        <v>123.1212323277488</v>
      </c>
      <c r="I2526" s="43">
        <v>123.37612706988861</v>
      </c>
    </row>
    <row r="2527" spans="1:9">
      <c r="A2527" s="19">
        <v>612.1</v>
      </c>
      <c r="B2527" s="43">
        <v>118.69885945122147</v>
      </c>
      <c r="C2527" s="43">
        <v>119.84299256408795</v>
      </c>
      <c r="D2527" s="43">
        <v>120.81321119417555</v>
      </c>
      <c r="E2527" s="43">
        <v>121.61677888208862</v>
      </c>
      <c r="F2527" s="43">
        <v>122.26422839950214</v>
      </c>
      <c r="G2527" s="43">
        <v>122.76789358052679</v>
      </c>
      <c r="H2527" s="43">
        <v>123.14081630571249</v>
      </c>
      <c r="I2527" s="43">
        <v>123.3959941800471</v>
      </c>
    </row>
    <row r="2528" spans="1:9">
      <c r="A2528" s="19">
        <v>612.20000000000005</v>
      </c>
      <c r="B2528" s="43">
        <v>118.71672545748808</v>
      </c>
      <c r="C2528" s="43">
        <v>119.86111253935448</v>
      </c>
      <c r="D2528" s="43">
        <v>120.83160960511697</v>
      </c>
      <c r="E2528" s="43">
        <v>121.63547054821694</v>
      </c>
      <c r="F2528" s="43">
        <v>122.28321967079813</v>
      </c>
      <c r="G2528" s="43">
        <v>122.7871838671594</v>
      </c>
      <c r="H2528" s="43">
        <v>123.16039964027425</v>
      </c>
      <c r="I2528" s="43">
        <v>123.41586063161358</v>
      </c>
    </row>
    <row r="2529" spans="1:9">
      <c r="A2529" s="19">
        <v>612.29999999999995</v>
      </c>
      <c r="B2529" s="43">
        <v>118.73459117325623</v>
      </c>
      <c r="C2529" s="43">
        <v>119.87923213724565</v>
      </c>
      <c r="D2529" s="43">
        <v>120.85000756011721</v>
      </c>
      <c r="E2529" s="43">
        <v>121.65416169158567</v>
      </c>
      <c r="F2529" s="43">
        <v>122.30221036579206</v>
      </c>
      <c r="G2529" s="43">
        <v>122.80647353755771</v>
      </c>
      <c r="H2529" s="43">
        <v>123.17998233157414</v>
      </c>
      <c r="I2529" s="43">
        <v>123.43572642471003</v>
      </c>
    </row>
    <row r="2530" spans="1:9">
      <c r="A2530" s="19">
        <v>612.4</v>
      </c>
      <c r="B2530" s="43">
        <v>118.75245659856941</v>
      </c>
      <c r="C2530" s="43">
        <v>119.89735135786864</v>
      </c>
      <c r="D2530" s="43">
        <v>120.8684050593472</v>
      </c>
      <c r="E2530" s="43">
        <v>121.67285231231264</v>
      </c>
      <c r="F2530" s="43">
        <v>122.32120048464256</v>
      </c>
      <c r="G2530" s="43">
        <v>122.82576259183924</v>
      </c>
      <c r="H2530" s="43">
        <v>123.19956437974022</v>
      </c>
      <c r="I2530" s="43">
        <v>123.45559155944261</v>
      </c>
    </row>
    <row r="2531" spans="1:9">
      <c r="A2531" s="19">
        <v>612.5</v>
      </c>
      <c r="B2531" s="43">
        <v>118.77032173350443</v>
      </c>
      <c r="C2531" s="43">
        <v>119.91547020134476</v>
      </c>
      <c r="D2531" s="43">
        <v>120.88680210290227</v>
      </c>
      <c r="E2531" s="43">
        <v>121.69154241055364</v>
      </c>
      <c r="F2531" s="43">
        <v>122.34019002745819</v>
      </c>
      <c r="G2531" s="43">
        <v>122.84505103011421</v>
      </c>
      <c r="H2531" s="43">
        <v>123.2191457848719</v>
      </c>
      <c r="I2531" s="43">
        <v>123.47545603591098</v>
      </c>
    </row>
    <row r="2532" spans="1:9">
      <c r="A2532" s="19">
        <v>612.6</v>
      </c>
      <c r="B2532" s="43">
        <v>118.78818657857997</v>
      </c>
      <c r="C2532" s="43">
        <v>119.93358866811192</v>
      </c>
      <c r="D2532" s="43">
        <v>120.90519869119979</v>
      </c>
      <c r="E2532" s="43">
        <v>121.71023198668124</v>
      </c>
      <c r="F2532" s="43">
        <v>122.35917899460276</v>
      </c>
      <c r="G2532" s="43">
        <v>122.864338852739</v>
      </c>
      <c r="H2532" s="43">
        <v>123.23872654725963</v>
      </c>
      <c r="I2532" s="43">
        <v>123.49531985432375</v>
      </c>
    </row>
    <row r="2533" spans="1:9">
      <c r="A2533" s="19">
        <v>612.70000000000005</v>
      </c>
      <c r="B2533" s="43">
        <v>118.80605113375196</v>
      </c>
      <c r="C2533" s="43">
        <v>119.95170675821819</v>
      </c>
      <c r="D2533" s="43">
        <v>120.92359482434998</v>
      </c>
      <c r="E2533" s="43">
        <v>121.7289210408299</v>
      </c>
      <c r="F2533" s="43">
        <v>122.37816738619904</v>
      </c>
      <c r="G2533" s="43">
        <v>122.88362605976985</v>
      </c>
      <c r="H2533" s="43">
        <v>123.25830666695924</v>
      </c>
      <c r="I2533" s="43">
        <v>123.51518301476474</v>
      </c>
    </row>
    <row r="2534" spans="1:9">
      <c r="A2534" s="19">
        <v>612.79999999999995</v>
      </c>
      <c r="B2534" s="43">
        <v>118.82391539908153</v>
      </c>
      <c r="C2534" s="43">
        <v>119.96982447173858</v>
      </c>
      <c r="D2534" s="43">
        <v>120.94199050243279</v>
      </c>
      <c r="E2534" s="43">
        <v>121.747609573039</v>
      </c>
      <c r="F2534" s="43">
        <v>122.39715520231897</v>
      </c>
      <c r="G2534" s="43">
        <v>122.90291265130429</v>
      </c>
      <c r="H2534" s="43">
        <v>123.27788614406421</v>
      </c>
      <c r="I2534" s="43">
        <v>123.5350455172933</v>
      </c>
    </row>
    <row r="2535" spans="1:9">
      <c r="A2535" s="19">
        <v>612.9</v>
      </c>
      <c r="B2535" s="43">
        <v>118.84177937501778</v>
      </c>
      <c r="C2535" s="43">
        <v>119.98794180914436</v>
      </c>
      <c r="D2535" s="43">
        <v>120.96038572585161</v>
      </c>
      <c r="E2535" s="43">
        <v>121.76629758375444</v>
      </c>
      <c r="F2535" s="43">
        <v>122.41614244331541</v>
      </c>
      <c r="G2535" s="43">
        <v>122.92219862767811</v>
      </c>
      <c r="H2535" s="43">
        <v>123.29746497884855</v>
      </c>
      <c r="I2535" s="43">
        <v>123.55490736215259</v>
      </c>
    </row>
    <row r="2536" spans="1:9">
      <c r="A2536" s="19">
        <v>613</v>
      </c>
      <c r="B2536" s="43">
        <v>118.85964306150868</v>
      </c>
      <c r="C2536" s="43">
        <v>120.00605877037881</v>
      </c>
      <c r="D2536" s="43">
        <v>120.97878049463037</v>
      </c>
      <c r="E2536" s="43">
        <v>121.78498507296572</v>
      </c>
      <c r="F2536" s="43">
        <v>122.43512910922146</v>
      </c>
      <c r="G2536" s="43">
        <v>122.94148398892256</v>
      </c>
      <c r="H2536" s="43">
        <v>123.31704317137903</v>
      </c>
      <c r="I2536" s="43">
        <v>123.57476854937329</v>
      </c>
    </row>
    <row r="2537" spans="1:9">
      <c r="A2537" s="19">
        <v>613.1</v>
      </c>
      <c r="B2537" s="43">
        <v>118.87750645881491</v>
      </c>
      <c r="C2537" s="43">
        <v>120.02417535570856</v>
      </c>
      <c r="D2537" s="43">
        <v>120.99717480902697</v>
      </c>
      <c r="E2537" s="43">
        <v>121.80367204093196</v>
      </c>
      <c r="F2537" s="43">
        <v>122.45411520031379</v>
      </c>
      <c r="G2537" s="43">
        <v>122.96076873523648</v>
      </c>
      <c r="H2537" s="43">
        <v>123.33662072178629</v>
      </c>
      <c r="I2537" s="43">
        <v>123.59462907908028</v>
      </c>
    </row>
    <row r="2538" spans="1:9">
      <c r="A2538" s="19">
        <v>613.20000000000005</v>
      </c>
      <c r="B2538" s="43">
        <v>118.89536956725567</v>
      </c>
      <c r="C2538" s="43">
        <v>120.04229156548516</v>
      </c>
      <c r="D2538" s="43">
        <v>121.01556866938046</v>
      </c>
      <c r="E2538" s="43">
        <v>121.82235848798302</v>
      </c>
      <c r="F2538" s="43">
        <v>122.47310071685337</v>
      </c>
      <c r="G2538" s="43">
        <v>122.98005286689826</v>
      </c>
      <c r="H2538" s="43">
        <v>123.35619763034313</v>
      </c>
      <c r="I2538" s="43">
        <v>123.61448895152449</v>
      </c>
    </row>
    <row r="2539" spans="1:9">
      <c r="A2539" s="19">
        <v>613.29999999999995</v>
      </c>
      <c r="B2539" s="43">
        <v>118.91323238674875</v>
      </c>
      <c r="C2539" s="43">
        <v>120.06040739967088</v>
      </c>
      <c r="D2539" s="43">
        <v>121.03396207568844</v>
      </c>
      <c r="E2539" s="43">
        <v>121.84104441411708</v>
      </c>
      <c r="F2539" s="43">
        <v>122.49208565884413</v>
      </c>
      <c r="G2539" s="43">
        <v>122.99933638391443</v>
      </c>
      <c r="H2539" s="43">
        <v>123.37577389705143</v>
      </c>
      <c r="I2539" s="43">
        <v>123.63434816669218</v>
      </c>
    </row>
    <row r="2540" spans="1:9">
      <c r="A2540" s="19">
        <v>613.4</v>
      </c>
      <c r="B2540" s="43">
        <v>118.93109491754407</v>
      </c>
      <c r="C2540" s="43">
        <v>120.07852285850592</v>
      </c>
      <c r="D2540" s="43">
        <v>121.052355028173</v>
      </c>
      <c r="E2540" s="43">
        <v>121.85972981960202</v>
      </c>
      <c r="F2540" s="43">
        <v>122.51107002655775</v>
      </c>
      <c r="G2540" s="43">
        <v>123.01861928652269</v>
      </c>
      <c r="H2540" s="43">
        <v>123.39534952211125</v>
      </c>
      <c r="I2540" s="43">
        <v>123.65420672473454</v>
      </c>
    </row>
    <row r="2541" spans="1:9">
      <c r="A2541" s="19">
        <v>613.5</v>
      </c>
      <c r="B2541" s="43">
        <v>118.94895715997717</v>
      </c>
      <c r="C2541" s="43">
        <v>120.09663794235698</v>
      </c>
      <c r="D2541" s="43">
        <v>121.0707475272113</v>
      </c>
      <c r="E2541" s="43">
        <v>121.87841470473134</v>
      </c>
      <c r="F2541" s="43">
        <v>122.53005382023383</v>
      </c>
      <c r="G2541" s="43">
        <v>123.03790157495013</v>
      </c>
      <c r="H2541" s="43">
        <v>123.41492450573452</v>
      </c>
      <c r="I2541" s="43">
        <v>123.67406462584398</v>
      </c>
    </row>
    <row r="2542" spans="1:9">
      <c r="A2542" s="19">
        <v>613.6</v>
      </c>
      <c r="B2542" s="43">
        <v>118.96681911410292</v>
      </c>
      <c r="C2542" s="43">
        <v>120.11475265127015</v>
      </c>
      <c r="D2542" s="43">
        <v>121.0891395728581</v>
      </c>
      <c r="E2542" s="43">
        <v>121.89709906960721</v>
      </c>
      <c r="F2542" s="43">
        <v>122.54903704001617</v>
      </c>
      <c r="G2542" s="43">
        <v>123.0571832493201</v>
      </c>
      <c r="H2542" s="43">
        <v>123.43449884800572</v>
      </c>
      <c r="I2542" s="43">
        <v>123.69392187011007</v>
      </c>
    </row>
    <row r="2543" spans="1:9">
      <c r="A2543" s="19">
        <v>613.70000000000005</v>
      </c>
      <c r="B2543" s="43">
        <v>118.98468078000059</v>
      </c>
      <c r="C2543" s="43">
        <v>120.13286698534623</v>
      </c>
      <c r="D2543" s="43">
        <v>121.10753116526121</v>
      </c>
      <c r="E2543" s="43">
        <v>121.91578291436522</v>
      </c>
      <c r="F2543" s="43">
        <v>122.56801968601911</v>
      </c>
      <c r="G2543" s="43">
        <v>123.07646430972522</v>
      </c>
      <c r="H2543" s="43">
        <v>123.45407254902898</v>
      </c>
      <c r="I2543" s="43">
        <v>123.71377845757803</v>
      </c>
    </row>
    <row r="2544" spans="1:9">
      <c r="A2544" s="19">
        <v>613.79999999999995</v>
      </c>
      <c r="B2544" s="43">
        <v>119.00254215803051</v>
      </c>
      <c r="C2544" s="43">
        <v>120.15098094502295</v>
      </c>
      <c r="D2544" s="43">
        <v>121.12592230477662</v>
      </c>
      <c r="E2544" s="43">
        <v>121.93446623936561</v>
      </c>
      <c r="F2544" s="43">
        <v>122.5870017585811</v>
      </c>
      <c r="G2544" s="43">
        <v>123.0957447564729</v>
      </c>
      <c r="H2544" s="43">
        <v>123.47364560906783</v>
      </c>
      <c r="I2544" s="43">
        <v>123.73363438852377</v>
      </c>
    </row>
    <row r="2545" spans="1:9">
      <c r="A2545" s="19">
        <v>613.9</v>
      </c>
      <c r="B2545" s="43">
        <v>119.02040324834894</v>
      </c>
      <c r="C2545" s="43">
        <v>120.16909453039929</v>
      </c>
      <c r="D2545" s="43">
        <v>121.14431299157934</v>
      </c>
      <c r="E2545" s="43">
        <v>121.95314904476092</v>
      </c>
      <c r="F2545" s="43">
        <v>122.60598325782126</v>
      </c>
      <c r="G2545" s="43">
        <v>123.11502458969176</v>
      </c>
      <c r="H2545" s="43">
        <v>123.49321802822624</v>
      </c>
      <c r="I2545" s="43">
        <v>123.7534896629877</v>
      </c>
    </row>
    <row r="2546" spans="1:9">
      <c r="A2546" s="19">
        <v>614</v>
      </c>
      <c r="B2546" s="43">
        <v>119.03826405097848</v>
      </c>
      <c r="C2546" s="43">
        <v>120.18720774156029</v>
      </c>
      <c r="D2546" s="43">
        <v>121.16270322576983</v>
      </c>
      <c r="E2546" s="43">
        <v>121.97183133064749</v>
      </c>
      <c r="F2546" s="43">
        <v>122.6249641838659</v>
      </c>
      <c r="G2546" s="43">
        <v>123.13430380949615</v>
      </c>
      <c r="H2546" s="43">
        <v>123.51278980662022</v>
      </c>
      <c r="I2546" s="43">
        <v>123.77334428108401</v>
      </c>
    </row>
    <row r="2547" spans="1:9">
      <c r="A2547" s="19">
        <v>614.1</v>
      </c>
      <c r="B2547" s="43">
        <v>119.05612456618394</v>
      </c>
      <c r="C2547" s="43">
        <v>120.20532057873262</v>
      </c>
      <c r="D2547" s="43">
        <v>121.18109300755887</v>
      </c>
      <c r="E2547" s="43">
        <v>121.9905130972557</v>
      </c>
      <c r="F2547" s="43">
        <v>122.64394453691361</v>
      </c>
      <c r="G2547" s="43">
        <v>123.1535824160521</v>
      </c>
      <c r="H2547" s="43">
        <v>123.53236094438731</v>
      </c>
      <c r="I2547" s="43">
        <v>123.79319824293384</v>
      </c>
    </row>
    <row r="2548" spans="1:9">
      <c r="A2548" s="19">
        <v>614.20000000000005</v>
      </c>
      <c r="B2548" s="43">
        <v>119.07398479424197</v>
      </c>
      <c r="C2548" s="43">
        <v>120.22343304226604</v>
      </c>
      <c r="D2548" s="43">
        <v>121.19948233726237</v>
      </c>
      <c r="E2548" s="43">
        <v>122.00919434488384</v>
      </c>
      <c r="F2548" s="43">
        <v>122.66292431726282</v>
      </c>
      <c r="G2548" s="43">
        <v>123.17286040964348</v>
      </c>
      <c r="H2548" s="43">
        <v>123.55193144175865</v>
      </c>
      <c r="I2548" s="43">
        <v>123.81305154873533</v>
      </c>
    </row>
    <row r="2549" spans="1:9">
      <c r="A2549" s="19">
        <v>614.29999999999995</v>
      </c>
      <c r="B2549" s="43">
        <v>119.09184473520608</v>
      </c>
      <c r="C2549" s="43">
        <v>120.24154513223709</v>
      </c>
      <c r="D2549" s="43">
        <v>121.21787121502214</v>
      </c>
      <c r="E2549" s="43">
        <v>122.02787507366062</v>
      </c>
      <c r="F2549" s="43">
        <v>122.68190352501389</v>
      </c>
      <c r="G2549" s="43">
        <v>123.19213779034561</v>
      </c>
      <c r="H2549" s="43">
        <v>123.5715012988413</v>
      </c>
      <c r="I2549" s="43">
        <v>123.8329041985692</v>
      </c>
    </row>
    <row r="2550" spans="1:9">
      <c r="A2550" s="19">
        <v>614.4</v>
      </c>
      <c r="B2550" s="43">
        <v>119.10970438917272</v>
      </c>
      <c r="C2550" s="43">
        <v>120.25965684874598</v>
      </c>
      <c r="D2550" s="43">
        <v>121.23625964092324</v>
      </c>
      <c r="E2550" s="43">
        <v>122.04655528370404</v>
      </c>
      <c r="F2550" s="43">
        <v>122.70088216029302</v>
      </c>
      <c r="G2550" s="43">
        <v>123.21141455829661</v>
      </c>
      <c r="H2550" s="43">
        <v>123.59107051571783</v>
      </c>
      <c r="I2550" s="43">
        <v>123.85275619250635</v>
      </c>
    </row>
    <row r="2551" spans="1:9">
      <c r="A2551" s="19">
        <v>614.5</v>
      </c>
      <c r="B2551" s="43">
        <v>119.12756375651057</v>
      </c>
      <c r="C2551" s="43">
        <v>120.2777681921427</v>
      </c>
      <c r="D2551" s="43">
        <v>121.25464761535227</v>
      </c>
      <c r="E2551" s="43">
        <v>122.06523497534573</v>
      </c>
      <c r="F2551" s="43">
        <v>122.71986022341892</v>
      </c>
      <c r="G2551" s="43">
        <v>123.23069071377077</v>
      </c>
      <c r="H2551" s="43">
        <v>123.61063909265232</v>
      </c>
      <c r="I2551" s="43">
        <v>123.87260753076725</v>
      </c>
    </row>
    <row r="2552" spans="1:9">
      <c r="A2552" s="19">
        <v>614.6</v>
      </c>
      <c r="B2552" s="43">
        <v>119.14542283735216</v>
      </c>
      <c r="C2552" s="43">
        <v>120.2958791625978</v>
      </c>
      <c r="D2552" s="43">
        <v>121.27303513841861</v>
      </c>
      <c r="E2552" s="43">
        <v>122.08391414874325</v>
      </c>
      <c r="F2552" s="43">
        <v>122.73883771451247</v>
      </c>
      <c r="G2552" s="43">
        <v>123.24996625687996</v>
      </c>
      <c r="H2552" s="43">
        <v>123.63020702972659</v>
      </c>
      <c r="I2552" s="43">
        <v>123.89245821343422</v>
      </c>
    </row>
    <row r="2553" spans="1:9">
      <c r="A2553" s="19">
        <v>614.70000000000005</v>
      </c>
      <c r="B2553" s="43">
        <v>119.16328163163749</v>
      </c>
      <c r="C2553" s="43">
        <v>120.31398976013284</v>
      </c>
      <c r="D2553" s="43">
        <v>121.29142221019379</v>
      </c>
      <c r="E2553" s="43">
        <v>122.10259280397696</v>
      </c>
      <c r="F2553" s="43">
        <v>122.75781463366673</v>
      </c>
      <c r="G2553" s="43">
        <v>123.26924118770188</v>
      </c>
      <c r="H2553" s="43">
        <v>123.64977432703213</v>
      </c>
      <c r="I2553" s="43">
        <v>123.91230824056987</v>
      </c>
    </row>
    <row r="2554" spans="1:9">
      <c r="A2554" s="19">
        <v>614.79999999999995</v>
      </c>
      <c r="B2554" s="43">
        <v>119.18114013996168</v>
      </c>
      <c r="C2554" s="43">
        <v>120.33209998525442</v>
      </c>
      <c r="D2554" s="43">
        <v>121.30980883118565</v>
      </c>
      <c r="E2554" s="43">
        <v>122.12127094149614</v>
      </c>
      <c r="F2554" s="43">
        <v>122.77679098130528</v>
      </c>
      <c r="G2554" s="43">
        <v>123.28851550663774</v>
      </c>
      <c r="H2554" s="43">
        <v>123.66934098488701</v>
      </c>
      <c r="I2554" s="43">
        <v>123.93215761247498</v>
      </c>
    </row>
    <row r="2555" spans="1:9">
      <c r="A2555" s="19">
        <v>614.9</v>
      </c>
      <c r="B2555" s="43">
        <v>119.19899836215086</v>
      </c>
      <c r="C2555" s="43">
        <v>120.35020983790992</v>
      </c>
      <c r="D2555" s="43">
        <v>121.32819500136054</v>
      </c>
      <c r="E2555" s="43">
        <v>122.13994856125183</v>
      </c>
      <c r="F2555" s="43">
        <v>122.79576675741129</v>
      </c>
      <c r="G2555" s="43">
        <v>123.30778921365501</v>
      </c>
      <c r="H2555" s="43">
        <v>123.68890700329763</v>
      </c>
      <c r="I2555" s="43">
        <v>123.95200632910968</v>
      </c>
    </row>
    <row r="2556" spans="1:9">
      <c r="A2556" s="19">
        <v>615</v>
      </c>
      <c r="B2556" s="43">
        <v>119.21685629846152</v>
      </c>
      <c r="C2556" s="43">
        <v>120.36831931824102</v>
      </c>
      <c r="D2556" s="43">
        <v>121.34658072091185</v>
      </c>
      <c r="E2556" s="43">
        <v>122.15862566348875</v>
      </c>
      <c r="F2556" s="43">
        <v>122.81474196218738</v>
      </c>
      <c r="G2556" s="43">
        <v>123.32706230897375</v>
      </c>
      <c r="H2556" s="43">
        <v>123.70847238243374</v>
      </c>
      <c r="I2556" s="43">
        <v>123.97185439064179</v>
      </c>
    </row>
    <row r="2557" spans="1:9">
      <c r="A2557" s="19">
        <v>615.1</v>
      </c>
      <c r="B2557" s="43">
        <v>119.23471394922885</v>
      </c>
      <c r="C2557" s="43">
        <v>120.38642842673266</v>
      </c>
      <c r="D2557" s="43">
        <v>121.36496599019461</v>
      </c>
      <c r="E2557" s="43">
        <v>122.17730224856206</v>
      </c>
      <c r="F2557" s="43">
        <v>122.83371659594033</v>
      </c>
      <c r="G2557" s="43">
        <v>123.34633479283229</v>
      </c>
      <c r="H2557" s="43">
        <v>123.72803712250348</v>
      </c>
      <c r="I2557" s="43">
        <v>123.99170179724229</v>
      </c>
    </row>
    <row r="2558" spans="1:9">
      <c r="A2558" s="19">
        <v>615.20000000000005</v>
      </c>
      <c r="B2558" s="43">
        <v>119.25257131440668</v>
      </c>
      <c r="C2558" s="43">
        <v>120.40453716330163</v>
      </c>
      <c r="D2558" s="43">
        <v>121.38335080924799</v>
      </c>
      <c r="E2558" s="43">
        <v>122.19597831648568</v>
      </c>
      <c r="F2558" s="43">
        <v>122.85269065873723</v>
      </c>
      <c r="G2558" s="43">
        <v>123.36560666530733</v>
      </c>
      <c r="H2558" s="43">
        <v>123.74760122359919</v>
      </c>
      <c r="I2558" s="43">
        <v>124.01154854896393</v>
      </c>
    </row>
    <row r="2559" spans="1:9">
      <c r="A2559" s="19">
        <v>615.29999999999995</v>
      </c>
      <c r="B2559" s="43">
        <v>119.27042839421327</v>
      </c>
      <c r="C2559" s="43">
        <v>120.42264552817733</v>
      </c>
      <c r="D2559" s="43">
        <v>121.40173517830638</v>
      </c>
      <c r="E2559" s="43">
        <v>122.21465386747386</v>
      </c>
      <c r="F2559" s="43">
        <v>122.87166415075589</v>
      </c>
      <c r="G2559" s="43">
        <v>123.38487792655633</v>
      </c>
      <c r="H2559" s="43">
        <v>123.76716468584061</v>
      </c>
      <c r="I2559" s="43">
        <v>124.03139464597561</v>
      </c>
    </row>
    <row r="2560" spans="1:9">
      <c r="A2560" s="19">
        <v>615.4</v>
      </c>
      <c r="B2560" s="43">
        <v>119.28828518902307</v>
      </c>
      <c r="C2560" s="43">
        <v>120.44075352178609</v>
      </c>
      <c r="D2560" s="43">
        <v>121.42011909772353</v>
      </c>
      <c r="E2560" s="43">
        <v>122.23332890189334</v>
      </c>
      <c r="F2560" s="43">
        <v>122.89063707233987</v>
      </c>
      <c r="G2560" s="43">
        <v>123.40414857691599</v>
      </c>
      <c r="H2560" s="43">
        <v>123.78672750954155</v>
      </c>
      <c r="I2560" s="43">
        <v>124.05124008846369</v>
      </c>
    </row>
    <row r="2561" spans="1:9">
      <c r="A2561" s="19">
        <v>615.5</v>
      </c>
      <c r="B2561" s="43">
        <v>119.30614169877057</v>
      </c>
      <c r="C2561" s="43">
        <v>120.45886114403592</v>
      </c>
      <c r="D2561" s="43">
        <v>121.43850256751344</v>
      </c>
      <c r="E2561" s="43">
        <v>122.25200341977347</v>
      </c>
      <c r="F2561" s="43">
        <v>122.90960942351944</v>
      </c>
      <c r="G2561" s="43">
        <v>123.42341861636783</v>
      </c>
      <c r="H2561" s="43">
        <v>123.80628969465135</v>
      </c>
      <c r="I2561" s="43">
        <v>124.07108487644609</v>
      </c>
    </row>
    <row r="2562" spans="1:9">
      <c r="A2562" s="19">
        <v>615.6</v>
      </c>
      <c r="B2562" s="43">
        <v>119.32399792369091</v>
      </c>
      <c r="C2562" s="43">
        <v>120.47696839520086</v>
      </c>
      <c r="D2562" s="43">
        <v>121.45688558788683</v>
      </c>
      <c r="E2562" s="43">
        <v>122.27067742130163</v>
      </c>
      <c r="F2562" s="43">
        <v>122.92858120449816</v>
      </c>
      <c r="G2562" s="43">
        <v>123.44268804514866</v>
      </c>
      <c r="H2562" s="43">
        <v>123.8258512413932</v>
      </c>
      <c r="I2562" s="43">
        <v>124.09092901008009</v>
      </c>
    </row>
    <row r="2563" spans="1:9">
      <c r="A2563" s="19">
        <v>615.70000000000005</v>
      </c>
      <c r="B2563" s="43">
        <v>119.34185386410715</v>
      </c>
      <c r="C2563" s="43">
        <v>120.49507527560422</v>
      </c>
      <c r="D2563" s="43">
        <v>121.47526815920796</v>
      </c>
      <c r="E2563" s="43">
        <v>122.2893509068472</v>
      </c>
      <c r="F2563" s="43">
        <v>122.94755241556675</v>
      </c>
      <c r="G2563" s="43">
        <v>123.46195686349921</v>
      </c>
      <c r="H2563" s="43">
        <v>123.84541214999552</v>
      </c>
      <c r="I2563" s="43">
        <v>124.11077248955192</v>
      </c>
    </row>
    <row r="2564" spans="1:9">
      <c r="A2564" s="19">
        <v>615.79999999999995</v>
      </c>
      <c r="B2564" s="43">
        <v>119.35970952000645</v>
      </c>
      <c r="C2564" s="43">
        <v>120.51318178528734</v>
      </c>
      <c r="D2564" s="43">
        <v>121.4936502814667</v>
      </c>
      <c r="E2564" s="43">
        <v>122.30802387640296</v>
      </c>
      <c r="F2564" s="43">
        <v>122.96652305678199</v>
      </c>
      <c r="G2564" s="43">
        <v>123.48122507145908</v>
      </c>
      <c r="H2564" s="43">
        <v>123.8649724204864</v>
      </c>
      <c r="I2564" s="43">
        <v>124.13061531491076</v>
      </c>
    </row>
    <row r="2565" spans="1:9">
      <c r="A2565" s="19">
        <v>615.9</v>
      </c>
      <c r="B2565" s="43">
        <v>119.377564891568</v>
      </c>
      <c r="C2565" s="43">
        <v>120.53128792443306</v>
      </c>
      <c r="D2565" s="43">
        <v>121.51203195495407</v>
      </c>
      <c r="E2565" s="43">
        <v>122.32669633022607</v>
      </c>
      <c r="F2565" s="43">
        <v>122.98549312835834</v>
      </c>
      <c r="G2565" s="43">
        <v>123.50049266925149</v>
      </c>
      <c r="H2565" s="43">
        <v>123.88453205304938</v>
      </c>
      <c r="I2565" s="43">
        <v>124.15045748630803</v>
      </c>
    </row>
    <row r="2566" spans="1:9">
      <c r="A2566" s="19">
        <v>616</v>
      </c>
      <c r="B2566" s="43">
        <v>119.39541997915623</v>
      </c>
      <c r="C2566" s="43">
        <v>120.54939369341807</v>
      </c>
      <c r="D2566" s="43">
        <v>121.53041317996122</v>
      </c>
      <c r="E2566" s="43">
        <v>122.34536826867094</v>
      </c>
      <c r="F2566" s="43">
        <v>123.00446263061414</v>
      </c>
      <c r="G2566" s="43">
        <v>123.51975965712697</v>
      </c>
      <c r="H2566" s="43">
        <v>123.90409104791061</v>
      </c>
      <c r="I2566" s="43">
        <v>124.17029900392285</v>
      </c>
    </row>
    <row r="2567" spans="1:9">
      <c r="A2567" s="19">
        <v>616.1</v>
      </c>
      <c r="B2567" s="43">
        <v>119.4132747827874</v>
      </c>
      <c r="C2567" s="43">
        <v>120.56749909225371</v>
      </c>
      <c r="D2567" s="43">
        <v>121.54879395656926</v>
      </c>
      <c r="E2567" s="43">
        <v>122.36403969172241</v>
      </c>
      <c r="F2567" s="43">
        <v>123.02343156355715</v>
      </c>
      <c r="G2567" s="43">
        <v>123.53902603514237</v>
      </c>
      <c r="H2567" s="43">
        <v>123.92364940513025</v>
      </c>
      <c r="I2567" s="43">
        <v>124.19013986780584</v>
      </c>
    </row>
    <row r="2568" spans="1:9">
      <c r="A2568" s="19">
        <v>616.20000000000005</v>
      </c>
      <c r="B2568" s="43">
        <v>119.4311293025595</v>
      </c>
      <c r="C2568" s="43">
        <v>120.58560412110057</v>
      </c>
      <c r="D2568" s="43">
        <v>121.56717428493155</v>
      </c>
      <c r="E2568" s="43">
        <v>122.38271059960795</v>
      </c>
      <c r="F2568" s="43">
        <v>123.04239992743496</v>
      </c>
      <c r="G2568" s="43">
        <v>123.55829180347399</v>
      </c>
      <c r="H2568" s="43">
        <v>123.94320712483798</v>
      </c>
      <c r="I2568" s="43">
        <v>124.20998007808578</v>
      </c>
    </row>
    <row r="2569" spans="1:9">
      <c r="A2569" s="19">
        <v>616.29999999999995</v>
      </c>
      <c r="B2569" s="43">
        <v>119.44898353882513</v>
      </c>
      <c r="C2569" s="43">
        <v>120.60370878029065</v>
      </c>
      <c r="D2569" s="43">
        <v>121.58555416534639</v>
      </c>
      <c r="E2569" s="43">
        <v>122.40138099262177</v>
      </c>
      <c r="F2569" s="43">
        <v>123.06136772245287</v>
      </c>
      <c r="G2569" s="43">
        <v>123.57755696235537</v>
      </c>
      <c r="H2569" s="43">
        <v>123.9627642072619</v>
      </c>
      <c r="I2569" s="43">
        <v>124.22981963492643</v>
      </c>
    </row>
    <row r="2570" spans="1:9">
      <c r="A2570" s="19">
        <v>616.4</v>
      </c>
      <c r="B2570" s="43">
        <v>119.46683749174943</v>
      </c>
      <c r="C2570" s="43">
        <v>120.62181307000921</v>
      </c>
      <c r="D2570" s="43">
        <v>121.60393359806244</v>
      </c>
      <c r="E2570" s="43">
        <v>122.42005087096391</v>
      </c>
      <c r="F2570" s="43">
        <v>123.08033494885365</v>
      </c>
      <c r="G2570" s="43">
        <v>123.59682151196586</v>
      </c>
      <c r="H2570" s="43">
        <v>123.98232065256366</v>
      </c>
      <c r="I2570" s="43">
        <v>124.24965853847448</v>
      </c>
    </row>
    <row r="2571" spans="1:9">
      <c r="A2571" s="19">
        <v>616.5</v>
      </c>
      <c r="B2571" s="43">
        <v>119.48469116139563</v>
      </c>
      <c r="C2571" s="43">
        <v>120.6399169903865</v>
      </c>
      <c r="D2571" s="43">
        <v>121.62231258316299</v>
      </c>
      <c r="E2571" s="43">
        <v>122.43872023475652</v>
      </c>
      <c r="F2571" s="43">
        <v>123.09930160672923</v>
      </c>
      <c r="G2571" s="43">
        <v>123.61608545243132</v>
      </c>
      <c r="H2571" s="43">
        <v>124.00187646083936</v>
      </c>
      <c r="I2571" s="43">
        <v>124.26949678882019</v>
      </c>
    </row>
    <row r="2572" spans="1:9">
      <c r="A2572" s="19">
        <v>616.6</v>
      </c>
      <c r="B2572" s="43">
        <v>119.50254454793384</v>
      </c>
      <c r="C2572" s="43">
        <v>120.65802054155264</v>
      </c>
      <c r="D2572" s="43">
        <v>121.64069112083993</v>
      </c>
      <c r="E2572" s="43">
        <v>122.45738908417366</v>
      </c>
      <c r="F2572" s="43">
        <v>123.11826769623823</v>
      </c>
      <c r="G2572" s="43">
        <v>123.63534878387537</v>
      </c>
      <c r="H2572" s="43">
        <v>124.02143163219776</v>
      </c>
      <c r="I2572" s="43">
        <v>124.28933438607231</v>
      </c>
    </row>
    <row r="2573" spans="1:9">
      <c r="A2573" s="19">
        <v>616.70000000000005</v>
      </c>
      <c r="B2573" s="43">
        <v>119.52039765173117</v>
      </c>
      <c r="C2573" s="43">
        <v>120.67612372392455</v>
      </c>
      <c r="D2573" s="43">
        <v>121.65906921146689</v>
      </c>
      <c r="E2573" s="43">
        <v>122.4760574195283</v>
      </c>
      <c r="F2573" s="43">
        <v>123.13723321773159</v>
      </c>
      <c r="G2573" s="43">
        <v>123.65461150660033</v>
      </c>
      <c r="H2573" s="43">
        <v>124.04098616691317</v>
      </c>
      <c r="I2573" s="43">
        <v>124.30917133042493</v>
      </c>
    </row>
    <row r="2574" spans="1:9">
      <c r="A2574" s="19">
        <v>616.79999999999995</v>
      </c>
      <c r="B2574" s="43">
        <v>119.53825047268609</v>
      </c>
      <c r="C2574" s="43">
        <v>120.69422653740074</v>
      </c>
      <c r="D2574" s="43">
        <v>121.67744685500708</v>
      </c>
      <c r="E2574" s="43">
        <v>122.49472524088165</v>
      </c>
      <c r="F2574" s="43">
        <v>123.15619817119401</v>
      </c>
      <c r="G2574" s="43">
        <v>123.67387362061987</v>
      </c>
      <c r="H2574" s="43">
        <v>124.06054006499522</v>
      </c>
      <c r="I2574" s="43">
        <v>124.32900762191252</v>
      </c>
    </row>
    <row r="2575" spans="1:9">
      <c r="A2575" s="19">
        <v>616.9</v>
      </c>
      <c r="B2575" s="43">
        <v>119.55610301105187</v>
      </c>
      <c r="C2575" s="43">
        <v>120.71232898227896</v>
      </c>
      <c r="D2575" s="43">
        <v>121.69582405175137</v>
      </c>
      <c r="E2575" s="43">
        <v>122.51339254846636</v>
      </c>
      <c r="F2575" s="43">
        <v>123.17516255688847</v>
      </c>
      <c r="G2575" s="43">
        <v>123.69313512617541</v>
      </c>
      <c r="H2575" s="43">
        <v>124.08009332663593</v>
      </c>
      <c r="I2575" s="43">
        <v>124.34884326068087</v>
      </c>
    </row>
    <row r="2576" spans="1:9">
      <c r="A2576" s="19">
        <v>617</v>
      </c>
      <c r="B2576" s="43">
        <v>119.57395526721663</v>
      </c>
      <c r="C2576" s="43">
        <v>120.73043105891628</v>
      </c>
      <c r="D2576" s="43">
        <v>121.71420080197248</v>
      </c>
      <c r="E2576" s="43">
        <v>122.53205934260876</v>
      </c>
      <c r="F2576" s="43">
        <v>123.19412637511144</v>
      </c>
      <c r="G2576" s="43">
        <v>123.71239602347873</v>
      </c>
      <c r="H2576" s="43">
        <v>124.09964595209021</v>
      </c>
      <c r="I2576" s="43">
        <v>124.36867824695184</v>
      </c>
    </row>
    <row r="2577" spans="1:9">
      <c r="A2577" s="19">
        <v>617.1</v>
      </c>
      <c r="B2577" s="43">
        <v>119.59180724115103</v>
      </c>
      <c r="C2577" s="43">
        <v>120.74853276734089</v>
      </c>
      <c r="D2577" s="43">
        <v>121.73257710582789</v>
      </c>
      <c r="E2577" s="43">
        <v>122.55072562335241</v>
      </c>
      <c r="F2577" s="43">
        <v>123.21308962590649</v>
      </c>
      <c r="G2577" s="43">
        <v>123.7316563126642</v>
      </c>
      <c r="H2577" s="43">
        <v>124.11919794138481</v>
      </c>
      <c r="I2577" s="43">
        <v>124.38851258075454</v>
      </c>
    </row>
    <row r="2578" spans="1:9">
      <c r="A2578" s="19">
        <v>617.20000000000005</v>
      </c>
      <c r="B2578" s="43">
        <v>119.60965893297433</v>
      </c>
      <c r="C2578" s="43">
        <v>120.76663410769839</v>
      </c>
      <c r="D2578" s="43">
        <v>121.75095296342283</v>
      </c>
      <c r="E2578" s="43">
        <v>122.5693913908874</v>
      </c>
      <c r="F2578" s="43">
        <v>123.23205230946894</v>
      </c>
      <c r="G2578" s="43">
        <v>123.75091599385351</v>
      </c>
      <c r="H2578" s="43">
        <v>124.13874929468514</v>
      </c>
      <c r="I2578" s="43">
        <v>124.40834626222778</v>
      </c>
    </row>
    <row r="2579" spans="1:9">
      <c r="A2579" s="19">
        <v>617.29999999999995</v>
      </c>
      <c r="B2579" s="43">
        <v>119.62751034307519</v>
      </c>
      <c r="C2579" s="43">
        <v>120.78473508034338</v>
      </c>
      <c r="D2579" s="43">
        <v>121.76932837510816</v>
      </c>
      <c r="E2579" s="43">
        <v>122.58805664554529</v>
      </c>
      <c r="F2579" s="43">
        <v>123.2510144260942</v>
      </c>
      <c r="G2579" s="43">
        <v>123.77017506732599</v>
      </c>
      <c r="H2579" s="43">
        <v>124.15830001220374</v>
      </c>
      <c r="I2579" s="43">
        <v>124.42817929155188</v>
      </c>
    </row>
    <row r="2580" spans="1:9">
      <c r="A2580" s="19">
        <v>617.4</v>
      </c>
      <c r="B2580" s="43">
        <v>119.64536147142024</v>
      </c>
      <c r="C2580" s="43">
        <v>120.8028356853516</v>
      </c>
      <c r="D2580" s="43">
        <v>121.78770334095188</v>
      </c>
      <c r="E2580" s="43">
        <v>122.60672138741455</v>
      </c>
      <c r="F2580" s="43">
        <v>123.26997597584571</v>
      </c>
      <c r="G2580" s="43">
        <v>123.78943353311766</v>
      </c>
      <c r="H2580" s="43">
        <v>124.17785009402988</v>
      </c>
      <c r="I2580" s="43">
        <v>124.44801166878756</v>
      </c>
    </row>
    <row r="2581" spans="1:9">
      <c r="A2581" s="19">
        <v>617.5</v>
      </c>
      <c r="B2581" s="43">
        <v>119.66321231821485</v>
      </c>
      <c r="C2581" s="43">
        <v>120.82093592286145</v>
      </c>
      <c r="D2581" s="43">
        <v>121.8060778611775</v>
      </c>
      <c r="E2581" s="43">
        <v>122.6253856166482</v>
      </c>
      <c r="F2581" s="43">
        <v>123.28893695893012</v>
      </c>
      <c r="G2581" s="43">
        <v>123.80869139146702</v>
      </c>
      <c r="H2581" s="43">
        <v>124.19739954030368</v>
      </c>
      <c r="I2581" s="43">
        <v>124.46784339408035</v>
      </c>
    </row>
    <row r="2582" spans="1:9">
      <c r="A2582" s="19">
        <v>617.6</v>
      </c>
      <c r="B2582" s="43">
        <v>119.68106288386397</v>
      </c>
      <c r="C2582" s="43">
        <v>120.83903579329078</v>
      </c>
      <c r="D2582" s="43">
        <v>121.82445193612398</v>
      </c>
      <c r="E2582" s="43">
        <v>122.64404933364642</v>
      </c>
      <c r="F2582" s="43">
        <v>123.30789737564402</v>
      </c>
      <c r="G2582" s="43">
        <v>123.82794864261635</v>
      </c>
      <c r="H2582" s="43">
        <v>124.21694835126885</v>
      </c>
      <c r="I2582" s="43">
        <v>124.48767446760758</v>
      </c>
    </row>
    <row r="2583" spans="1:9">
      <c r="A2583" s="19">
        <v>617.70000000000005</v>
      </c>
      <c r="B2583" s="43">
        <v>119.69891316826903</v>
      </c>
      <c r="C2583" s="43">
        <v>120.85713529662212</v>
      </c>
      <c r="D2583" s="43">
        <v>121.8428255658169</v>
      </c>
      <c r="E2583" s="43">
        <v>122.66271253841907</v>
      </c>
      <c r="F2583" s="43">
        <v>123.32685722607278</v>
      </c>
      <c r="G2583" s="43">
        <v>123.84720528662265</v>
      </c>
      <c r="H2583" s="43">
        <v>124.2364965269779</v>
      </c>
      <c r="I2583" s="43">
        <v>124.50750488943393</v>
      </c>
    </row>
    <row r="2584" spans="1:9">
      <c r="A2584" s="19">
        <v>617.79999999999995</v>
      </c>
      <c r="B2584" s="43">
        <v>119.71676317158614</v>
      </c>
      <c r="C2584" s="43">
        <v>120.87523443302462</v>
      </c>
      <c r="D2584" s="43">
        <v>121.86119875044142</v>
      </c>
      <c r="E2584" s="43">
        <v>122.68137523112503</v>
      </c>
      <c r="F2584" s="43">
        <v>123.34581651034796</v>
      </c>
      <c r="G2584" s="43">
        <v>123.8664613236262</v>
      </c>
      <c r="H2584" s="43">
        <v>124.25604406756307</v>
      </c>
      <c r="I2584" s="43">
        <v>124.52733465967086</v>
      </c>
    </row>
    <row r="2585" spans="1:9">
      <c r="A2585" s="19">
        <v>617.9</v>
      </c>
      <c r="B2585" s="43">
        <v>119.73461289424847</v>
      </c>
      <c r="C2585" s="43">
        <v>120.89333320287292</v>
      </c>
      <c r="D2585" s="43">
        <v>121.87957149035887</v>
      </c>
      <c r="E2585" s="43">
        <v>122.70003741213938</v>
      </c>
      <c r="F2585" s="43">
        <v>123.36477522879122</v>
      </c>
      <c r="G2585" s="43">
        <v>123.88571675394672</v>
      </c>
      <c r="H2585" s="43">
        <v>124.27559097328836</v>
      </c>
      <c r="I2585" s="43">
        <v>124.54716377853444</v>
      </c>
    </row>
    <row r="2586" spans="1:9">
      <c r="A2586" s="19">
        <v>618</v>
      </c>
      <c r="B2586" s="43">
        <v>119.75246233621056</v>
      </c>
      <c r="C2586" s="43">
        <v>120.91143160622238</v>
      </c>
      <c r="D2586" s="43">
        <v>121.89794378564696</v>
      </c>
      <c r="E2586" s="43">
        <v>122.71869908156083</v>
      </c>
      <c r="F2586" s="43">
        <v>123.3837333815334</v>
      </c>
      <c r="G2586" s="43">
        <v>123.90497157765324</v>
      </c>
      <c r="H2586" s="43">
        <v>124.29513724422566</v>
      </c>
      <c r="I2586" s="43">
        <v>124.56699224607894</v>
      </c>
    </row>
    <row r="2587" spans="1:9">
      <c r="A2587" s="19">
        <v>618.1</v>
      </c>
      <c r="B2587" s="43">
        <v>119.7703114976438</v>
      </c>
      <c r="C2587" s="43">
        <v>120.92952964323271</v>
      </c>
      <c r="D2587" s="43">
        <v>121.916315636479</v>
      </c>
      <c r="E2587" s="43">
        <v>122.73736023952009</v>
      </c>
      <c r="F2587" s="43">
        <v>123.40269096867891</v>
      </c>
      <c r="G2587" s="43">
        <v>123.92422579487649</v>
      </c>
      <c r="H2587" s="43">
        <v>124.31468288047316</v>
      </c>
      <c r="I2587" s="43">
        <v>124.58682006241972</v>
      </c>
    </row>
    <row r="2588" spans="1:9">
      <c r="A2588" s="19">
        <v>618.20000000000005</v>
      </c>
      <c r="B2588" s="43">
        <v>119.7881603789414</v>
      </c>
      <c r="C2588" s="43">
        <v>120.94762731430831</v>
      </c>
      <c r="D2588" s="43">
        <v>121.93468704322873</v>
      </c>
      <c r="E2588" s="43">
        <v>122.7560208863857</v>
      </c>
      <c r="F2588" s="43">
        <v>123.42164799058472</v>
      </c>
      <c r="G2588" s="43">
        <v>123.94347940594963</v>
      </c>
      <c r="H2588" s="43">
        <v>124.33422788233105</v>
      </c>
      <c r="I2588" s="43">
        <v>124.6066472277617</v>
      </c>
    </row>
    <row r="2589" spans="1:9">
      <c r="A2589" s="19">
        <v>618.29999999999995</v>
      </c>
      <c r="B2589" s="43">
        <v>119.80600898000196</v>
      </c>
      <c r="C2589" s="43">
        <v>120.96572461934011</v>
      </c>
      <c r="D2589" s="43">
        <v>121.95305800586269</v>
      </c>
      <c r="E2589" s="43">
        <v>122.77468102215781</v>
      </c>
      <c r="F2589" s="43">
        <v>123.44060444726836</v>
      </c>
      <c r="G2589" s="43">
        <v>123.96273241084663</v>
      </c>
      <c r="H2589" s="43">
        <v>124.35377224979678</v>
      </c>
      <c r="I2589" s="43">
        <v>124.62647374215624</v>
      </c>
    </row>
    <row r="2590" spans="1:9">
      <c r="A2590" s="19">
        <v>618.4</v>
      </c>
      <c r="B2590" s="43">
        <v>119.82385730107725</v>
      </c>
      <c r="C2590" s="43">
        <v>120.98382155866352</v>
      </c>
      <c r="D2590" s="43">
        <v>121.97142852466149</v>
      </c>
      <c r="E2590" s="43">
        <v>122.79334064712972</v>
      </c>
      <c r="F2590" s="43">
        <v>123.45956033894024</v>
      </c>
      <c r="G2590" s="43">
        <v>123.98198480979588</v>
      </c>
      <c r="H2590" s="43">
        <v>124.37331598307821</v>
      </c>
      <c r="I2590" s="43">
        <v>124.64629960572108</v>
      </c>
    </row>
    <row r="2591" spans="1:9">
      <c r="A2591" s="19">
        <v>618.5</v>
      </c>
      <c r="B2591" s="43">
        <v>119.84170534250802</v>
      </c>
      <c r="C2591" s="43">
        <v>121.00191813259678</v>
      </c>
      <c r="D2591" s="43">
        <v>121.98979859995484</v>
      </c>
      <c r="E2591" s="43">
        <v>122.81199976155881</v>
      </c>
      <c r="F2591" s="43">
        <v>123.47851566593454</v>
      </c>
      <c r="G2591" s="43">
        <v>124.00123660309271</v>
      </c>
      <c r="H2591" s="43">
        <v>124.39285908239509</v>
      </c>
      <c r="I2591" s="43">
        <v>124.66612481868768</v>
      </c>
    </row>
    <row r="2592" spans="1:9">
      <c r="A2592" s="19">
        <v>618.6</v>
      </c>
      <c r="B2592" s="43">
        <v>119.85955310430128</v>
      </c>
      <c r="C2592" s="43">
        <v>121.02001434113944</v>
      </c>
      <c r="D2592" s="43">
        <v>122.00816823180034</v>
      </c>
      <c r="E2592" s="43">
        <v>122.83065836554425</v>
      </c>
      <c r="F2592" s="43">
        <v>123.49747042830023</v>
      </c>
      <c r="G2592" s="43">
        <v>124.02048779077256</v>
      </c>
      <c r="H2592" s="43">
        <v>124.41240154779172</v>
      </c>
      <c r="I2592" s="43">
        <v>124.68594938109447</v>
      </c>
    </row>
    <row r="2593" spans="1:9">
      <c r="A2593" s="19">
        <v>618.70000000000005</v>
      </c>
      <c r="B2593" s="43">
        <v>119.87740058653847</v>
      </c>
      <c r="C2593" s="43">
        <v>121.03811018446524</v>
      </c>
      <c r="D2593" s="43">
        <v>122.02653742032791</v>
      </c>
      <c r="E2593" s="43">
        <v>122.84931645924331</v>
      </c>
      <c r="F2593" s="43">
        <v>123.51642462617698</v>
      </c>
      <c r="G2593" s="43">
        <v>124.03973837298648</v>
      </c>
      <c r="H2593" s="43">
        <v>124.43194337941716</v>
      </c>
      <c r="I2593" s="43">
        <v>124.70577329303939</v>
      </c>
    </row>
    <row r="2594" spans="1:9">
      <c r="A2594" s="19">
        <v>618.79999999999995</v>
      </c>
      <c r="B2594" s="43">
        <v>119.89524778963019</v>
      </c>
      <c r="C2594" s="43">
        <v>121.05620566293052</v>
      </c>
      <c r="D2594" s="43">
        <v>122.04490616591835</v>
      </c>
      <c r="E2594" s="43">
        <v>122.86797404297414</v>
      </c>
      <c r="F2594" s="43">
        <v>123.53537825988215</v>
      </c>
      <c r="G2594" s="43">
        <v>124.05898834999502</v>
      </c>
      <c r="H2594" s="43">
        <v>124.45148457749593</v>
      </c>
      <c r="I2594" s="43">
        <v>124.72559655472864</v>
      </c>
    </row>
    <row r="2595" spans="1:9">
      <c r="A2595" s="19">
        <v>618.9</v>
      </c>
      <c r="B2595" s="43">
        <v>119.91309471366887</v>
      </c>
      <c r="C2595" s="43">
        <v>121.0743007766838</v>
      </c>
      <c r="D2595" s="43">
        <v>122.06327446875619</v>
      </c>
      <c r="E2595" s="43">
        <v>122.88663111692549</v>
      </c>
      <c r="F2595" s="43">
        <v>123.55433132958419</v>
      </c>
      <c r="G2595" s="43">
        <v>124.07823772197304</v>
      </c>
      <c r="H2595" s="43">
        <v>124.47102514217767</v>
      </c>
      <c r="I2595" s="43">
        <v>124.74541916629923</v>
      </c>
    </row>
    <row r="2596" spans="1:9">
      <c r="A2596" s="19">
        <v>619</v>
      </c>
      <c r="B2596" s="43">
        <v>119.93094135872198</v>
      </c>
      <c r="C2596" s="43">
        <v>121.09239552579882</v>
      </c>
      <c r="D2596" s="43">
        <v>122.08164232885898</v>
      </c>
      <c r="E2596" s="43">
        <v>122.90528768118531</v>
      </c>
      <c r="F2596" s="43">
        <v>123.57328383536637</v>
      </c>
      <c r="G2596" s="43">
        <v>124.09748648900856</v>
      </c>
      <c r="H2596" s="43">
        <v>124.49056507353396</v>
      </c>
      <c r="I2596" s="43">
        <v>124.76524112778253</v>
      </c>
    </row>
    <row r="2597" spans="1:9">
      <c r="A2597" s="19">
        <v>619.1</v>
      </c>
      <c r="B2597" s="43">
        <v>119.94878772497958</v>
      </c>
      <c r="C2597" s="43">
        <v>121.11048991049262</v>
      </c>
      <c r="D2597" s="43">
        <v>122.10000974649665</v>
      </c>
      <c r="E2597" s="43">
        <v>122.92394373594914</v>
      </c>
      <c r="F2597" s="43">
        <v>123.59223577744532</v>
      </c>
      <c r="G2597" s="43">
        <v>124.11673465128646</v>
      </c>
      <c r="H2597" s="43">
        <v>124.51010437171874</v>
      </c>
      <c r="I2597" s="43">
        <v>124.78506243934638</v>
      </c>
    </row>
    <row r="2598" spans="1:9">
      <c r="A2598" s="19">
        <v>619.20000000000005</v>
      </c>
      <c r="B2598" s="43">
        <v>119.96663381280206</v>
      </c>
      <c r="C2598" s="43">
        <v>121.12858393113558</v>
      </c>
      <c r="D2598" s="43">
        <v>122.11837672203603</v>
      </c>
      <c r="E2598" s="43">
        <v>122.94259928157771</v>
      </c>
      <c r="F2598" s="43">
        <v>123.61118715614356</v>
      </c>
      <c r="G2598" s="43">
        <v>124.13598220905914</v>
      </c>
      <c r="H2598" s="43">
        <v>124.5296430369981</v>
      </c>
      <c r="I2598" s="43">
        <v>124.80488310120069</v>
      </c>
    </row>
    <row r="2599" spans="1:9">
      <c r="A2599" s="19">
        <v>619.29999999999995</v>
      </c>
      <c r="B2599" s="43">
        <v>119.9844796221322</v>
      </c>
      <c r="C2599" s="43">
        <v>121.14667758768917</v>
      </c>
      <c r="D2599" s="43">
        <v>122.13674325545765</v>
      </c>
      <c r="E2599" s="43">
        <v>122.96125431810876</v>
      </c>
      <c r="F2599" s="43">
        <v>123.63013797149426</v>
      </c>
      <c r="G2599" s="43">
        <v>124.15522916240673</v>
      </c>
      <c r="H2599" s="43">
        <v>124.5491810693967</v>
      </c>
      <c r="I2599" s="43">
        <v>124.82470311335157</v>
      </c>
    </row>
    <row r="2600" spans="1:9">
      <c r="A2600" s="19">
        <v>619.4</v>
      </c>
      <c r="B2600" s="43">
        <v>120.0023251531814</v>
      </c>
      <c r="C2600" s="43">
        <v>121.16477088037007</v>
      </c>
      <c r="D2600" s="43">
        <v>122.15510934699506</v>
      </c>
      <c r="E2600" s="43">
        <v>122.9799088457184</v>
      </c>
      <c r="F2600" s="43">
        <v>123.64908822365749</v>
      </c>
      <c r="G2600" s="43">
        <v>124.17447551147129</v>
      </c>
      <c r="H2600" s="43">
        <v>124.56871846909166</v>
      </c>
      <c r="I2600" s="43">
        <v>124.84452247595735</v>
      </c>
    </row>
    <row r="2601" spans="1:9">
      <c r="A2601" s="19">
        <v>619.5</v>
      </c>
      <c r="B2601" s="43">
        <v>120.02017040625054</v>
      </c>
      <c r="C2601" s="43">
        <v>121.18286380954274</v>
      </c>
      <c r="D2601" s="43">
        <v>122.17347499696808</v>
      </c>
      <c r="E2601" s="43">
        <v>122.9985628647496</v>
      </c>
      <c r="F2601" s="43">
        <v>123.66803791295945</v>
      </c>
      <c r="G2601" s="43">
        <v>124.19372125653999</v>
      </c>
      <c r="H2601" s="43">
        <v>124.58825523628775</v>
      </c>
      <c r="I2601" s="43">
        <v>124.86434118919587</v>
      </c>
    </row>
    <row r="2602" spans="1:9">
      <c r="A2602" s="19">
        <v>619.6</v>
      </c>
      <c r="B2602" s="43">
        <v>120.0380153814709</v>
      </c>
      <c r="C2602" s="43">
        <v>121.20095637528763</v>
      </c>
      <c r="D2602" s="43">
        <v>122.19184020550176</v>
      </c>
      <c r="E2602" s="43">
        <v>123.01721637532148</v>
      </c>
      <c r="F2602" s="43">
        <v>123.68698703954507</v>
      </c>
      <c r="G2602" s="43">
        <v>124.21296639774829</v>
      </c>
      <c r="H2602" s="43">
        <v>124.60779137109793</v>
      </c>
      <c r="I2602" s="43">
        <v>124.88415925318776</v>
      </c>
    </row>
    <row r="2603" spans="1:9">
      <c r="A2603" s="19">
        <v>619.70000000000005</v>
      </c>
      <c r="B2603" s="43">
        <v>120.05586007885233</v>
      </c>
      <c r="C2603" s="43">
        <v>121.21904857768516</v>
      </c>
      <c r="D2603" s="43">
        <v>122.2102049727188</v>
      </c>
      <c r="E2603" s="43">
        <v>123.03586937753843</v>
      </c>
      <c r="F2603" s="43">
        <v>123.70593560347388</v>
      </c>
      <c r="G2603" s="43">
        <v>124.23221093515866</v>
      </c>
      <c r="H2603" s="43">
        <v>124.62732687362481</v>
      </c>
      <c r="I2603" s="43">
        <v>124.90397666796761</v>
      </c>
    </row>
    <row r="2604" spans="1:9">
      <c r="A2604" s="19">
        <v>619.79999999999995</v>
      </c>
      <c r="B2604" s="43">
        <v>120.07370449881032</v>
      </c>
      <c r="C2604" s="43">
        <v>121.23714041715499</v>
      </c>
      <c r="D2604" s="43">
        <v>122.228569298975</v>
      </c>
      <c r="E2604" s="43">
        <v>123.0545218718101</v>
      </c>
      <c r="F2604" s="43">
        <v>123.72488360512463</v>
      </c>
      <c r="G2604" s="43">
        <v>124.2514548691118</v>
      </c>
      <c r="H2604" s="43">
        <v>124.64686174411418</v>
      </c>
      <c r="I2604" s="43">
        <v>124.92379343380432</v>
      </c>
    </row>
    <row r="2605" spans="1:9">
      <c r="A2605" s="19">
        <v>619.9</v>
      </c>
      <c r="B2605" s="43">
        <v>120.09154864131605</v>
      </c>
      <c r="C2605" s="43">
        <v>121.25523189366282</v>
      </c>
      <c r="D2605" s="43">
        <v>122.24693318428541</v>
      </c>
      <c r="E2605" s="43">
        <v>123.07317385811061</v>
      </c>
      <c r="F2605" s="43">
        <v>123.74383104451985</v>
      </c>
      <c r="G2605" s="43">
        <v>124.27069819962603</v>
      </c>
      <c r="H2605" s="43">
        <v>124.66639598264157</v>
      </c>
      <c r="I2605" s="43">
        <v>124.94360955069524</v>
      </c>
    </row>
    <row r="2606" spans="1:9">
      <c r="A2606" s="19">
        <v>620</v>
      </c>
      <c r="B2606" s="43">
        <v>120.09015652796447</v>
      </c>
      <c r="C2606" s="43">
        <v>121.2549074899398</v>
      </c>
      <c r="D2606" s="43">
        <v>122.24786385273231</v>
      </c>
      <c r="E2606" s="43">
        <v>123.07551963053285</v>
      </c>
      <c r="F2606" s="43">
        <v>123.74772315355452</v>
      </c>
      <c r="G2606" s="43">
        <v>124.27624022530699</v>
      </c>
      <c r="H2606" s="43">
        <v>124.67366646897139</v>
      </c>
      <c r="I2606" s="43">
        <v>124.95266524093944</v>
      </c>
    </row>
    <row r="2607" spans="1:9">
      <c r="A2607" s="19">
        <v>620.1</v>
      </c>
      <c r="B2607" s="43">
        <v>120.08875263239028</v>
      </c>
      <c r="C2607" s="43">
        <v>121.25457032619963</v>
      </c>
      <c r="D2607" s="43">
        <v>122.24878053478042</v>
      </c>
      <c r="E2607" s="43">
        <v>123.07785006682894</v>
      </c>
      <c r="F2607" s="43">
        <v>123.75159854857907</v>
      </c>
      <c r="G2607" s="43">
        <v>124.28176419667938</v>
      </c>
      <c r="H2607" s="43">
        <v>124.68091763867648</v>
      </c>
      <c r="I2607" s="43">
        <v>124.96170045115431</v>
      </c>
    </row>
    <row r="2608" spans="1:9">
      <c r="A2608" s="19">
        <v>620.20000000000005</v>
      </c>
      <c r="B2608" s="43">
        <v>120.10658563240335</v>
      </c>
      <c r="C2608" s="43">
        <v>121.27264937981874</v>
      </c>
      <c r="D2608" s="43">
        <v>122.26713049303154</v>
      </c>
      <c r="E2608" s="43">
        <v>123.09648649224508</v>
      </c>
      <c r="F2608" s="43">
        <v>123.77052874044978</v>
      </c>
      <c r="G2608" s="43">
        <v>124.30098859877762</v>
      </c>
      <c r="H2608" s="43">
        <v>124.70043131583643</v>
      </c>
      <c r="I2608" s="43">
        <v>124.98149445062955</v>
      </c>
    </row>
    <row r="2609" spans="1:9">
      <c r="A2609" s="19">
        <v>620.29999999999995</v>
      </c>
      <c r="B2609" s="43">
        <v>120.12441835601331</v>
      </c>
      <c r="C2609" s="43">
        <v>121.29072807253431</v>
      </c>
      <c r="D2609" s="43">
        <v>122.28548001313246</v>
      </c>
      <c r="E2609" s="43">
        <v>123.11512241302546</v>
      </c>
      <c r="F2609" s="43">
        <v>123.78945837370711</v>
      </c>
      <c r="G2609" s="43">
        <v>124.3202124012185</v>
      </c>
      <c r="H2609" s="43">
        <v>124.71994436472974</v>
      </c>
      <c r="I2609" s="43">
        <v>125.00128780464388</v>
      </c>
    </row>
    <row r="2610" spans="1:9">
      <c r="A2610" s="19">
        <v>620.4</v>
      </c>
      <c r="B2610" s="43">
        <v>120.14225080354353</v>
      </c>
      <c r="C2610" s="43">
        <v>121.30880640466006</v>
      </c>
      <c r="D2610" s="43">
        <v>122.30382909545037</v>
      </c>
      <c r="E2610" s="43">
        <v>123.13375782950803</v>
      </c>
      <c r="F2610" s="43">
        <v>123.80838744866026</v>
      </c>
      <c r="G2610" s="43">
        <v>124.3394356042383</v>
      </c>
      <c r="H2610" s="43">
        <v>124.73945678556768</v>
      </c>
      <c r="I2610" s="43">
        <v>125.02108051339809</v>
      </c>
    </row>
    <row r="2611" spans="1:9">
      <c r="A2611" s="19">
        <v>620.5</v>
      </c>
      <c r="B2611" s="43">
        <v>120.1600829750424</v>
      </c>
      <c r="C2611" s="43">
        <v>121.32688437624202</v>
      </c>
      <c r="D2611" s="43">
        <v>122.32217774001685</v>
      </c>
      <c r="E2611" s="43">
        <v>123.15239274176912</v>
      </c>
      <c r="F2611" s="43">
        <v>123.82731596538426</v>
      </c>
      <c r="G2611" s="43">
        <v>124.35865820794547</v>
      </c>
      <c r="H2611" s="43">
        <v>124.75896857840374</v>
      </c>
      <c r="I2611" s="43">
        <v>125.04087257695298</v>
      </c>
    </row>
    <row r="2612" spans="1:9">
      <c r="A2612" s="19">
        <v>620.6</v>
      </c>
      <c r="B2612" s="43">
        <v>120.17791487051929</v>
      </c>
      <c r="C2612" s="43">
        <v>121.34496198740499</v>
      </c>
      <c r="D2612" s="43">
        <v>122.34052594695586</v>
      </c>
      <c r="E2612" s="43">
        <v>123.17102714992907</v>
      </c>
      <c r="F2612" s="43">
        <v>123.84624392401511</v>
      </c>
      <c r="G2612" s="43">
        <v>124.37788021243392</v>
      </c>
      <c r="H2612" s="43">
        <v>124.77847974337959</v>
      </c>
      <c r="I2612" s="43">
        <v>125.06066399541797</v>
      </c>
    </row>
    <row r="2613" spans="1:9">
      <c r="A2613" s="19">
        <v>620.70000000000005</v>
      </c>
      <c r="B2613" s="43">
        <v>120.19574649054746</v>
      </c>
      <c r="C2613" s="43">
        <v>121.36303923859325</v>
      </c>
      <c r="D2613" s="43">
        <v>122.35887371674301</v>
      </c>
      <c r="E2613" s="43">
        <v>123.18966105442388</v>
      </c>
      <c r="F2613" s="43">
        <v>123.86517132491477</v>
      </c>
      <c r="G2613" s="43">
        <v>124.39710161805039</v>
      </c>
      <c r="H2613" s="43">
        <v>124.79799028073194</v>
      </c>
      <c r="I2613" s="43">
        <v>125.080454768994</v>
      </c>
    </row>
    <row r="2614" spans="1:9">
      <c r="A2614" s="19">
        <v>620.79999999999995</v>
      </c>
      <c r="B2614" s="43">
        <v>120.21357783494943</v>
      </c>
      <c r="C2614" s="43">
        <v>121.38111612978949</v>
      </c>
      <c r="D2614" s="43">
        <v>122.37722104932118</v>
      </c>
      <c r="E2614" s="43">
        <v>123.20829445523918</v>
      </c>
      <c r="F2614" s="43">
        <v>123.88409816810585</v>
      </c>
      <c r="G2614" s="43">
        <v>124.41632242483459</v>
      </c>
      <c r="H2614" s="43">
        <v>124.81750019054965</v>
      </c>
      <c r="I2614" s="43">
        <v>125.10024489775631</v>
      </c>
    </row>
    <row r="2615" spans="1:9">
      <c r="A2615" s="19">
        <v>620.9</v>
      </c>
      <c r="B2615" s="43">
        <v>120.23140890390039</v>
      </c>
      <c r="C2615" s="43">
        <v>121.39919266106344</v>
      </c>
      <c r="D2615" s="43">
        <v>122.39556794486023</v>
      </c>
      <c r="E2615" s="43">
        <v>123.22692735255569</v>
      </c>
      <c r="F2615" s="43">
        <v>123.90302445375866</v>
      </c>
      <c r="G2615" s="43">
        <v>124.43554263292864</v>
      </c>
      <c r="H2615" s="43">
        <v>124.83700947294409</v>
      </c>
      <c r="I2615" s="43">
        <v>125.12003438180668</v>
      </c>
    </row>
    <row r="2616" spans="1:9">
      <c r="A2616" s="19">
        <v>621</v>
      </c>
      <c r="B2616" s="43">
        <v>120.24923969782515</v>
      </c>
      <c r="C2616" s="43">
        <v>121.41726883293958</v>
      </c>
      <c r="D2616" s="43">
        <v>122.4139144037685</v>
      </c>
      <c r="E2616" s="43">
        <v>123.24555974670918</v>
      </c>
      <c r="F2616" s="43">
        <v>123.92195018222424</v>
      </c>
      <c r="G2616" s="43">
        <v>124.45476224261495</v>
      </c>
      <c r="H2616" s="43">
        <v>124.85651812816752</v>
      </c>
      <c r="I2616" s="43">
        <v>125.13982322135661</v>
      </c>
    </row>
    <row r="2617" spans="1:9">
      <c r="A2617" s="19">
        <v>621.1</v>
      </c>
      <c r="B2617" s="43">
        <v>120.26707021664657</v>
      </c>
      <c r="C2617" s="43">
        <v>121.43534464536421</v>
      </c>
      <c r="D2617" s="43">
        <v>122.43226042609041</v>
      </c>
      <c r="E2617" s="43">
        <v>123.26419163778507</v>
      </c>
      <c r="F2617" s="43">
        <v>123.94087535353736</v>
      </c>
      <c r="G2617" s="43">
        <v>124.47398125398396</v>
      </c>
      <c r="H2617" s="43">
        <v>124.87602615628836</v>
      </c>
      <c r="I2617" s="43">
        <v>125.15961141646341</v>
      </c>
    </row>
    <row r="2618" spans="1:9">
      <c r="A2618" s="19">
        <v>621.20000000000005</v>
      </c>
      <c r="B2618" s="43">
        <v>120.28490046055239</v>
      </c>
      <c r="C2618" s="43">
        <v>121.45342009849944</v>
      </c>
      <c r="D2618" s="43">
        <v>122.45060601200754</v>
      </c>
      <c r="E2618" s="43">
        <v>123.28282302597344</v>
      </c>
      <c r="F2618" s="43">
        <v>123.95979996787494</v>
      </c>
      <c r="G2618" s="43">
        <v>124.49319966715842</v>
      </c>
      <c r="H2618" s="43">
        <v>124.895533557459</v>
      </c>
      <c r="I2618" s="43">
        <v>125.17939896724323</v>
      </c>
    </row>
    <row r="2619" spans="1:9">
      <c r="A2619" s="19">
        <v>621.29999999999995</v>
      </c>
      <c r="B2619" s="43">
        <v>120.30273042987426</v>
      </c>
      <c r="C2619" s="43">
        <v>121.47149519271787</v>
      </c>
      <c r="D2619" s="43">
        <v>122.46895116181895</v>
      </c>
      <c r="E2619" s="43">
        <v>123.30145391155804</v>
      </c>
      <c r="F2619" s="43">
        <v>123.97872402552213</v>
      </c>
      <c r="G2619" s="43">
        <v>124.51241748244163</v>
      </c>
      <c r="H2619" s="43">
        <v>124.91504033189432</v>
      </c>
      <c r="I2619" s="43">
        <v>125.199185873895</v>
      </c>
    </row>
    <row r="2620" spans="1:9">
      <c r="A2620" s="19">
        <v>621.4</v>
      </c>
      <c r="B2620" s="43">
        <v>120.32056012473441</v>
      </c>
      <c r="C2620" s="43">
        <v>121.48956992810429</v>
      </c>
      <c r="D2620" s="43">
        <v>122.48729587567098</v>
      </c>
      <c r="E2620" s="43">
        <v>123.32008429469803</v>
      </c>
      <c r="F2620" s="43">
        <v>123.99764752663705</v>
      </c>
      <c r="G2620" s="43">
        <v>124.53163469993297</v>
      </c>
      <c r="H2620" s="43">
        <v>124.93454647970475</v>
      </c>
      <c r="I2620" s="43">
        <v>125.21897213651926</v>
      </c>
    </row>
    <row r="2621" spans="1:9">
      <c r="A2621" s="19">
        <v>621.5</v>
      </c>
      <c r="B2621" s="43">
        <v>120.33838954522255</v>
      </c>
      <c r="C2621" s="43">
        <v>121.50764430486583</v>
      </c>
      <c r="D2621" s="43">
        <v>122.50564015378282</v>
      </c>
      <c r="E2621" s="43">
        <v>123.33871417556352</v>
      </c>
      <c r="F2621" s="43">
        <v>124.01657047139153</v>
      </c>
      <c r="G2621" s="43">
        <v>124.55085131981082</v>
      </c>
      <c r="H2621" s="43">
        <v>124.95405200103016</v>
      </c>
      <c r="I2621" s="43">
        <v>125.2387577552395</v>
      </c>
    </row>
    <row r="2622" spans="1:9">
      <c r="A2622" s="19">
        <v>621.6</v>
      </c>
      <c r="B2622" s="43">
        <v>120.35621869141406</v>
      </c>
      <c r="C2622" s="43">
        <v>121.52571832304866</v>
      </c>
      <c r="D2622" s="43">
        <v>122.52398399618903</v>
      </c>
      <c r="E2622" s="43">
        <v>123.35734355427019</v>
      </c>
      <c r="F2622" s="43">
        <v>124.03549285989067</v>
      </c>
      <c r="G2622" s="43">
        <v>124.57006734217694</v>
      </c>
      <c r="H2622" s="43">
        <v>124.97355689599172</v>
      </c>
      <c r="I2622" s="43">
        <v>125.25854273013718</v>
      </c>
    </row>
    <row r="2623" spans="1:9">
      <c r="A2623" s="19">
        <v>621.70000000000005</v>
      </c>
      <c r="B2623" s="43">
        <v>120.37404756374559</v>
      </c>
      <c r="C2623" s="43">
        <v>121.54379198306319</v>
      </c>
      <c r="D2623" s="43">
        <v>122.54232740333603</v>
      </c>
      <c r="E2623" s="43">
        <v>123.37597243119535</v>
      </c>
      <c r="F2623" s="43">
        <v>124.05441469243311</v>
      </c>
      <c r="G2623" s="43">
        <v>124.58928276729233</v>
      </c>
      <c r="H2623" s="43">
        <v>124.99306116481702</v>
      </c>
      <c r="I2623" s="43">
        <v>125.27832706142118</v>
      </c>
    </row>
    <row r="2624" spans="1:9">
      <c r="A2624" s="19">
        <v>621.79999999999995</v>
      </c>
      <c r="B2624" s="43">
        <v>120.39187616212396</v>
      </c>
      <c r="C2624" s="43">
        <v>121.56186528491398</v>
      </c>
      <c r="D2624" s="43">
        <v>122.56067037517488</v>
      </c>
      <c r="E2624" s="43">
        <v>123.39460080631557</v>
      </c>
      <c r="F2624" s="43">
        <v>124.07333596911266</v>
      </c>
      <c r="G2624" s="43">
        <v>124.6084975952638</v>
      </c>
      <c r="H2624" s="43">
        <v>125.01256480757272</v>
      </c>
      <c r="I2624" s="43">
        <v>125.29811074914448</v>
      </c>
    </row>
    <row r="2625" spans="1:9">
      <c r="A2625" s="19">
        <v>621.9</v>
      </c>
      <c r="B2625" s="43">
        <v>120.40970448678488</v>
      </c>
      <c r="C2625" s="43">
        <v>121.57993822880567</v>
      </c>
      <c r="D2625" s="43">
        <v>122.57901291201983</v>
      </c>
      <c r="E2625" s="43">
        <v>123.41322867995029</v>
      </c>
      <c r="F2625" s="43">
        <v>124.09225669013006</v>
      </c>
      <c r="G2625" s="43">
        <v>124.62771182625409</v>
      </c>
      <c r="H2625" s="43">
        <v>125.03206782441197</v>
      </c>
      <c r="I2625" s="43">
        <v>125.31789379345011</v>
      </c>
    </row>
    <row r="2626" spans="1:9">
      <c r="A2626" s="19">
        <v>622</v>
      </c>
      <c r="B2626" s="43">
        <v>120.42753253810264</v>
      </c>
      <c r="C2626" s="43">
        <v>121.59801081511287</v>
      </c>
      <c r="D2626" s="43">
        <v>122.59735501416179</v>
      </c>
      <c r="E2626" s="43">
        <v>123.43185605234785</v>
      </c>
      <c r="F2626" s="43">
        <v>124.11117685577565</v>
      </c>
      <c r="G2626" s="43">
        <v>124.64692546054988</v>
      </c>
      <c r="H2626" s="43">
        <v>125.05157021560981</v>
      </c>
      <c r="I2626" s="43">
        <v>125.33767619454457</v>
      </c>
    </row>
    <row r="2627" spans="1:9">
      <c r="A2627" s="19">
        <v>622.1</v>
      </c>
      <c r="B2627" s="43">
        <v>120.44536031594825</v>
      </c>
      <c r="C2627" s="43">
        <v>121.61608304381369</v>
      </c>
      <c r="D2627" s="43">
        <v>122.61569668159964</v>
      </c>
      <c r="E2627" s="43">
        <v>123.45048292356259</v>
      </c>
      <c r="F2627" s="43">
        <v>124.13009646610294</v>
      </c>
      <c r="G2627" s="43">
        <v>124.66613849816639</v>
      </c>
      <c r="H2627" s="43">
        <v>125.07107198119834</v>
      </c>
      <c r="I2627" s="43">
        <v>125.35745795245225</v>
      </c>
    </row>
    <row r="2628" spans="1:9">
      <c r="A2628" s="19">
        <v>622.20000000000005</v>
      </c>
      <c r="B2628" s="43">
        <v>120.4631878205891</v>
      </c>
      <c r="C2628" s="43">
        <v>121.63415491507706</v>
      </c>
      <c r="D2628" s="43">
        <v>122.63403791457912</v>
      </c>
      <c r="E2628" s="43">
        <v>123.46910929381596</v>
      </c>
      <c r="F2628" s="43">
        <v>124.14901552128089</v>
      </c>
      <c r="G2628" s="43">
        <v>124.68535093931234</v>
      </c>
      <c r="H2628" s="43">
        <v>125.09057312128874</v>
      </c>
      <c r="I2628" s="43">
        <v>125.37723906732987</v>
      </c>
    </row>
    <row r="2629" spans="1:9">
      <c r="A2629" s="19">
        <v>622.29999999999995</v>
      </c>
      <c r="B2629" s="43">
        <v>120.48101505234393</v>
      </c>
      <c r="C2629" s="43">
        <v>121.65222642933631</v>
      </c>
      <c r="D2629" s="43">
        <v>122.65237871343564</v>
      </c>
      <c r="E2629" s="43">
        <v>123.48773516341896</v>
      </c>
      <c r="F2629" s="43">
        <v>124.16793402163449</v>
      </c>
      <c r="G2629" s="43">
        <v>124.70456278423512</v>
      </c>
      <c r="H2629" s="43">
        <v>125.11007363617011</v>
      </c>
      <c r="I2629" s="43">
        <v>125.39701953936739</v>
      </c>
    </row>
    <row r="2630" spans="1:9">
      <c r="A2630" s="19">
        <v>622.4</v>
      </c>
      <c r="B2630" s="43">
        <v>120.49884201117288</v>
      </c>
      <c r="C2630" s="43">
        <v>121.67029758651856</v>
      </c>
      <c r="D2630" s="43">
        <v>122.67071907821332</v>
      </c>
      <c r="E2630" s="43">
        <v>123.50636053243494</v>
      </c>
      <c r="F2630" s="43">
        <v>124.18685196722689</v>
      </c>
      <c r="G2630" s="43">
        <v>124.72377403302755</v>
      </c>
      <c r="H2630" s="43">
        <v>125.12957352588214</v>
      </c>
      <c r="I2630" s="43">
        <v>125.41679936862022</v>
      </c>
    </row>
    <row r="2631" spans="1:9">
      <c r="A2631" s="19">
        <v>622.5</v>
      </c>
      <c r="B2631" s="43">
        <v>120.51666869724832</v>
      </c>
      <c r="C2631" s="43">
        <v>121.68836838683825</v>
      </c>
      <c r="D2631" s="43">
        <v>122.68905900906799</v>
      </c>
      <c r="E2631" s="43">
        <v>123.52498540102604</v>
      </c>
      <c r="F2631" s="43">
        <v>124.20576935824963</v>
      </c>
      <c r="G2631" s="43">
        <v>124.74298468582654</v>
      </c>
      <c r="H2631" s="43">
        <v>125.14907279057891</v>
      </c>
      <c r="I2631" s="43">
        <v>125.43657855520661</v>
      </c>
    </row>
    <row r="2632" spans="1:9">
      <c r="A2632" s="19">
        <v>622.6</v>
      </c>
      <c r="B2632" s="43">
        <v>120.53449511094922</v>
      </c>
      <c r="C2632" s="43">
        <v>121.70643883065236</v>
      </c>
      <c r="D2632" s="43">
        <v>122.70739850637344</v>
      </c>
      <c r="E2632" s="43">
        <v>123.5436097695769</v>
      </c>
      <c r="F2632" s="43">
        <v>124.22468619497448</v>
      </c>
      <c r="G2632" s="43">
        <v>124.76219474292921</v>
      </c>
      <c r="H2632" s="43">
        <v>125.1685714304904</v>
      </c>
      <c r="I2632" s="43">
        <v>125.45635709932915</v>
      </c>
    </row>
    <row r="2633" spans="1:9">
      <c r="A2633" s="19">
        <v>622.70000000000005</v>
      </c>
      <c r="B2633" s="43">
        <v>120.55232125225638</v>
      </c>
      <c r="C2633" s="43">
        <v>121.72450891801552</v>
      </c>
      <c r="D2633" s="43">
        <v>122.72573757020189</v>
      </c>
      <c r="E2633" s="43">
        <v>123.56223363811594</v>
      </c>
      <c r="F2633" s="43">
        <v>124.24360247748996</v>
      </c>
      <c r="G2633" s="43">
        <v>124.78140420439644</v>
      </c>
      <c r="H2633" s="43">
        <v>125.18806944570312</v>
      </c>
      <c r="I2633" s="43">
        <v>125.47613500107477</v>
      </c>
    </row>
    <row r="2634" spans="1:9">
      <c r="A2634" s="19">
        <v>622.79999999999995</v>
      </c>
      <c r="B2634" s="43">
        <v>120.57014712126389</v>
      </c>
      <c r="C2634" s="43">
        <v>121.74257864901801</v>
      </c>
      <c r="D2634" s="43">
        <v>122.74407620066137</v>
      </c>
      <c r="E2634" s="43">
        <v>123.58085700678382</v>
      </c>
      <c r="F2634" s="43">
        <v>124.26251820595647</v>
      </c>
      <c r="G2634" s="43">
        <v>124.80061307036155</v>
      </c>
      <c r="H2634" s="43">
        <v>125.20756683632715</v>
      </c>
      <c r="I2634" s="43">
        <v>125.49591226052439</v>
      </c>
    </row>
    <row r="2635" spans="1:9">
      <c r="A2635" s="19">
        <v>622.9</v>
      </c>
      <c r="B2635" s="43">
        <v>120.58797271846558</v>
      </c>
      <c r="C2635" s="43">
        <v>121.76064802413762</v>
      </c>
      <c r="D2635" s="43">
        <v>122.76241439820689</v>
      </c>
      <c r="E2635" s="43">
        <v>123.599479876007</v>
      </c>
      <c r="F2635" s="43">
        <v>124.2814333807095</v>
      </c>
      <c r="G2635" s="43">
        <v>124.81982134116686</v>
      </c>
      <c r="H2635" s="43">
        <v>125.2270636026241</v>
      </c>
      <c r="I2635" s="43">
        <v>125.51568887791279</v>
      </c>
    </row>
    <row r="2636" spans="1:9">
      <c r="A2636" s="19">
        <v>623</v>
      </c>
      <c r="B2636" s="43">
        <v>120.60579804367316</v>
      </c>
      <c r="C2636" s="43">
        <v>121.77871704328882</v>
      </c>
      <c r="D2636" s="43">
        <v>122.78075216276474</v>
      </c>
      <c r="E2636" s="43">
        <v>123.61810224576345</v>
      </c>
      <c r="F2636" s="43">
        <v>124.30034800177663</v>
      </c>
      <c r="G2636" s="43">
        <v>124.8390290167878</v>
      </c>
      <c r="H2636" s="43">
        <v>125.24655974465398</v>
      </c>
      <c r="I2636" s="43">
        <v>125.53546485327601</v>
      </c>
    </row>
    <row r="2637" spans="1:9">
      <c r="A2637" s="19">
        <v>623.1</v>
      </c>
      <c r="B2637" s="43">
        <v>120.62362309722079</v>
      </c>
      <c r="C2637" s="43">
        <v>121.79678570669353</v>
      </c>
      <c r="D2637" s="43">
        <v>122.79908949462151</v>
      </c>
      <c r="E2637" s="43">
        <v>123.63672411628883</v>
      </c>
      <c r="F2637" s="43">
        <v>124.31926206938581</v>
      </c>
      <c r="G2637" s="43">
        <v>124.8582360974826</v>
      </c>
      <c r="H2637" s="43">
        <v>125.26605526257904</v>
      </c>
      <c r="I2637" s="43">
        <v>125.55524018675146</v>
      </c>
    </row>
    <row r="2638" spans="1:9">
      <c r="A2638" s="19">
        <v>623.20000000000005</v>
      </c>
      <c r="B2638" s="43">
        <v>120.64144787931235</v>
      </c>
      <c r="C2638" s="43">
        <v>121.81485401468939</v>
      </c>
      <c r="D2638" s="43">
        <v>122.81742639406565</v>
      </c>
      <c r="E2638" s="43">
        <v>123.65534548786371</v>
      </c>
      <c r="F2638" s="43">
        <v>124.33817558377194</v>
      </c>
      <c r="G2638" s="43">
        <v>124.87744258345836</v>
      </c>
      <c r="H2638" s="43">
        <v>125.28555015659708</v>
      </c>
      <c r="I2638" s="43">
        <v>125.57501487854435</v>
      </c>
    </row>
    <row r="2639" spans="1:9">
      <c r="A2639" s="19">
        <v>623.29999999999995</v>
      </c>
      <c r="B2639" s="43">
        <v>120.65927238998947</v>
      </c>
      <c r="C2639" s="43">
        <v>121.83292196729775</v>
      </c>
      <c r="D2639" s="43">
        <v>122.83576286112219</v>
      </c>
      <c r="E2639" s="43">
        <v>123.67396636057509</v>
      </c>
      <c r="F2639" s="43">
        <v>124.35708854505026</v>
      </c>
      <c r="G2639" s="43">
        <v>124.89664847477601</v>
      </c>
      <c r="H2639" s="43">
        <v>125.30504442678745</v>
      </c>
      <c r="I2639" s="43">
        <v>125.59478892867344</v>
      </c>
    </row>
    <row r="2640" spans="1:9">
      <c r="A2640" s="19">
        <v>623.4</v>
      </c>
      <c r="B2640" s="43">
        <v>120.67709662944523</v>
      </c>
      <c r="C2640" s="43">
        <v>121.85098956472996</v>
      </c>
      <c r="D2640" s="43">
        <v>122.85409889607297</v>
      </c>
      <c r="E2640" s="43">
        <v>123.69258673464503</v>
      </c>
      <c r="F2640" s="43">
        <v>124.37600095341304</v>
      </c>
      <c r="G2640" s="43">
        <v>124.91585377167991</v>
      </c>
      <c r="H2640" s="43">
        <v>125.32453807334454</v>
      </c>
      <c r="I2640" s="43">
        <v>125.61456233733006</v>
      </c>
    </row>
    <row r="2641" spans="1:9">
      <c r="A2641" s="19">
        <v>623.5</v>
      </c>
      <c r="B2641" s="43">
        <v>120.69492059799163</v>
      </c>
      <c r="C2641" s="43">
        <v>121.86905680730865</v>
      </c>
      <c r="D2641" s="43">
        <v>122.87243449920399</v>
      </c>
      <c r="E2641" s="43">
        <v>123.7112066103345</v>
      </c>
      <c r="F2641" s="43">
        <v>124.39491280913074</v>
      </c>
      <c r="G2641" s="43">
        <v>124.9350584743477</v>
      </c>
      <c r="H2641" s="43">
        <v>125.34403109642398</v>
      </c>
      <c r="I2641" s="43">
        <v>125.6343351046624</v>
      </c>
    </row>
    <row r="2642" spans="1:9">
      <c r="A2642" s="19">
        <v>623.6</v>
      </c>
      <c r="B2642" s="43">
        <v>120.71274429564309</v>
      </c>
      <c r="C2642" s="43">
        <v>121.88712369507843</v>
      </c>
      <c r="D2642" s="43">
        <v>122.89076967055581</v>
      </c>
      <c r="E2642" s="43">
        <v>123.72982598775081</v>
      </c>
      <c r="F2642" s="43">
        <v>124.41382411226849</v>
      </c>
      <c r="G2642" s="43">
        <v>124.95426258291357</v>
      </c>
      <c r="H2642" s="43">
        <v>125.36352349615103</v>
      </c>
      <c r="I2642" s="43">
        <v>125.65410723075067</v>
      </c>
    </row>
    <row r="2643" spans="1:9">
      <c r="A2643" s="19">
        <v>623.70000000000005</v>
      </c>
      <c r="B2643" s="43">
        <v>120.73056772247347</v>
      </c>
      <c r="C2643" s="43">
        <v>121.90519022816534</v>
      </c>
      <c r="D2643" s="43">
        <v>122.90910441030573</v>
      </c>
      <c r="E2643" s="43">
        <v>123.74844486704339</v>
      </c>
      <c r="F2643" s="43">
        <v>124.43273486302169</v>
      </c>
      <c r="G2643" s="43">
        <v>124.97346609751688</v>
      </c>
      <c r="H2643" s="43">
        <v>125.38301527264812</v>
      </c>
      <c r="I2643" s="43">
        <v>125.67387871570702</v>
      </c>
    </row>
    <row r="2644" spans="1:9">
      <c r="A2644" s="19">
        <v>623.79999999999995</v>
      </c>
      <c r="B2644" s="43">
        <v>120.74839087893423</v>
      </c>
      <c r="C2644" s="43">
        <v>121.92325640693065</v>
      </c>
      <c r="D2644" s="43">
        <v>122.92743871874637</v>
      </c>
      <c r="E2644" s="43">
        <v>123.76706324852765</v>
      </c>
      <c r="F2644" s="43">
        <v>124.45164506164454</v>
      </c>
      <c r="G2644" s="43">
        <v>124.99266901838882</v>
      </c>
      <c r="H2644" s="43">
        <v>125.40250642613776</v>
      </c>
      <c r="I2644" s="43">
        <v>125.69364955972239</v>
      </c>
    </row>
    <row r="2645" spans="1:9">
      <c r="A2645" s="19">
        <v>623.9</v>
      </c>
      <c r="B2645" s="43">
        <v>120.76621376508078</v>
      </c>
      <c r="C2645" s="43">
        <v>121.94132223153861</v>
      </c>
      <c r="D2645" s="43">
        <v>122.94577259615093</v>
      </c>
      <c r="E2645" s="43">
        <v>123.78568113239967</v>
      </c>
      <c r="F2645" s="43">
        <v>124.47055470832103</v>
      </c>
      <c r="G2645" s="43">
        <v>125.01187134570557</v>
      </c>
      <c r="H2645" s="43">
        <v>125.42199695675956</v>
      </c>
      <c r="I2645" s="43">
        <v>125.7134197629195</v>
      </c>
    </row>
    <row r="2646" spans="1:9">
      <c r="A2646" s="19">
        <v>624</v>
      </c>
      <c r="B2646" s="43">
        <v>120.78403638089637</v>
      </c>
      <c r="C2646" s="43">
        <v>121.95938770199763</v>
      </c>
      <c r="D2646" s="43">
        <v>122.96410604245074</v>
      </c>
      <c r="E2646" s="43">
        <v>123.80429851869789</v>
      </c>
      <c r="F2646" s="43">
        <v>124.48946380314052</v>
      </c>
      <c r="G2646" s="43">
        <v>125.03107307954318</v>
      </c>
      <c r="H2646" s="43">
        <v>125.44148686459499</v>
      </c>
      <c r="I2646" s="43">
        <v>125.73318932536867</v>
      </c>
    </row>
    <row r="2647" spans="1:9">
      <c r="A2647" s="19">
        <v>624.1</v>
      </c>
      <c r="B2647" s="43">
        <v>120.8018587266956</v>
      </c>
      <c r="C2647" s="43">
        <v>121.97745281859821</v>
      </c>
      <c r="D2647" s="43">
        <v>122.98243905802025</v>
      </c>
      <c r="E2647" s="43">
        <v>123.82291540769751</v>
      </c>
      <c r="F2647" s="43">
        <v>124.50837234633076</v>
      </c>
      <c r="G2647" s="43">
        <v>125.05027422013009</v>
      </c>
      <c r="H2647" s="43">
        <v>125.46097614982145</v>
      </c>
      <c r="I2647" s="43">
        <v>125.75295824723079</v>
      </c>
    </row>
    <row r="2648" spans="1:9">
      <c r="A2648" s="19">
        <v>624.20000000000005</v>
      </c>
      <c r="B2648" s="43">
        <v>120.81968080269144</v>
      </c>
      <c r="C2648" s="43">
        <v>121.99551758159066</v>
      </c>
      <c r="D2648" s="43">
        <v>123.00077164303354</v>
      </c>
      <c r="E2648" s="43">
        <v>123.84153179967674</v>
      </c>
      <c r="F2648" s="43">
        <v>124.52728033813122</v>
      </c>
      <c r="G2648" s="43">
        <v>125.06947476765689</v>
      </c>
      <c r="H2648" s="43">
        <v>125.48046481262537</v>
      </c>
      <c r="I2648" s="43">
        <v>125.77272652865156</v>
      </c>
    </row>
    <row r="2649" spans="1:9">
      <c r="A2649" s="19">
        <v>624.29999999999995</v>
      </c>
      <c r="B2649" s="43">
        <v>120.83750260897975</v>
      </c>
      <c r="C2649" s="43">
        <v>122.01358199109137</v>
      </c>
      <c r="D2649" s="43">
        <v>123.01910379769535</v>
      </c>
      <c r="E2649" s="43">
        <v>123.86014769472027</v>
      </c>
      <c r="F2649" s="43">
        <v>124.54618777866131</v>
      </c>
      <c r="G2649" s="43">
        <v>125.08867472227183</v>
      </c>
      <c r="H2649" s="43">
        <v>125.49995285312426</v>
      </c>
      <c r="I2649" s="43">
        <v>125.79249416974494</v>
      </c>
    </row>
    <row r="2650" spans="1:9">
      <c r="A2650" s="19">
        <v>624.4</v>
      </c>
      <c r="B2650" s="43">
        <v>120.85532414564076</v>
      </c>
      <c r="C2650" s="43">
        <v>122.03164604717924</v>
      </c>
      <c r="D2650" s="43">
        <v>123.03743552207496</v>
      </c>
      <c r="E2650" s="43">
        <v>123.87876309297187</v>
      </c>
      <c r="F2650" s="43">
        <v>124.56509466805863</v>
      </c>
      <c r="G2650" s="43">
        <v>125.10787408407202</v>
      </c>
      <c r="H2650" s="43">
        <v>125.51944027144503</v>
      </c>
      <c r="I2650" s="43">
        <v>125.81226117058395</v>
      </c>
    </row>
    <row r="2651" spans="1:9">
      <c r="A2651" s="19">
        <v>624.5</v>
      </c>
      <c r="B2651" s="43">
        <v>120.87314541305753</v>
      </c>
      <c r="C2651" s="43">
        <v>122.04970975028203</v>
      </c>
      <c r="D2651" s="43">
        <v>123.05576681654392</v>
      </c>
      <c r="E2651" s="43">
        <v>123.89737799477015</v>
      </c>
      <c r="F2651" s="43">
        <v>124.58400100664539</v>
      </c>
      <c r="G2651" s="43">
        <v>125.12707285336907</v>
      </c>
      <c r="H2651" s="43">
        <v>125.53892706781522</v>
      </c>
      <c r="I2651" s="43">
        <v>125.83202753141131</v>
      </c>
    </row>
    <row r="2652" spans="1:9">
      <c r="A2652" s="19">
        <v>624.6</v>
      </c>
      <c r="B2652" s="43">
        <v>120.89096641128225</v>
      </c>
      <c r="C2652" s="43">
        <v>122.06777310044995</v>
      </c>
      <c r="D2652" s="43">
        <v>123.07409768120297</v>
      </c>
      <c r="E2652" s="43">
        <v>123.91599240025511</v>
      </c>
      <c r="F2652" s="43">
        <v>124.60290679452882</v>
      </c>
      <c r="G2652" s="43">
        <v>125.14627103024335</v>
      </c>
      <c r="H2652" s="43">
        <v>125.55841324233006</v>
      </c>
      <c r="I2652" s="43">
        <v>125.85179325227975</v>
      </c>
    </row>
    <row r="2653" spans="1:9">
      <c r="A2653" s="19">
        <v>624.70000000000005</v>
      </c>
      <c r="B2653" s="43">
        <v>120.90878714030208</v>
      </c>
      <c r="C2653" s="43">
        <v>122.08583609771406</v>
      </c>
      <c r="D2653" s="43">
        <v>123.09242811613231</v>
      </c>
      <c r="E2653" s="43">
        <v>123.93460630948255</v>
      </c>
      <c r="F2653" s="43">
        <v>124.62181203179716</v>
      </c>
      <c r="G2653" s="43">
        <v>125.16546861478091</v>
      </c>
      <c r="H2653" s="43">
        <v>125.57789879507814</v>
      </c>
      <c r="I2653" s="43">
        <v>125.87155833329868</v>
      </c>
    </row>
    <row r="2654" spans="1:9">
      <c r="A2654" s="19">
        <v>624.79999999999995</v>
      </c>
      <c r="B2654" s="43">
        <v>120.92660760065289</v>
      </c>
      <c r="C2654" s="43">
        <v>122.10389874256558</v>
      </c>
      <c r="D2654" s="43">
        <v>123.11075812178908</v>
      </c>
      <c r="E2654" s="43">
        <v>123.95321972288735</v>
      </c>
      <c r="F2654" s="43">
        <v>124.64071671882485</v>
      </c>
      <c r="G2654" s="43">
        <v>125.18466560736459</v>
      </c>
      <c r="H2654" s="43">
        <v>125.59738372636187</v>
      </c>
      <c r="I2654" s="43">
        <v>125.89132277467087</v>
      </c>
    </row>
    <row r="2655" spans="1:9">
      <c r="A2655" s="19">
        <v>624.9</v>
      </c>
      <c r="B2655" s="43">
        <v>120.94442779218389</v>
      </c>
      <c r="C2655" s="43">
        <v>122.12196103495174</v>
      </c>
      <c r="D2655" s="43">
        <v>123.1290876981532</v>
      </c>
      <c r="E2655" s="43">
        <v>123.97183264046637</v>
      </c>
      <c r="F2655" s="43">
        <v>124.65962085562731</v>
      </c>
      <c r="G2655" s="43">
        <v>125.20386200796605</v>
      </c>
      <c r="H2655" s="43">
        <v>125.61686803619995</v>
      </c>
      <c r="I2655" s="43">
        <v>125.91108657646529</v>
      </c>
    </row>
    <row r="2656" spans="1:9">
      <c r="A2656" s="19">
        <v>625</v>
      </c>
      <c r="B2656" s="43">
        <v>120.96224771509347</v>
      </c>
      <c r="C2656" s="43">
        <v>122.14002297509305</v>
      </c>
      <c r="D2656" s="43">
        <v>123.14741684540434</v>
      </c>
      <c r="E2656" s="43">
        <v>123.99044506241862</v>
      </c>
      <c r="F2656" s="43">
        <v>124.67852444242592</v>
      </c>
      <c r="G2656" s="43">
        <v>125.22305781680598</v>
      </c>
      <c r="H2656" s="43">
        <v>125.63635172475111</v>
      </c>
      <c r="I2656" s="43">
        <v>125.93084973879508</v>
      </c>
    </row>
    <row r="2657" spans="1:9">
      <c r="A2657" s="19">
        <v>625.1</v>
      </c>
      <c r="B2657" s="43">
        <v>120.98006736980247</v>
      </c>
      <c r="C2657" s="43">
        <v>122.15808456331035</v>
      </c>
      <c r="D2657" s="43">
        <v>123.16574556393212</v>
      </c>
      <c r="E2657" s="43">
        <v>124.00905698909818</v>
      </c>
      <c r="F2657" s="43">
        <v>124.69742747951713</v>
      </c>
      <c r="G2657" s="43">
        <v>125.2422530341336</v>
      </c>
      <c r="H2657" s="43">
        <v>125.65583479227246</v>
      </c>
      <c r="I2657" s="43">
        <v>125.95061226187283</v>
      </c>
    </row>
    <row r="2658" spans="1:9">
      <c r="A2658" s="19">
        <v>625.20000000000005</v>
      </c>
      <c r="B2658" s="43">
        <v>120.99788675615162</v>
      </c>
      <c r="C2658" s="43">
        <v>122.17614579959968</v>
      </c>
      <c r="D2658" s="43">
        <v>123.18407385371697</v>
      </c>
      <c r="E2658" s="43">
        <v>124.0276684204936</v>
      </c>
      <c r="F2658" s="43">
        <v>124.71632996693486</v>
      </c>
      <c r="G2658" s="43">
        <v>125.26144766000289</v>
      </c>
      <c r="H2658" s="43">
        <v>125.67531723879046</v>
      </c>
      <c r="I2658" s="43">
        <v>125.97037414573211</v>
      </c>
    </row>
    <row r="2659" spans="1:9">
      <c r="A2659" s="19">
        <v>625.29999999999995</v>
      </c>
      <c r="B2659" s="43">
        <v>121.01570587442652</v>
      </c>
      <c r="C2659" s="43">
        <v>122.19420668419093</v>
      </c>
      <c r="D2659" s="43">
        <v>123.20240171497579</v>
      </c>
      <c r="E2659" s="43">
        <v>124.04627935686972</v>
      </c>
      <c r="F2659" s="43">
        <v>124.73523190488262</v>
      </c>
      <c r="G2659" s="43">
        <v>125.28064169462309</v>
      </c>
      <c r="H2659" s="43">
        <v>125.69479906449527</v>
      </c>
      <c r="I2659" s="43">
        <v>125.99013539053726</v>
      </c>
    </row>
    <row r="2660" spans="1:9">
      <c r="A2660" s="19">
        <v>625.4</v>
      </c>
      <c r="B2660" s="43">
        <v>121.03352472498196</v>
      </c>
      <c r="C2660" s="43">
        <v>122.21226721746666</v>
      </c>
      <c r="D2660" s="43">
        <v>123.2207291481115</v>
      </c>
      <c r="E2660" s="43">
        <v>124.06488979855337</v>
      </c>
      <c r="F2660" s="43">
        <v>124.75413329367427</v>
      </c>
      <c r="G2660" s="43">
        <v>125.29983513824018</v>
      </c>
      <c r="H2660" s="43">
        <v>125.71428026957949</v>
      </c>
      <c r="I2660" s="43">
        <v>126.00989599646542</v>
      </c>
    </row>
    <row r="2661" spans="1:9">
      <c r="A2661" s="19">
        <v>625.5</v>
      </c>
      <c r="B2661" s="43">
        <v>121.05134330769317</v>
      </c>
      <c r="C2661" s="43">
        <v>122.23032739936335</v>
      </c>
      <c r="D2661" s="43">
        <v>123.23905615307501</v>
      </c>
      <c r="E2661" s="43">
        <v>124.08349974554275</v>
      </c>
      <c r="F2661" s="43">
        <v>124.77303413335204</v>
      </c>
      <c r="G2661" s="43">
        <v>125.31902799089923</v>
      </c>
      <c r="H2661" s="43">
        <v>125.73376085414688</v>
      </c>
      <c r="I2661" s="43">
        <v>126.02965596359343</v>
      </c>
    </row>
    <row r="2662" spans="1:9">
      <c r="A2662" s="19">
        <v>625.6</v>
      </c>
      <c r="B2662" s="43">
        <v>121.06916162277744</v>
      </c>
      <c r="C2662" s="43">
        <v>122.24838723004771</v>
      </c>
      <c r="D2662" s="43">
        <v>123.25738273010305</v>
      </c>
      <c r="E2662" s="43">
        <v>124.10210919804891</v>
      </c>
      <c r="F2662" s="43">
        <v>124.79193442409846</v>
      </c>
      <c r="G2662" s="43">
        <v>125.33822025279591</v>
      </c>
      <c r="H2662" s="43">
        <v>125.75324081830792</v>
      </c>
      <c r="I2662" s="43">
        <v>126.04941529200752</v>
      </c>
    </row>
    <row r="2663" spans="1:9">
      <c r="A2663" s="19">
        <v>625.70000000000005</v>
      </c>
      <c r="B2663" s="43">
        <v>121.08697967060039</v>
      </c>
      <c r="C2663" s="43">
        <v>122.26644670995978</v>
      </c>
      <c r="D2663" s="43">
        <v>123.27570887951714</v>
      </c>
      <c r="E2663" s="43">
        <v>124.12071815641622</v>
      </c>
      <c r="F2663" s="43">
        <v>124.81083416621252</v>
      </c>
      <c r="G2663" s="43">
        <v>125.3574119242034</v>
      </c>
      <c r="H2663" s="43">
        <v>125.77272016235185</v>
      </c>
      <c r="I2663" s="43">
        <v>126.06917398194358</v>
      </c>
    </row>
    <row r="2664" spans="1:9">
      <c r="A2664" s="19">
        <v>625.79999999999995</v>
      </c>
      <c r="B2664" s="43">
        <v>121.10479745117769</v>
      </c>
      <c r="C2664" s="43">
        <v>122.28450583908304</v>
      </c>
      <c r="D2664" s="43">
        <v>123.29403460139937</v>
      </c>
      <c r="E2664" s="43">
        <v>124.13932662070903</v>
      </c>
      <c r="F2664" s="43">
        <v>124.82973335980085</v>
      </c>
      <c r="G2664" s="43">
        <v>125.37660300518473</v>
      </c>
      <c r="H2664" s="43">
        <v>125.79219888629626</v>
      </c>
      <c r="I2664" s="43">
        <v>126.08893203346139</v>
      </c>
    </row>
    <row r="2665" spans="1:9">
      <c r="A2665" s="19">
        <v>625.9</v>
      </c>
      <c r="B2665" s="43">
        <v>121.12261496457882</v>
      </c>
      <c r="C2665" s="43">
        <v>122.30256461756005</v>
      </c>
      <c r="D2665" s="43">
        <v>123.3123598958837</v>
      </c>
      <c r="E2665" s="43">
        <v>124.15793459107545</v>
      </c>
      <c r="F2665" s="43">
        <v>124.84863200498151</v>
      </c>
      <c r="G2665" s="43">
        <v>125.39579349587791</v>
      </c>
      <c r="H2665" s="43">
        <v>125.81167699030229</v>
      </c>
      <c r="I2665" s="43">
        <v>126.10868944667854</v>
      </c>
    </row>
    <row r="2666" spans="1:9">
      <c r="A2666" s="19">
        <v>626</v>
      </c>
      <c r="B2666" s="43">
        <v>121.14043221117004</v>
      </c>
      <c r="C2666" s="43">
        <v>122.32062304576405</v>
      </c>
      <c r="D2666" s="43">
        <v>123.33068476332696</v>
      </c>
      <c r="E2666" s="43">
        <v>124.17654206782598</v>
      </c>
      <c r="F2666" s="43">
        <v>124.86753010206507</v>
      </c>
      <c r="G2666" s="43">
        <v>125.41498339656138</v>
      </c>
      <c r="H2666" s="43">
        <v>125.83115447459448</v>
      </c>
      <c r="I2666" s="43">
        <v>126.12844622176431</v>
      </c>
    </row>
    <row r="2667" spans="1:9">
      <c r="A2667" s="19">
        <v>626.1</v>
      </c>
      <c r="B2667" s="43">
        <v>121.15824919096983</v>
      </c>
      <c r="C2667" s="43">
        <v>122.33868112370635</v>
      </c>
      <c r="D2667" s="43">
        <v>123.34900920380306</v>
      </c>
      <c r="E2667" s="43">
        <v>124.19514905110174</v>
      </c>
      <c r="F2667" s="43">
        <v>124.88642765115202</v>
      </c>
      <c r="G2667" s="43">
        <v>125.43417270732235</v>
      </c>
      <c r="H2667" s="43">
        <v>125.8506313392557</v>
      </c>
      <c r="I2667" s="43">
        <v>126.1482023588176</v>
      </c>
    </row>
    <row r="2668" spans="1:9">
      <c r="A2668" s="19">
        <v>626.20000000000005</v>
      </c>
      <c r="B2668" s="43">
        <v>121.17606590418686</v>
      </c>
      <c r="C2668" s="43">
        <v>122.35673885160577</v>
      </c>
      <c r="D2668" s="43">
        <v>123.36733321746942</v>
      </c>
      <c r="E2668" s="43">
        <v>124.21375554103815</v>
      </c>
      <c r="F2668" s="43">
        <v>124.90532465241731</v>
      </c>
      <c r="G2668" s="43">
        <v>125.45336142834483</v>
      </c>
      <c r="H2668" s="43">
        <v>125.87010758441801</v>
      </c>
      <c r="I2668" s="43">
        <v>126.1679578579695</v>
      </c>
    </row>
    <row r="2669" spans="1:9">
      <c r="A2669" s="19">
        <v>626.29999999999995</v>
      </c>
      <c r="B2669" s="43">
        <v>121.19388235096221</v>
      </c>
      <c r="C2669" s="43">
        <v>122.37479622966509</v>
      </c>
      <c r="D2669" s="43">
        <v>123.38565680457262</v>
      </c>
      <c r="E2669" s="43">
        <v>124.23236153787755</v>
      </c>
      <c r="F2669" s="43">
        <v>124.92422110607092</v>
      </c>
      <c r="G2669" s="43">
        <v>125.47254955980628</v>
      </c>
      <c r="H2669" s="43">
        <v>125.88958321030162</v>
      </c>
      <c r="I2669" s="43">
        <v>126.18771271935321</v>
      </c>
    </row>
    <row r="2670" spans="1:9">
      <c r="A2670" s="19">
        <v>626.4</v>
      </c>
      <c r="B2670" s="43">
        <v>121.21169853157815</v>
      </c>
      <c r="C2670" s="43">
        <v>122.39285325816593</v>
      </c>
      <c r="D2670" s="43">
        <v>123.40397996542163</v>
      </c>
      <c r="E2670" s="43">
        <v>124.25096704188545</v>
      </c>
      <c r="F2670" s="43">
        <v>124.943117012356</v>
      </c>
      <c r="G2670" s="43">
        <v>125.49173710191701</v>
      </c>
      <c r="H2670" s="43">
        <v>125.90905821705658</v>
      </c>
      <c r="I2670" s="43">
        <v>126.20746694313306</v>
      </c>
    </row>
    <row r="2671" spans="1:9">
      <c r="A2671" s="19">
        <v>626.5</v>
      </c>
      <c r="B2671" s="43">
        <v>121.22951444608964</v>
      </c>
      <c r="C2671" s="43">
        <v>122.41090993715326</v>
      </c>
      <c r="D2671" s="43">
        <v>123.42230270005587</v>
      </c>
      <c r="E2671" s="43">
        <v>124.26957205313428</v>
      </c>
      <c r="F2671" s="43">
        <v>124.9620123713666</v>
      </c>
      <c r="G2671" s="43">
        <v>125.51092405477428</v>
      </c>
      <c r="H2671" s="43">
        <v>125.92853260478486</v>
      </c>
      <c r="I2671" s="43">
        <v>126.22722052940307</v>
      </c>
    </row>
    <row r="2672" spans="1:9">
      <c r="A2672" s="19">
        <v>626.6</v>
      </c>
      <c r="B2672" s="43">
        <v>121.24733009456389</v>
      </c>
      <c r="C2672" s="43">
        <v>122.42896626677205</v>
      </c>
      <c r="D2672" s="43">
        <v>123.44062500863168</v>
      </c>
      <c r="E2672" s="43">
        <v>124.28817657182367</v>
      </c>
      <c r="F2672" s="43">
        <v>124.98090718324093</v>
      </c>
      <c r="G2672" s="43">
        <v>125.53011041855657</v>
      </c>
      <c r="H2672" s="43">
        <v>125.94800637362042</v>
      </c>
      <c r="I2672" s="43">
        <v>126.24697347826347</v>
      </c>
    </row>
    <row r="2673" spans="1:9">
      <c r="A2673" s="19">
        <v>626.70000000000005</v>
      </c>
      <c r="B2673" s="43">
        <v>121.26514547740905</v>
      </c>
      <c r="C2673" s="43">
        <v>122.44702224739751</v>
      </c>
      <c r="D2673" s="43">
        <v>123.45894689148327</v>
      </c>
      <c r="E2673" s="43">
        <v>124.30678059822264</v>
      </c>
      <c r="F2673" s="43">
        <v>124.9998014483366</v>
      </c>
      <c r="G2673" s="43">
        <v>125.54929619348349</v>
      </c>
      <c r="H2673" s="43">
        <v>125.96747952378399</v>
      </c>
      <c r="I2673" s="43">
        <v>126.26672578990033</v>
      </c>
    </row>
    <row r="2674" spans="1:9">
      <c r="A2674" s="19">
        <v>626.79999999999995</v>
      </c>
      <c r="B2674" s="43">
        <v>121.28296059456673</v>
      </c>
      <c r="C2674" s="43">
        <v>122.46507787900114</v>
      </c>
      <c r="D2674" s="43">
        <v>123.47726834868726</v>
      </c>
      <c r="E2674" s="43">
        <v>124.3253841324414</v>
      </c>
      <c r="F2674" s="43">
        <v>125.01869516664169</v>
      </c>
      <c r="G2674" s="43">
        <v>125.56848137965162</v>
      </c>
      <c r="H2674" s="43">
        <v>125.9869520553475</v>
      </c>
      <c r="I2674" s="43">
        <v>126.28647746438713</v>
      </c>
    </row>
    <row r="2675" spans="1:9">
      <c r="A2675" s="19">
        <v>626.9</v>
      </c>
      <c r="B2675" s="43">
        <v>121.30077544628432</v>
      </c>
      <c r="C2675" s="43">
        <v>122.48313316185062</v>
      </c>
      <c r="D2675" s="43">
        <v>123.49558938044123</v>
      </c>
      <c r="E2675" s="43">
        <v>124.34398717466226</v>
      </c>
      <c r="F2675" s="43">
        <v>125.03758833843693</v>
      </c>
      <c r="G2675" s="43">
        <v>125.58766597724392</v>
      </c>
      <c r="H2675" s="43">
        <v>126.00642396848662</v>
      </c>
      <c r="I2675" s="43">
        <v>126.30622850186484</v>
      </c>
    </row>
    <row r="2676" spans="1:9">
      <c r="A2676" s="19">
        <v>627</v>
      </c>
      <c r="B2676" s="43">
        <v>121.31859003282992</v>
      </c>
      <c r="C2676" s="43">
        <v>122.50118809625639</v>
      </c>
      <c r="D2676" s="43">
        <v>123.5139099870745</v>
      </c>
      <c r="E2676" s="43">
        <v>124.36258972521892</v>
      </c>
      <c r="F2676" s="43">
        <v>125.05648096396177</v>
      </c>
      <c r="G2676" s="43">
        <v>125.606849986512</v>
      </c>
      <c r="H2676" s="43">
        <v>126.02589526342319</v>
      </c>
      <c r="I2676" s="43">
        <v>126.32597890254269</v>
      </c>
    </row>
    <row r="2677" spans="1:9">
      <c r="A2677" s="19">
        <v>627.1</v>
      </c>
      <c r="B2677" s="43">
        <v>121.3364043541884</v>
      </c>
      <c r="C2677" s="43">
        <v>122.51924268218525</v>
      </c>
      <c r="D2677" s="43">
        <v>123.53223016859664</v>
      </c>
      <c r="E2677" s="43">
        <v>124.38119178410548</v>
      </c>
      <c r="F2677" s="43">
        <v>125.07537304324489</v>
      </c>
      <c r="G2677" s="43">
        <v>125.6260334075493</v>
      </c>
      <c r="H2677" s="43">
        <v>126.04536594020411</v>
      </c>
      <c r="I2677" s="43">
        <v>126.34572866644336</v>
      </c>
    </row>
    <row r="2678" spans="1:9">
      <c r="A2678" s="19">
        <v>627.20000000000005</v>
      </c>
      <c r="B2678" s="43">
        <v>121.3542184105211</v>
      </c>
      <c r="C2678" s="43">
        <v>122.5372969198435</v>
      </c>
      <c r="D2678" s="43">
        <v>123.55054992519783</v>
      </c>
      <c r="E2678" s="43">
        <v>124.39979335158316</v>
      </c>
      <c r="F2678" s="43">
        <v>125.09426457653925</v>
      </c>
      <c r="G2678" s="43">
        <v>125.64521624043994</v>
      </c>
      <c r="H2678" s="43">
        <v>126.06483599897433</v>
      </c>
      <c r="I2678" s="43">
        <v>126.36547779371747</v>
      </c>
    </row>
    <row r="2679" spans="1:9">
      <c r="A2679" s="19">
        <v>627.29999999999995</v>
      </c>
      <c r="B2679" s="43">
        <v>121.37203220221414</v>
      </c>
      <c r="C2679" s="43">
        <v>122.55535080962437</v>
      </c>
      <c r="D2679" s="43">
        <v>123.56886925728384</v>
      </c>
      <c r="E2679" s="43">
        <v>124.41839442794921</v>
      </c>
      <c r="F2679" s="43">
        <v>125.11315556411753</v>
      </c>
      <c r="G2679" s="43">
        <v>125.66439848554901</v>
      </c>
      <c r="H2679" s="43">
        <v>126.08430543999864</v>
      </c>
      <c r="I2679" s="43">
        <v>126.38522628455331</v>
      </c>
    </row>
    <row r="2680" spans="1:9">
      <c r="A2680" s="19">
        <v>627.4</v>
      </c>
      <c r="B2680" s="43">
        <v>121.38984572918235</v>
      </c>
      <c r="C2680" s="43">
        <v>122.57340435149274</v>
      </c>
      <c r="D2680" s="43">
        <v>123.58718816482531</v>
      </c>
      <c r="E2680" s="43">
        <v>124.43699501323596</v>
      </c>
      <c r="F2680" s="43">
        <v>125.13204600604081</v>
      </c>
      <c r="G2680" s="43">
        <v>125.68358014291081</v>
      </c>
      <c r="H2680" s="43">
        <v>126.10377426332721</v>
      </c>
      <c r="I2680" s="43">
        <v>126.40497413902892</v>
      </c>
    </row>
    <row r="2681" spans="1:9">
      <c r="A2681" s="19">
        <v>627.5</v>
      </c>
      <c r="B2681" s="43">
        <v>121.40765899167326</v>
      </c>
      <c r="C2681" s="43">
        <v>122.59145754564355</v>
      </c>
      <c r="D2681" s="43">
        <v>123.60550664806502</v>
      </c>
      <c r="E2681" s="43">
        <v>124.45559510767126</v>
      </c>
      <c r="F2681" s="43">
        <v>125.15093590249086</v>
      </c>
      <c r="G2681" s="43">
        <v>125.70276121267392</v>
      </c>
      <c r="H2681" s="43">
        <v>126.12324246911413</v>
      </c>
      <c r="I2681" s="43">
        <v>126.42472135723364</v>
      </c>
    </row>
    <row r="2682" spans="1:9">
      <c r="A2682" s="19">
        <v>627.6</v>
      </c>
      <c r="B2682" s="43">
        <v>121.42547198998443</v>
      </c>
      <c r="C2682" s="43">
        <v>122.60951039244935</v>
      </c>
      <c r="D2682" s="43">
        <v>123.6238247073193</v>
      </c>
      <c r="E2682" s="43">
        <v>124.47419471157357</v>
      </c>
      <c r="F2682" s="43">
        <v>125.1698252537619</v>
      </c>
      <c r="G2682" s="43">
        <v>125.72194169511963</v>
      </c>
      <c r="H2682" s="43">
        <v>126.14271005758218</v>
      </c>
      <c r="I2682" s="43">
        <v>126.44446793941211</v>
      </c>
    </row>
    <row r="2683" spans="1:9">
      <c r="A2683" s="19">
        <v>627.70000000000005</v>
      </c>
      <c r="B2683" s="43">
        <v>121.44328472410885</v>
      </c>
      <c r="C2683" s="43">
        <v>122.627562891905</v>
      </c>
      <c r="D2683" s="43">
        <v>123.64214234264102</v>
      </c>
      <c r="E2683" s="43">
        <v>124.49279382498406</v>
      </c>
      <c r="F2683" s="43">
        <v>125.1887140599348</v>
      </c>
      <c r="G2683" s="43">
        <v>125.74112159035056</v>
      </c>
      <c r="H2683" s="43">
        <v>126.16217702881033</v>
      </c>
      <c r="I2683" s="43">
        <v>126.46421388560168</v>
      </c>
    </row>
    <row r="2684" spans="1:9">
      <c r="A2684" s="19">
        <v>627.79999999999995</v>
      </c>
      <c r="B2684" s="43">
        <v>121.46109719413877</v>
      </c>
      <c r="C2684" s="43">
        <v>122.64561504414706</v>
      </c>
      <c r="D2684" s="43">
        <v>123.66045955415044</v>
      </c>
      <c r="E2684" s="43">
        <v>124.51139244808289</v>
      </c>
      <c r="F2684" s="43">
        <v>125.20760232115413</v>
      </c>
      <c r="G2684" s="43">
        <v>125.76030089845068</v>
      </c>
      <c r="H2684" s="43">
        <v>126.1816433829261</v>
      </c>
      <c r="I2684" s="43">
        <v>126.48395919591357</v>
      </c>
    </row>
    <row r="2685" spans="1:9">
      <c r="A2685" s="19">
        <v>627.9</v>
      </c>
      <c r="B2685" s="43">
        <v>121.47890940053142</v>
      </c>
      <c r="C2685" s="43">
        <v>122.66366684960431</v>
      </c>
      <c r="D2685" s="43">
        <v>123.67877634227236</v>
      </c>
      <c r="E2685" s="43">
        <v>124.52999058121978</v>
      </c>
      <c r="F2685" s="43">
        <v>125.22649003777175</v>
      </c>
      <c r="G2685" s="43">
        <v>125.77947961976346</v>
      </c>
      <c r="H2685" s="43">
        <v>126.20110912019857</v>
      </c>
      <c r="I2685" s="43">
        <v>126.50370387058717</v>
      </c>
    </row>
    <row r="2686" spans="1:9">
      <c r="A2686" s="19">
        <v>628</v>
      </c>
      <c r="B2686" s="43">
        <v>121.49672134316171</v>
      </c>
      <c r="C2686" s="43">
        <v>122.68171830820569</v>
      </c>
      <c r="D2686" s="43">
        <v>123.69709270699718</v>
      </c>
      <c r="E2686" s="43">
        <v>124.54858822441284</v>
      </c>
      <c r="F2686" s="43">
        <v>125.24537720979066</v>
      </c>
      <c r="G2686" s="43">
        <v>125.79865775431404</v>
      </c>
      <c r="H2686" s="43">
        <v>126.22057424065534</v>
      </c>
      <c r="I2686" s="43">
        <v>126.5234479096369</v>
      </c>
    </row>
    <row r="2687" spans="1:9">
      <c r="A2687" s="19">
        <v>628.1</v>
      </c>
      <c r="B2687" s="43">
        <v>121.51453302227958</v>
      </c>
      <c r="C2687" s="43">
        <v>122.69976942017828</v>
      </c>
      <c r="D2687" s="43">
        <v>123.7154086485254</v>
      </c>
      <c r="E2687" s="43">
        <v>124.56718537786656</v>
      </c>
      <c r="F2687" s="43">
        <v>125.2642638374459</v>
      </c>
      <c r="G2687" s="43">
        <v>125.81783530229742</v>
      </c>
      <c r="H2687" s="43">
        <v>126.24003874446359</v>
      </c>
      <c r="I2687" s="43">
        <v>126.54319131322268</v>
      </c>
    </row>
    <row r="2688" spans="1:9">
      <c r="A2688" s="19">
        <v>628.20000000000005</v>
      </c>
      <c r="B2688" s="43">
        <v>121.53234443820224</v>
      </c>
      <c r="C2688" s="43">
        <v>122.71782018591318</v>
      </c>
      <c r="D2688" s="43">
        <v>123.73372416725283</v>
      </c>
      <c r="E2688" s="43">
        <v>124.58578204194956</v>
      </c>
      <c r="F2688" s="43">
        <v>125.28314992101676</v>
      </c>
      <c r="G2688" s="43">
        <v>125.83701226397022</v>
      </c>
      <c r="H2688" s="43">
        <v>126.25950263186374</v>
      </c>
      <c r="I2688" s="43">
        <v>126.56293408153604</v>
      </c>
    </row>
    <row r="2689" spans="1:9">
      <c r="A2689" s="19">
        <v>628.29999999999995</v>
      </c>
      <c r="B2689" s="43">
        <v>121.55015559086615</v>
      </c>
      <c r="C2689" s="43">
        <v>122.73587060533671</v>
      </c>
      <c r="D2689" s="43">
        <v>123.75203926310974</v>
      </c>
      <c r="E2689" s="43">
        <v>124.60437821667139</v>
      </c>
      <c r="F2689" s="43">
        <v>125.30203546056484</v>
      </c>
      <c r="G2689" s="43">
        <v>125.85618863938834</v>
      </c>
      <c r="H2689" s="43">
        <v>126.27896590291286</v>
      </c>
      <c r="I2689" s="43">
        <v>126.58267621463318</v>
      </c>
    </row>
    <row r="2690" spans="1:9">
      <c r="A2690" s="19">
        <v>628.4</v>
      </c>
      <c r="B2690" s="43">
        <v>121.56796648051119</v>
      </c>
      <c r="C2690" s="43">
        <v>122.75392067870919</v>
      </c>
      <c r="D2690" s="43">
        <v>123.77035393640614</v>
      </c>
      <c r="E2690" s="43">
        <v>124.62297390223452</v>
      </c>
      <c r="F2690" s="43">
        <v>125.32092045628124</v>
      </c>
      <c r="G2690" s="43">
        <v>125.8753644287508</v>
      </c>
      <c r="H2690" s="43">
        <v>126.29842855776994</v>
      </c>
      <c r="I2690" s="43">
        <v>126.60241771265137</v>
      </c>
    </row>
    <row r="2691" spans="1:9">
      <c r="A2691" s="19">
        <v>628.5</v>
      </c>
      <c r="B2691" s="43">
        <v>121.58577710742605</v>
      </c>
      <c r="C2691" s="43">
        <v>122.77197040633001</v>
      </c>
      <c r="D2691" s="43">
        <v>123.78866818737606</v>
      </c>
      <c r="E2691" s="43">
        <v>124.64156909893944</v>
      </c>
      <c r="F2691" s="43">
        <v>125.33980490843106</v>
      </c>
      <c r="G2691" s="43">
        <v>125.89453963226481</v>
      </c>
      <c r="H2691" s="43">
        <v>126.3178905966347</v>
      </c>
      <c r="I2691" s="43">
        <v>126.62215857575725</v>
      </c>
    </row>
    <row r="2692" spans="1:9">
      <c r="A2692" s="19">
        <v>628.6</v>
      </c>
      <c r="B2692" s="43">
        <v>121.60358747157878</v>
      </c>
      <c r="C2692" s="43">
        <v>122.79001978818414</v>
      </c>
      <c r="D2692" s="43">
        <v>123.80698201612176</v>
      </c>
      <c r="E2692" s="43">
        <v>124.66016380684559</v>
      </c>
      <c r="F2692" s="43">
        <v>125.35868881711295</v>
      </c>
      <c r="G2692" s="43">
        <v>125.9137142500677</v>
      </c>
      <c r="H2692" s="43">
        <v>126.33735201962534</v>
      </c>
      <c r="I2692" s="43">
        <v>126.641898804058</v>
      </c>
    </row>
    <row r="2693" spans="1:9">
      <c r="A2693" s="19">
        <v>628.70000000000005</v>
      </c>
      <c r="B2693" s="43">
        <v>121.62139757311652</v>
      </c>
      <c r="C2693" s="43">
        <v>122.80806882450474</v>
      </c>
      <c r="D2693" s="43">
        <v>123.82529542277373</v>
      </c>
      <c r="E2693" s="43">
        <v>124.67875802615887</v>
      </c>
      <c r="F2693" s="43">
        <v>125.37757218248063</v>
      </c>
      <c r="G2693" s="43">
        <v>125.93288828227554</v>
      </c>
      <c r="H2693" s="43">
        <v>126.35681282683149</v>
      </c>
      <c r="I2693" s="43">
        <v>126.6616383976293</v>
      </c>
    </row>
    <row r="2694" spans="1:9">
      <c r="A2694" s="19">
        <v>628.79999999999995</v>
      </c>
      <c r="B2694" s="43">
        <v>121.63920741238809</v>
      </c>
      <c r="C2694" s="43">
        <v>122.82611751556476</v>
      </c>
      <c r="D2694" s="43">
        <v>123.84360840768699</v>
      </c>
      <c r="E2694" s="43">
        <v>124.69735175714871</v>
      </c>
      <c r="F2694" s="43">
        <v>125.39645500481211</v>
      </c>
      <c r="G2694" s="43">
        <v>125.95206172912071</v>
      </c>
      <c r="H2694" s="43">
        <v>126.37627301849957</v>
      </c>
      <c r="I2694" s="43">
        <v>126.68137735667449</v>
      </c>
    </row>
    <row r="2695" spans="1:9">
      <c r="A2695" s="19">
        <v>628.9</v>
      </c>
      <c r="B2695" s="43">
        <v>121.65701698957272</v>
      </c>
      <c r="C2695" s="43">
        <v>122.84416586160606</v>
      </c>
      <c r="D2695" s="43">
        <v>123.86192097105396</v>
      </c>
      <c r="E2695" s="43">
        <v>124.71594500004969</v>
      </c>
      <c r="F2695" s="43">
        <v>125.41533728432194</v>
      </c>
      <c r="G2695" s="43">
        <v>125.97123459087143</v>
      </c>
      <c r="H2695" s="43">
        <v>126.39573259479837</v>
      </c>
      <c r="I2695" s="43">
        <v>126.70111568136599</v>
      </c>
    </row>
    <row r="2696" spans="1:9">
      <c r="A2696" s="19">
        <v>629</v>
      </c>
      <c r="B2696" s="43">
        <v>121.67482630460867</v>
      </c>
      <c r="C2696" s="43">
        <v>122.86221386254917</v>
      </c>
      <c r="D2696" s="43">
        <v>123.88023311290002</v>
      </c>
      <c r="E2696" s="43">
        <v>124.7345377548863</v>
      </c>
      <c r="F2696" s="43">
        <v>125.43421902103088</v>
      </c>
      <c r="G2696" s="43">
        <v>125.99040686748356</v>
      </c>
      <c r="H2696" s="43">
        <v>126.41519155576975</v>
      </c>
      <c r="I2696" s="43">
        <v>126.72085337170662</v>
      </c>
    </row>
    <row r="2697" spans="1:9">
      <c r="A2697" s="19">
        <v>629.1</v>
      </c>
      <c r="B2697" s="43">
        <v>121.69263535776227</v>
      </c>
      <c r="C2697" s="43">
        <v>122.88026151875152</v>
      </c>
      <c r="D2697" s="43">
        <v>123.89854483346633</v>
      </c>
      <c r="E2697" s="43">
        <v>124.75313002190919</v>
      </c>
      <c r="F2697" s="43">
        <v>125.45310021523102</v>
      </c>
      <c r="G2697" s="43">
        <v>126.00957855922587</v>
      </c>
      <c r="H2697" s="43">
        <v>126.43464990160169</v>
      </c>
      <c r="I2697" s="43">
        <v>126.74059042789057</v>
      </c>
    </row>
    <row r="2698" spans="1:9">
      <c r="A2698" s="19">
        <v>629.20000000000005</v>
      </c>
      <c r="B2698" s="43">
        <v>121.71044414927411</v>
      </c>
      <c r="C2698" s="43">
        <v>122.89830883040665</v>
      </c>
      <c r="D2698" s="43">
        <v>123.91685613306026</v>
      </c>
      <c r="E2698" s="43">
        <v>124.77172180138859</v>
      </c>
      <c r="F2698" s="43">
        <v>125.47198086709304</v>
      </c>
      <c r="G2698" s="43">
        <v>126.02874966630728</v>
      </c>
      <c r="H2698" s="43">
        <v>126.45410763249313</v>
      </c>
      <c r="I2698" s="43">
        <v>126.76032685006217</v>
      </c>
    </row>
    <row r="2699" spans="1:9">
      <c r="A2699" s="19">
        <v>629.29999999999995</v>
      </c>
      <c r="B2699" s="43">
        <v>121.72825267918694</v>
      </c>
      <c r="C2699" s="43">
        <v>122.91635579759736</v>
      </c>
      <c r="D2699" s="43">
        <v>123.93516701173544</v>
      </c>
      <c r="E2699" s="43">
        <v>124.79031309339564</v>
      </c>
      <c r="F2699" s="43">
        <v>125.49086097676397</v>
      </c>
      <c r="G2699" s="43">
        <v>126.04792018880732</v>
      </c>
      <c r="H2699" s="43">
        <v>126.47356474852421</v>
      </c>
      <c r="I2699" s="43">
        <v>126.7800626383171</v>
      </c>
    </row>
    <row r="2700" spans="1:9">
      <c r="A2700" s="19">
        <v>629.4</v>
      </c>
      <c r="B2700" s="43">
        <v>121.74606094761828</v>
      </c>
      <c r="C2700" s="43">
        <v>122.93440242049846</v>
      </c>
      <c r="D2700" s="43">
        <v>123.95347746965379</v>
      </c>
      <c r="E2700" s="43">
        <v>124.80890389813632</v>
      </c>
      <c r="F2700" s="43">
        <v>125.50974054439558</v>
      </c>
      <c r="G2700" s="43">
        <v>126.06709012691309</v>
      </c>
      <c r="H2700" s="43">
        <v>126.49302124986258</v>
      </c>
      <c r="I2700" s="43">
        <v>126.79979779274697</v>
      </c>
    </row>
    <row r="2701" spans="1:9">
      <c r="A2701" s="19">
        <v>629.5</v>
      </c>
      <c r="B2701" s="43">
        <v>121.76386895499539</v>
      </c>
      <c r="C2701" s="43">
        <v>122.95244869946541</v>
      </c>
      <c r="D2701" s="43">
        <v>123.97178750720676</v>
      </c>
      <c r="E2701" s="43">
        <v>124.82749421592573</v>
      </c>
      <c r="F2701" s="43">
        <v>125.52861957030296</v>
      </c>
      <c r="G2701" s="43">
        <v>126.08625948089832</v>
      </c>
      <c r="H2701" s="43">
        <v>126.51247713672589</v>
      </c>
      <c r="I2701" s="43">
        <v>126.81953231361339</v>
      </c>
    </row>
    <row r="2702" spans="1:9">
      <c r="A2702" s="19">
        <v>629.6</v>
      </c>
      <c r="B2702" s="43">
        <v>121.78167670122969</v>
      </c>
      <c r="C2702" s="43">
        <v>122.97049463452896</v>
      </c>
      <c r="D2702" s="43">
        <v>123.99009712441168</v>
      </c>
      <c r="E2702" s="43">
        <v>124.8460840468276</v>
      </c>
      <c r="F2702" s="43">
        <v>125.54749805455313</v>
      </c>
      <c r="G2702" s="43">
        <v>126.10542825080915</v>
      </c>
      <c r="H2702" s="43">
        <v>126.53193240918245</v>
      </c>
      <c r="I2702" s="43">
        <v>126.8392662009249</v>
      </c>
    </row>
    <row r="2703" spans="1:9">
      <c r="A2703" s="19">
        <v>629.70000000000005</v>
      </c>
      <c r="B2703" s="43">
        <v>121.79948418646123</v>
      </c>
      <c r="C2703" s="43">
        <v>122.98854022579255</v>
      </c>
      <c r="D2703" s="43">
        <v>124.00840632141689</v>
      </c>
      <c r="E2703" s="43">
        <v>124.86467339098266</v>
      </c>
      <c r="F2703" s="43">
        <v>125.56637599728649</v>
      </c>
      <c r="G2703" s="43">
        <v>126.12459643678747</v>
      </c>
      <c r="H2703" s="43">
        <v>126.551387067375</v>
      </c>
      <c r="I2703" s="43">
        <v>126.85899945481927</v>
      </c>
    </row>
    <row r="2704" spans="1:9">
      <c r="A2704" s="19">
        <v>629.79999999999995</v>
      </c>
      <c r="B2704" s="43">
        <v>121.81729141114354</v>
      </c>
      <c r="C2704" s="43">
        <v>123.00658547370134</v>
      </c>
      <c r="D2704" s="43">
        <v>124.02671509863632</v>
      </c>
      <c r="E2704" s="43">
        <v>124.88326224879083</v>
      </c>
      <c r="F2704" s="43">
        <v>125.58525339885239</v>
      </c>
      <c r="G2704" s="43">
        <v>126.1437640391608</v>
      </c>
      <c r="H2704" s="43">
        <v>126.57084111154731</v>
      </c>
      <c r="I2704" s="43">
        <v>126.87873207550876</v>
      </c>
    </row>
    <row r="2705" spans="1:9">
      <c r="A2705" s="19">
        <v>629.9</v>
      </c>
      <c r="B2705" s="43">
        <v>121.83509837511153</v>
      </c>
      <c r="C2705" s="43">
        <v>123.02463037817728</v>
      </c>
      <c r="D2705" s="43">
        <v>124.04502345605405</v>
      </c>
      <c r="E2705" s="43">
        <v>124.90185062025162</v>
      </c>
      <c r="F2705" s="43">
        <v>125.60413025927843</v>
      </c>
      <c r="G2705" s="43">
        <v>126.16293105795873</v>
      </c>
      <c r="H2705" s="43">
        <v>126.59029454176741</v>
      </c>
      <c r="I2705" s="43">
        <v>126.8984640630463</v>
      </c>
    </row>
    <row r="2706" spans="1:9">
      <c r="A2706" s="19">
        <v>630</v>
      </c>
      <c r="B2706" s="43">
        <v>121.84105253495832</v>
      </c>
      <c r="C2706" s="43">
        <v>123.03106304916665</v>
      </c>
      <c r="D2706" s="43">
        <v>124.05209976668809</v>
      </c>
      <c r="E2706" s="43">
        <v>124.90971903410667</v>
      </c>
      <c r="F2706" s="43">
        <v>125.61291893535838</v>
      </c>
      <c r="G2706" s="43">
        <v>126.17274694405202</v>
      </c>
      <c r="H2706" s="43">
        <v>126.60122422594398</v>
      </c>
      <c r="I2706" s="43">
        <v>126.91057558897487</v>
      </c>
    </row>
    <row r="2707" spans="1:9">
      <c r="A2707" s="19">
        <v>630.1</v>
      </c>
      <c r="B2707" s="43">
        <v>121.84699217014753</v>
      </c>
      <c r="C2707" s="43">
        <v>123.03748030240951</v>
      </c>
      <c r="D2707" s="43">
        <v>124.05915959644852</v>
      </c>
      <c r="E2707" s="43">
        <v>124.9175698284966</v>
      </c>
      <c r="F2707" s="43">
        <v>125.62168885309885</v>
      </c>
      <c r="G2707" s="43">
        <v>126.18254298700433</v>
      </c>
      <c r="H2707" s="43">
        <v>126.61213307160017</v>
      </c>
      <c r="I2707" s="43">
        <v>126.92266539026437</v>
      </c>
    </row>
    <row r="2708" spans="1:9">
      <c r="A2708" s="19">
        <v>630.20000000000005</v>
      </c>
      <c r="B2708" s="43">
        <v>121.86478772253378</v>
      </c>
      <c r="C2708" s="43">
        <v>123.05551263222546</v>
      </c>
      <c r="D2708" s="43">
        <v>124.07745399378484</v>
      </c>
      <c r="E2708" s="43">
        <v>124.93614271787698</v>
      </c>
      <c r="F2708" s="43">
        <v>125.64054864484058</v>
      </c>
      <c r="G2708" s="43">
        <v>126.20169134220228</v>
      </c>
      <c r="H2708" s="43">
        <v>126.63156627654445</v>
      </c>
      <c r="I2708" s="43">
        <v>126.9423756533393</v>
      </c>
    </row>
    <row r="2709" spans="1:9">
      <c r="A2709" s="19">
        <v>630.29999999999995</v>
      </c>
      <c r="B2709" s="43">
        <v>121.88258301406387</v>
      </c>
      <c r="C2709" s="43">
        <v>123.07354461933039</v>
      </c>
      <c r="D2709" s="43">
        <v>124.09574797271452</v>
      </c>
      <c r="E2709" s="43">
        <v>124.9547151228345</v>
      </c>
      <c r="F2709" s="43">
        <v>125.65940789768871</v>
      </c>
      <c r="G2709" s="43">
        <v>126.22083911618373</v>
      </c>
      <c r="H2709" s="43">
        <v>126.65099886987005</v>
      </c>
      <c r="I2709" s="43">
        <v>126.9620852854151</v>
      </c>
    </row>
    <row r="2710" spans="1:9">
      <c r="A2710" s="19">
        <v>630.4</v>
      </c>
      <c r="B2710" s="43">
        <v>121.90037804498448</v>
      </c>
      <c r="C2710" s="43">
        <v>123.09157626392349</v>
      </c>
      <c r="D2710" s="43">
        <v>124.1140415334873</v>
      </c>
      <c r="E2710" s="43">
        <v>124.9732870436093</v>
      </c>
      <c r="F2710" s="43">
        <v>125.6782666118585</v>
      </c>
      <c r="G2710" s="43">
        <v>126.23998630916469</v>
      </c>
      <c r="H2710" s="43">
        <v>126.67043085176303</v>
      </c>
      <c r="I2710" s="43">
        <v>126.98179428668527</v>
      </c>
    </row>
    <row r="2711" spans="1:9">
      <c r="A2711" s="19">
        <v>630.5</v>
      </c>
      <c r="B2711" s="43">
        <v>121.91817281548023</v>
      </c>
      <c r="C2711" s="43">
        <v>123.10960756627009</v>
      </c>
      <c r="D2711" s="43">
        <v>124.13233467631761</v>
      </c>
      <c r="E2711" s="43">
        <v>124.9918584804214</v>
      </c>
      <c r="F2711" s="43">
        <v>125.69712478756841</v>
      </c>
      <c r="G2711" s="43">
        <v>126.25913292136724</v>
      </c>
      <c r="H2711" s="43">
        <v>126.68986222239724</v>
      </c>
      <c r="I2711" s="43">
        <v>127.00150265728911</v>
      </c>
    </row>
    <row r="2712" spans="1:9">
      <c r="A2712" s="19">
        <v>630.6</v>
      </c>
      <c r="B2712" s="43">
        <v>121.9359673256061</v>
      </c>
      <c r="C2712" s="43">
        <v>123.12763852645327</v>
      </c>
      <c r="D2712" s="43">
        <v>124.15062740131273</v>
      </c>
      <c r="E2712" s="43">
        <v>125.01042943335599</v>
      </c>
      <c r="F2712" s="43">
        <v>125.71598242491925</v>
      </c>
      <c r="G2712" s="43">
        <v>126.27827895284688</v>
      </c>
      <c r="H2712" s="43">
        <v>126.70929298186556</v>
      </c>
      <c r="I2712" s="43">
        <v>127.02121039728243</v>
      </c>
    </row>
    <row r="2713" spans="1:9">
      <c r="A2713" s="19">
        <v>630.70000000000005</v>
      </c>
      <c r="B2713" s="43">
        <v>121.95376157577454</v>
      </c>
      <c r="C2713" s="43">
        <v>123.14566914486085</v>
      </c>
      <c r="D2713" s="43">
        <v>124.16891970887505</v>
      </c>
      <c r="E2713" s="43">
        <v>125.02899990279576</v>
      </c>
      <c r="F2713" s="43">
        <v>125.73483952426824</v>
      </c>
      <c r="G2713" s="43">
        <v>126.29742440394355</v>
      </c>
      <c r="H2713" s="43">
        <v>126.72872313044027</v>
      </c>
      <c r="I2713" s="43">
        <v>127.04091750694536</v>
      </c>
    </row>
    <row r="2714" spans="1:9">
      <c r="A2714" s="19">
        <v>630.79999999999995</v>
      </c>
      <c r="B2714" s="43">
        <v>121.97155556591593</v>
      </c>
      <c r="C2714" s="43">
        <v>123.16369942147523</v>
      </c>
      <c r="D2714" s="43">
        <v>124.18721159899874</v>
      </c>
      <c r="E2714" s="43">
        <v>125.04756988880285</v>
      </c>
      <c r="F2714" s="43">
        <v>125.75369608565444</v>
      </c>
      <c r="G2714" s="43">
        <v>126.31656927471798</v>
      </c>
      <c r="H2714" s="43">
        <v>126.74815266816884</v>
      </c>
      <c r="I2714" s="43">
        <v>127.06062398629538</v>
      </c>
    </row>
    <row r="2715" spans="1:9">
      <c r="A2715" s="19">
        <v>630.9</v>
      </c>
      <c r="B2715" s="43">
        <v>121.98934929629121</v>
      </c>
      <c r="C2715" s="43">
        <v>123.18172935650978</v>
      </c>
      <c r="D2715" s="43">
        <v>124.20550307194293</v>
      </c>
      <c r="E2715" s="43">
        <v>125.06613939158075</v>
      </c>
      <c r="F2715" s="43">
        <v>125.77255210928709</v>
      </c>
      <c r="G2715" s="43">
        <v>126.33571356533827</v>
      </c>
      <c r="H2715" s="43">
        <v>126.76758159522007</v>
      </c>
      <c r="I2715" s="43">
        <v>127.08032983547213</v>
      </c>
    </row>
    <row r="2716" spans="1:9">
      <c r="A2716" s="19">
        <v>631</v>
      </c>
      <c r="B2716" s="43">
        <v>122.0071427670141</v>
      </c>
      <c r="C2716" s="43">
        <v>123.19975895016907</v>
      </c>
      <c r="D2716" s="43">
        <v>124.22379412785421</v>
      </c>
      <c r="E2716" s="43">
        <v>125.08470841129147</v>
      </c>
      <c r="F2716" s="43">
        <v>125.79140759533922</v>
      </c>
      <c r="G2716" s="43">
        <v>126.3548572759957</v>
      </c>
      <c r="H2716" s="43">
        <v>126.78700991176757</v>
      </c>
      <c r="I2716" s="43">
        <v>127.10003505465869</v>
      </c>
    </row>
    <row r="2717" spans="1:9">
      <c r="A2717" s="19">
        <v>631.1</v>
      </c>
      <c r="B2717" s="43">
        <v>122.02493597826845</v>
      </c>
      <c r="C2717" s="43">
        <v>123.21778820266374</v>
      </c>
      <c r="D2717" s="43">
        <v>124.24208476694207</v>
      </c>
      <c r="E2717" s="43">
        <v>125.10327694818096</v>
      </c>
      <c r="F2717" s="43">
        <v>125.81026254399978</v>
      </c>
      <c r="G2717" s="43">
        <v>126.37400040683883</v>
      </c>
      <c r="H2717" s="43">
        <v>126.80643761794661</v>
      </c>
      <c r="I2717" s="43">
        <v>127.1197396439259</v>
      </c>
    </row>
    <row r="2718" spans="1:9">
      <c r="A2718" s="19">
        <v>631.20000000000005</v>
      </c>
      <c r="B2718" s="43">
        <v>122.04272893018538</v>
      </c>
      <c r="C2718" s="43">
        <v>123.23581711407428</v>
      </c>
      <c r="D2718" s="43">
        <v>124.26037498938362</v>
      </c>
      <c r="E2718" s="43">
        <v>125.1218450023629</v>
      </c>
      <c r="F2718" s="43">
        <v>125.82911695544456</v>
      </c>
      <c r="G2718" s="43">
        <v>126.39314295804158</v>
      </c>
      <c r="H2718" s="43">
        <v>126.82586471387609</v>
      </c>
      <c r="I2718" s="43">
        <v>127.13944360340597</v>
      </c>
    </row>
    <row r="2719" spans="1:9">
      <c r="A2719" s="19">
        <v>631.29999999999995</v>
      </c>
      <c r="B2719" s="43">
        <v>122.06052162282845</v>
      </c>
      <c r="C2719" s="43">
        <v>123.25384568455959</v>
      </c>
      <c r="D2719" s="43">
        <v>124.27866479529055</v>
      </c>
      <c r="E2719" s="43">
        <v>125.14041257401431</v>
      </c>
      <c r="F2719" s="43">
        <v>125.84797082978423</v>
      </c>
      <c r="G2719" s="43">
        <v>126.41228492970544</v>
      </c>
      <c r="H2719" s="43">
        <v>126.845291199705</v>
      </c>
      <c r="I2719" s="43">
        <v>127.15914693322273</v>
      </c>
    </row>
    <row r="2720" spans="1:9">
      <c r="A2720" s="19">
        <v>631.4</v>
      </c>
      <c r="B2720" s="43">
        <v>122.07831405657629</v>
      </c>
      <c r="C2720" s="43">
        <v>123.27187391444605</v>
      </c>
      <c r="D2720" s="43">
        <v>124.29695418503218</v>
      </c>
      <c r="E2720" s="43">
        <v>125.15897966341763</v>
      </c>
      <c r="F2720" s="43">
        <v>125.86682416734075</v>
      </c>
      <c r="G2720" s="43">
        <v>126.43142632211269</v>
      </c>
      <c r="H2720" s="43">
        <v>126.86471707564263</v>
      </c>
      <c r="I2720" s="43">
        <v>127.17884963356676</v>
      </c>
    </row>
    <row r="2721" spans="1:9">
      <c r="A2721" s="19">
        <v>631.5</v>
      </c>
      <c r="B2721" s="43">
        <v>122.09610623144354</v>
      </c>
      <c r="C2721" s="43">
        <v>123.28990180382854</v>
      </c>
      <c r="D2721" s="43">
        <v>124.3152431586372</v>
      </c>
      <c r="E2721" s="43">
        <v>125.17754627071523</v>
      </c>
      <c r="F2721" s="43">
        <v>125.8856769682088</v>
      </c>
      <c r="G2721" s="43">
        <v>126.45056713537076</v>
      </c>
      <c r="H2721" s="43">
        <v>126.88414234181138</v>
      </c>
      <c r="I2721" s="43">
        <v>127.19855170451279</v>
      </c>
    </row>
    <row r="2722" spans="1:9">
      <c r="A2722" s="19">
        <v>631.6</v>
      </c>
      <c r="B2722" s="43">
        <v>122.1138981476046</v>
      </c>
      <c r="C2722" s="43">
        <v>123.30792935284637</v>
      </c>
      <c r="D2722" s="43">
        <v>124.33353171635014</v>
      </c>
      <c r="E2722" s="43">
        <v>125.19611239606107</v>
      </c>
      <c r="F2722" s="43">
        <v>125.90452923256828</v>
      </c>
      <c r="G2722" s="43">
        <v>126.46970736963939</v>
      </c>
      <c r="H2722" s="43">
        <v>126.90356699833202</v>
      </c>
      <c r="I2722" s="43">
        <v>127.21825314620548</v>
      </c>
    </row>
    <row r="2723" spans="1:9">
      <c r="A2723" s="19">
        <v>631.70000000000005</v>
      </c>
      <c r="B2723" s="43">
        <v>122.13168980523227</v>
      </c>
      <c r="C2723" s="43">
        <v>123.32595656173038</v>
      </c>
      <c r="D2723" s="43">
        <v>124.35181985835519</v>
      </c>
      <c r="E2723" s="43">
        <v>125.2146780396902</v>
      </c>
      <c r="F2723" s="43">
        <v>125.92338096060911</v>
      </c>
      <c r="G2723" s="43">
        <v>126.4888470250946</v>
      </c>
      <c r="H2723" s="43">
        <v>126.92299104539913</v>
      </c>
      <c r="I2723" s="43">
        <v>127.2379539587906</v>
      </c>
    </row>
    <row r="2724" spans="1:9">
      <c r="A2724" s="19">
        <v>631.79999999999995</v>
      </c>
      <c r="B2724" s="43">
        <v>122.14948120445789</v>
      </c>
      <c r="C2724" s="43">
        <v>123.34398343062409</v>
      </c>
      <c r="D2724" s="43">
        <v>124.37010758479971</v>
      </c>
      <c r="E2724" s="43">
        <v>125.23324320171105</v>
      </c>
      <c r="F2724" s="43">
        <v>125.94223215249343</v>
      </c>
      <c r="G2724" s="43">
        <v>126.50798610189773</v>
      </c>
      <c r="H2724" s="43">
        <v>126.94241448311044</v>
      </c>
      <c r="I2724" s="43">
        <v>127.25765414236199</v>
      </c>
    </row>
    <row r="2725" spans="1:9">
      <c r="A2725" s="19">
        <v>631.9</v>
      </c>
      <c r="B2725" s="43">
        <v>122.16727234559184</v>
      </c>
      <c r="C2725" s="43">
        <v>123.36200995980784</v>
      </c>
      <c r="D2725" s="43">
        <v>124.38839489601088</v>
      </c>
      <c r="E2725" s="43">
        <v>125.25180788247806</v>
      </c>
      <c r="F2725" s="43">
        <v>125.96108280849995</v>
      </c>
      <c r="G2725" s="43">
        <v>126.52712460029329</v>
      </c>
      <c r="H2725" s="43">
        <v>126.96183731171422</v>
      </c>
      <c r="I2725" s="43">
        <v>127.27735369712104</v>
      </c>
    </row>
    <row r="2726" spans="1:9">
      <c r="A2726" s="19">
        <v>632</v>
      </c>
      <c r="B2726" s="43">
        <v>122.18506322847699</v>
      </c>
      <c r="C2726" s="43">
        <v>123.38003614925293</v>
      </c>
      <c r="D2726" s="43">
        <v>124.40668179192718</v>
      </c>
      <c r="E2726" s="43">
        <v>125.27037208195529</v>
      </c>
      <c r="F2726" s="43">
        <v>125.97993292862503</v>
      </c>
      <c r="G2726" s="43">
        <v>126.54626252028643</v>
      </c>
      <c r="H2726" s="43">
        <v>126.98125953120675</v>
      </c>
      <c r="I2726" s="43">
        <v>127.29705262308195</v>
      </c>
    </row>
    <row r="2727" spans="1:9">
      <c r="A2727" s="19">
        <v>632.1</v>
      </c>
      <c r="B2727" s="43">
        <v>122.20285385355561</v>
      </c>
      <c r="C2727" s="43">
        <v>123.39806199932096</v>
      </c>
      <c r="D2727" s="43">
        <v>124.42496827296296</v>
      </c>
      <c r="E2727" s="43">
        <v>125.28893580048964</v>
      </c>
      <c r="F2727" s="43">
        <v>125.99878251319967</v>
      </c>
      <c r="G2727" s="43">
        <v>126.56539986217928</v>
      </c>
      <c r="H2727" s="43">
        <v>127.00068114186132</v>
      </c>
      <c r="I2727" s="43">
        <v>127.31675092046925</v>
      </c>
    </row>
    <row r="2728" spans="1:9">
      <c r="A2728" s="19">
        <v>632.20000000000005</v>
      </c>
      <c r="B2728" s="43">
        <v>122.22064422087189</v>
      </c>
      <c r="C2728" s="43">
        <v>123.41608751011083</v>
      </c>
      <c r="D2728" s="43">
        <v>124.44325433918189</v>
      </c>
      <c r="E2728" s="43">
        <v>125.30749903820029</v>
      </c>
      <c r="F2728" s="43">
        <v>126.01763156233406</v>
      </c>
      <c r="G2728" s="43">
        <v>126.58453662608639</v>
      </c>
      <c r="H2728" s="43">
        <v>127.02010214378311</v>
      </c>
      <c r="I2728" s="43">
        <v>127.33644858938493</v>
      </c>
    </row>
    <row r="2729" spans="1:9">
      <c r="A2729" s="19">
        <v>632.29999999999995</v>
      </c>
      <c r="B2729" s="43">
        <v>122.23843433058147</v>
      </c>
      <c r="C2729" s="43">
        <v>123.43411268177334</v>
      </c>
      <c r="D2729" s="43">
        <v>124.4615399908142</v>
      </c>
      <c r="E2729" s="43">
        <v>125.32606179527951</v>
      </c>
      <c r="F2729" s="43">
        <v>126.03648007622564</v>
      </c>
      <c r="G2729" s="43">
        <v>126.60367281216486</v>
      </c>
      <c r="H2729" s="43">
        <v>127.03952253712978</v>
      </c>
      <c r="I2729" s="43">
        <v>127.35614562993865</v>
      </c>
    </row>
    <row r="2730" spans="1:9">
      <c r="A2730" s="19">
        <v>632.4</v>
      </c>
      <c r="B2730" s="43">
        <v>122.25622418284766</v>
      </c>
      <c r="C2730" s="43">
        <v>123.4521375145076</v>
      </c>
      <c r="D2730" s="43">
        <v>124.47982522798216</v>
      </c>
      <c r="E2730" s="43">
        <v>125.34462407192007</v>
      </c>
      <c r="F2730" s="43">
        <v>126.05532805504788</v>
      </c>
      <c r="G2730" s="43">
        <v>126.62280842059815</v>
      </c>
      <c r="H2730" s="43">
        <v>127.05894232203579</v>
      </c>
      <c r="I2730" s="43">
        <v>127.37584204229088</v>
      </c>
    </row>
    <row r="2731" spans="1:9">
      <c r="A2731" s="19">
        <v>632.5</v>
      </c>
      <c r="B2731" s="43">
        <v>122.27401377775425</v>
      </c>
      <c r="C2731" s="43">
        <v>123.47016200846798</v>
      </c>
      <c r="D2731" s="43">
        <v>124.49811005091246</v>
      </c>
      <c r="E2731" s="43">
        <v>125.36318586826121</v>
      </c>
      <c r="F2731" s="43">
        <v>126.07417549895416</v>
      </c>
      <c r="G2731" s="43">
        <v>126.64194345153345</v>
      </c>
      <c r="H2731" s="43">
        <v>127.07836149862919</v>
      </c>
      <c r="I2731" s="43">
        <v>127.39553782652706</v>
      </c>
    </row>
    <row r="2732" spans="1:9">
      <c r="A2732" s="19">
        <v>632.6</v>
      </c>
      <c r="B2732" s="43">
        <v>122.29180311564056</v>
      </c>
      <c r="C2732" s="43">
        <v>123.488186163921</v>
      </c>
      <c r="D2732" s="43">
        <v>124.51639445982531</v>
      </c>
      <c r="E2732" s="43">
        <v>125.38174718460689</v>
      </c>
      <c r="F2732" s="43">
        <v>126.09302240820409</v>
      </c>
      <c r="G2732" s="43">
        <v>126.66107790519879</v>
      </c>
      <c r="H2732" s="43">
        <v>127.09778006714927</v>
      </c>
      <c r="I2732" s="43">
        <v>127.41523298286501</v>
      </c>
    </row>
    <row r="2733" spans="1:9">
      <c r="A2733" s="19">
        <v>632.70000000000005</v>
      </c>
      <c r="B2733" s="43">
        <v>122.30959219656606</v>
      </c>
      <c r="C2733" s="43">
        <v>123.50620998098324</v>
      </c>
      <c r="D2733" s="43">
        <v>124.53467845494472</v>
      </c>
      <c r="E2733" s="43">
        <v>125.40030802109376</v>
      </c>
      <c r="F2733" s="43">
        <v>126.11186878290749</v>
      </c>
      <c r="G2733" s="43">
        <v>126.68021178170355</v>
      </c>
      <c r="H2733" s="43">
        <v>127.11719802766254</v>
      </c>
      <c r="I2733" s="43">
        <v>127.43492751134312</v>
      </c>
    </row>
    <row r="2734" spans="1:9">
      <c r="A2734" s="19">
        <v>632.79999999999995</v>
      </c>
      <c r="B2734" s="43">
        <v>122.32738102064283</v>
      </c>
      <c r="C2734" s="43">
        <v>123.52423345982209</v>
      </c>
      <c r="D2734" s="43">
        <v>124.55296203632312</v>
      </c>
      <c r="E2734" s="43">
        <v>125.41886837783181</v>
      </c>
      <c r="F2734" s="43">
        <v>126.13071462326783</v>
      </c>
      <c r="G2734" s="43">
        <v>126.69934508120818</v>
      </c>
      <c r="H2734" s="43">
        <v>127.136615380347</v>
      </c>
      <c r="I2734" s="43">
        <v>127.45462141212622</v>
      </c>
    </row>
    <row r="2735" spans="1:9">
      <c r="A2735" s="19">
        <v>632.9</v>
      </c>
      <c r="B2735" s="43">
        <v>122.34516958806219</v>
      </c>
      <c r="C2735" s="43">
        <v>123.54225660058552</v>
      </c>
      <c r="D2735" s="43">
        <v>124.57124520420311</v>
      </c>
      <c r="E2735" s="43">
        <v>125.43742825505399</v>
      </c>
      <c r="F2735" s="43">
        <v>126.14955992943365</v>
      </c>
      <c r="G2735" s="43">
        <v>126.71847780388774</v>
      </c>
      <c r="H2735" s="43">
        <v>127.15603212532051</v>
      </c>
      <c r="I2735" s="43">
        <v>127.47431468534393</v>
      </c>
    </row>
    <row r="2736" spans="1:9">
      <c r="A2736" s="19">
        <v>633</v>
      </c>
      <c r="B2736" s="43">
        <v>122.36295789890207</v>
      </c>
      <c r="C2736" s="43">
        <v>123.56027940343276</v>
      </c>
      <c r="D2736" s="43">
        <v>124.58952795873287</v>
      </c>
      <c r="E2736" s="43">
        <v>125.45598765290333</v>
      </c>
      <c r="F2736" s="43">
        <v>126.16840470156797</v>
      </c>
      <c r="G2736" s="43">
        <v>126.73760994990485</v>
      </c>
      <c r="H2736" s="43">
        <v>127.17544826273885</v>
      </c>
      <c r="I2736" s="43">
        <v>127.49400733108834</v>
      </c>
    </row>
    <row r="2737" spans="1:9">
      <c r="A2737" s="19">
        <v>633.1</v>
      </c>
      <c r="B2737" s="43">
        <v>122.3807459535804</v>
      </c>
      <c r="C2737" s="43">
        <v>123.5783018687535</v>
      </c>
      <c r="D2737" s="43">
        <v>124.60781030025399</v>
      </c>
      <c r="E2737" s="43">
        <v>125.47454657175808</v>
      </c>
      <c r="F2737" s="43">
        <v>126.18724894000113</v>
      </c>
      <c r="G2737" s="43">
        <v>126.75674151950241</v>
      </c>
      <c r="H2737" s="43">
        <v>127.19486379286607</v>
      </c>
      <c r="I2737" s="43">
        <v>127.51369934960408</v>
      </c>
    </row>
    <row r="2738" spans="1:9">
      <c r="A2738" s="19">
        <v>633.20000000000005</v>
      </c>
      <c r="B2738" s="43">
        <v>122.39853375187818</v>
      </c>
      <c r="C2738" s="43">
        <v>123.59632399635092</v>
      </c>
      <c r="D2738" s="43">
        <v>124.62609222870626</v>
      </c>
      <c r="E2738" s="43">
        <v>125.4931050114898</v>
      </c>
      <c r="F2738" s="43">
        <v>126.20609264467902</v>
      </c>
      <c r="G2738" s="43">
        <v>126.77587251269887</v>
      </c>
      <c r="H2738" s="43">
        <v>127.21427871566164</v>
      </c>
      <c r="I2738" s="43">
        <v>127.53339074086702</v>
      </c>
    </row>
    <row r="2739" spans="1:9">
      <c r="A2739" s="19">
        <v>633.29999999999995</v>
      </c>
      <c r="B2739" s="43">
        <v>122.41632129427407</v>
      </c>
      <c r="C2739" s="43">
        <v>123.61434578675301</v>
      </c>
      <c r="D2739" s="43">
        <v>124.64437374452589</v>
      </c>
      <c r="E2739" s="43">
        <v>125.51166297256529</v>
      </c>
      <c r="F2739" s="43">
        <v>126.22493581598482</v>
      </c>
      <c r="G2739" s="43">
        <v>126.7950029298004</v>
      </c>
      <c r="H2739" s="43">
        <v>127.2336930314155</v>
      </c>
      <c r="I2739" s="43">
        <v>127.55308150512388</v>
      </c>
    </row>
    <row r="2740" spans="1:9">
      <c r="A2740" s="19">
        <v>633.4</v>
      </c>
      <c r="B2740" s="43">
        <v>122.43410858079423</v>
      </c>
      <c r="C2740" s="43">
        <v>123.63236723997699</v>
      </c>
      <c r="D2740" s="43">
        <v>124.66265484776042</v>
      </c>
      <c r="E2740" s="43">
        <v>125.53022045506484</v>
      </c>
      <c r="F2740" s="43">
        <v>126.2437784539984</v>
      </c>
      <c r="G2740" s="43">
        <v>126.81413277094396</v>
      </c>
      <c r="H2740" s="43">
        <v>127.25310674024897</v>
      </c>
      <c r="I2740" s="43">
        <v>127.57277164247375</v>
      </c>
    </row>
    <row r="2741" spans="1:9">
      <c r="A2741" s="19">
        <v>633.5</v>
      </c>
      <c r="B2741" s="43">
        <v>122.45189561151608</v>
      </c>
      <c r="C2741" s="43">
        <v>123.65038835611782</v>
      </c>
      <c r="D2741" s="43">
        <v>124.68093553853663</v>
      </c>
      <c r="E2741" s="43">
        <v>125.54877745909886</v>
      </c>
      <c r="F2741" s="43">
        <v>126.26262055888009</v>
      </c>
      <c r="G2741" s="43">
        <v>126.83326203619768</v>
      </c>
      <c r="H2741" s="43">
        <v>127.27251984226228</v>
      </c>
      <c r="I2741" s="43">
        <v>127.59246115300624</v>
      </c>
    </row>
    <row r="2742" spans="1:9">
      <c r="A2742" s="19">
        <v>633.6</v>
      </c>
      <c r="B2742" s="43">
        <v>122.46968238671417</v>
      </c>
      <c r="C2742" s="43">
        <v>123.66840913550294</v>
      </c>
      <c r="D2742" s="43">
        <v>124.69921581716704</v>
      </c>
      <c r="E2742" s="43">
        <v>125.56733398496181</v>
      </c>
      <c r="F2742" s="43">
        <v>126.2814621308595</v>
      </c>
      <c r="G2742" s="43">
        <v>126.8523907258209</v>
      </c>
      <c r="H2742" s="43">
        <v>127.2919323376444</v>
      </c>
      <c r="I2742" s="43">
        <v>127.6121500368852</v>
      </c>
    </row>
    <row r="2743" spans="1:9">
      <c r="A2743" s="19">
        <v>633.70000000000005</v>
      </c>
      <c r="B2743" s="43">
        <v>122.48746890642929</v>
      </c>
      <c r="C2743" s="43">
        <v>123.68642957814686</v>
      </c>
      <c r="D2743" s="43">
        <v>124.71749568369736</v>
      </c>
      <c r="E2743" s="43">
        <v>125.58589003271385</v>
      </c>
      <c r="F2743" s="43">
        <v>126.30030317004363</v>
      </c>
      <c r="G2743" s="43">
        <v>126.8715188398921</v>
      </c>
      <c r="H2743" s="43">
        <v>127.3113442264916</v>
      </c>
      <c r="I2743" s="43">
        <v>127.63183829420174</v>
      </c>
    </row>
    <row r="2744" spans="1:9">
      <c r="A2744" s="19">
        <v>633.79999999999995</v>
      </c>
      <c r="B2744" s="43">
        <v>122.50525517105194</v>
      </c>
      <c r="C2744" s="43">
        <v>123.70444968448368</v>
      </c>
      <c r="D2744" s="43">
        <v>124.73577513853795</v>
      </c>
      <c r="E2744" s="43">
        <v>125.60444560277398</v>
      </c>
      <c r="F2744" s="43">
        <v>126.31914367676467</v>
      </c>
      <c r="G2744" s="43">
        <v>126.89064637877161</v>
      </c>
      <c r="H2744" s="43">
        <v>127.3307555091005</v>
      </c>
      <c r="I2744" s="43">
        <v>127.65152592519937</v>
      </c>
    </row>
    <row r="2745" spans="1:9">
      <c r="A2745" s="19">
        <v>633.9</v>
      </c>
      <c r="B2745" s="43">
        <v>122.52304118050344</v>
      </c>
      <c r="C2745" s="43">
        <v>123.72246945442541</v>
      </c>
      <c r="D2745" s="43">
        <v>124.75405418164766</v>
      </c>
      <c r="E2745" s="43">
        <v>125.62300069507793</v>
      </c>
      <c r="F2745" s="43">
        <v>126.33798365104667</v>
      </c>
      <c r="G2745" s="43">
        <v>126.90977334241771</v>
      </c>
      <c r="H2745" s="43">
        <v>127.35016618544526</v>
      </c>
      <c r="I2745" s="43">
        <v>127.67121292987571</v>
      </c>
    </row>
    <row r="2746" spans="1:9">
      <c r="A2746" s="19">
        <v>634</v>
      </c>
      <c r="B2746" s="43">
        <v>122.5408269349885</v>
      </c>
      <c r="C2746" s="43">
        <v>123.74048888828136</v>
      </c>
      <c r="D2746" s="43">
        <v>124.77233281329464</v>
      </c>
      <c r="E2746" s="43">
        <v>125.64155530994486</v>
      </c>
      <c r="F2746" s="43">
        <v>126.35682309313077</v>
      </c>
      <c r="G2746" s="43">
        <v>126.92889973109993</v>
      </c>
      <c r="H2746" s="43">
        <v>127.3695762557669</v>
      </c>
      <c r="I2746" s="43">
        <v>127.69089930842597</v>
      </c>
    </row>
    <row r="2747" spans="1:9">
      <c r="A2747" s="19">
        <v>634.1</v>
      </c>
      <c r="B2747" s="43">
        <v>122.55861243473794</v>
      </c>
      <c r="C2747" s="43">
        <v>123.75850798621786</v>
      </c>
      <c r="D2747" s="43">
        <v>124.79061103372393</v>
      </c>
      <c r="E2747" s="43">
        <v>125.66010944753097</v>
      </c>
      <c r="F2747" s="43">
        <v>126.37566200320327</v>
      </c>
      <c r="G2747" s="43">
        <v>126.94802554496357</v>
      </c>
      <c r="H2747" s="43">
        <v>127.38898572021705</v>
      </c>
      <c r="I2747" s="43">
        <v>127.7105850609845</v>
      </c>
    </row>
    <row r="2748" spans="1:9">
      <c r="A2748" s="19">
        <v>634.20000000000005</v>
      </c>
      <c r="B2748" s="43">
        <v>122.57639767979836</v>
      </c>
      <c r="C2748" s="43">
        <v>123.77652674831683</v>
      </c>
      <c r="D2748" s="43">
        <v>124.80888884300597</v>
      </c>
      <c r="E2748" s="43">
        <v>125.67866310798627</v>
      </c>
      <c r="F2748" s="43">
        <v>126.39450038139731</v>
      </c>
      <c r="G2748" s="43">
        <v>126.9671507841243</v>
      </c>
      <c r="H2748" s="43">
        <v>127.40839457889163</v>
      </c>
      <c r="I2748" s="43">
        <v>127.73027018763094</v>
      </c>
    </row>
    <row r="2749" spans="1:9">
      <c r="A2749" s="19">
        <v>634.29999999999995</v>
      </c>
      <c r="B2749" s="43">
        <v>122.59418267040789</v>
      </c>
      <c r="C2749" s="43">
        <v>123.79454517485382</v>
      </c>
      <c r="D2749" s="43">
        <v>124.82716624138095</v>
      </c>
      <c r="E2749" s="43">
        <v>125.69721629152366</v>
      </c>
      <c r="F2749" s="43">
        <v>126.41333822791663</v>
      </c>
      <c r="G2749" s="43">
        <v>126.98627544883689</v>
      </c>
      <c r="H2749" s="43">
        <v>127.42780283197317</v>
      </c>
      <c r="I2749" s="43">
        <v>127.7499546885411</v>
      </c>
    </row>
    <row r="2750" spans="1:9">
      <c r="A2750" s="19">
        <v>634.4</v>
      </c>
      <c r="B2750" s="43">
        <v>122.61196740664911</v>
      </c>
      <c r="C2750" s="43">
        <v>123.81256326587996</v>
      </c>
      <c r="D2750" s="43">
        <v>124.84544322896602</v>
      </c>
      <c r="E2750" s="43">
        <v>125.71576899829336</v>
      </c>
      <c r="F2750" s="43">
        <v>126.43217554290396</v>
      </c>
      <c r="G2750" s="43">
        <v>127.00539953915094</v>
      </c>
      <c r="H2750" s="43">
        <v>127.44721047957967</v>
      </c>
      <c r="I2750" s="43">
        <v>127.76963856380115</v>
      </c>
    </row>
    <row r="2751" spans="1:9">
      <c r="A2751" s="19">
        <v>634.5</v>
      </c>
      <c r="B2751" s="43">
        <v>122.62975188876356</v>
      </c>
      <c r="C2751" s="43">
        <v>123.83058102176452</v>
      </c>
      <c r="D2751" s="43">
        <v>124.86371980609505</v>
      </c>
      <c r="E2751" s="43">
        <v>125.7343212285532</v>
      </c>
      <c r="F2751" s="43">
        <v>126.45101232662333</v>
      </c>
      <c r="G2751" s="43">
        <v>127.02452305536355</v>
      </c>
      <c r="H2751" s="43">
        <v>127.46661752194001</v>
      </c>
      <c r="I2751" s="43">
        <v>127.78932181359534</v>
      </c>
    </row>
    <row r="2752" spans="1:9">
      <c r="A2752" s="19">
        <v>634.6</v>
      </c>
      <c r="B2752" s="43">
        <v>122.64753611692166</v>
      </c>
      <c r="C2752" s="43">
        <v>123.84859844254308</v>
      </c>
      <c r="D2752" s="43">
        <v>124.88199597285907</v>
      </c>
      <c r="E2752" s="43">
        <v>125.75287298247179</v>
      </c>
      <c r="F2752" s="43">
        <v>126.4698485792168</v>
      </c>
      <c r="G2752" s="43">
        <v>127.04364599758415</v>
      </c>
      <c r="H2752" s="43">
        <v>127.4860239591533</v>
      </c>
      <c r="I2752" s="43">
        <v>127.80900443804458</v>
      </c>
    </row>
    <row r="2753" spans="1:9">
      <c r="A2753" s="19">
        <v>634.70000000000005</v>
      </c>
      <c r="B2753" s="43">
        <v>122.66532009117972</v>
      </c>
      <c r="C2753" s="43">
        <v>123.86661552842548</v>
      </c>
      <c r="D2753" s="43">
        <v>124.900271729434</v>
      </c>
      <c r="E2753" s="43">
        <v>125.7714242602093</v>
      </c>
      <c r="F2753" s="43">
        <v>126.48868430083218</v>
      </c>
      <c r="G2753" s="43">
        <v>127.06276836595984</v>
      </c>
      <c r="H2753" s="43">
        <v>127.50542979135801</v>
      </c>
      <c r="I2753" s="43">
        <v>127.82868643725121</v>
      </c>
    </row>
    <row r="2754" spans="1:9">
      <c r="A2754" s="19">
        <v>634.79999999999995</v>
      </c>
      <c r="B2754" s="43">
        <v>122.68310381177457</v>
      </c>
      <c r="C2754" s="43">
        <v>123.88463227958081</v>
      </c>
      <c r="D2754" s="43">
        <v>124.91854707603281</v>
      </c>
      <c r="E2754" s="43">
        <v>125.7899750619375</v>
      </c>
      <c r="F2754" s="43">
        <v>126.5075194916914</v>
      </c>
      <c r="G2754" s="43">
        <v>127.0818901606844</v>
      </c>
      <c r="H2754" s="43">
        <v>127.52483501871498</v>
      </c>
      <c r="I2754" s="43">
        <v>127.84836781137358</v>
      </c>
    </row>
    <row r="2755" spans="1:9">
      <c r="A2755" s="19">
        <v>634.9</v>
      </c>
      <c r="B2755" s="43">
        <v>122.70088727874796</v>
      </c>
      <c r="C2755" s="43">
        <v>123.90264869612625</v>
      </c>
      <c r="D2755" s="43">
        <v>124.93682201279123</v>
      </c>
      <c r="E2755" s="43">
        <v>125.80852538785436</v>
      </c>
      <c r="F2755" s="43">
        <v>126.5263541518911</v>
      </c>
      <c r="G2755" s="43">
        <v>127.10101138190342</v>
      </c>
      <c r="H2755" s="43">
        <v>127.54423964137084</v>
      </c>
      <c r="I2755" s="43">
        <v>127.86804856050952</v>
      </c>
    </row>
    <row r="2756" spans="1:9">
      <c r="A2756" s="19">
        <v>635</v>
      </c>
      <c r="B2756" s="43">
        <v>122.71867049247078</v>
      </c>
      <c r="C2756" s="43">
        <v>123.92066477843414</v>
      </c>
      <c r="D2756" s="43">
        <v>124.95509654001589</v>
      </c>
      <c r="E2756" s="43">
        <v>125.82707523820525</v>
      </c>
      <c r="F2756" s="43">
        <v>126.54518828176623</v>
      </c>
      <c r="G2756" s="43">
        <v>127.12013202984514</v>
      </c>
      <c r="H2756" s="43">
        <v>127.56364365952891</v>
      </c>
      <c r="I2756" s="43">
        <v>127.88772868485302</v>
      </c>
    </row>
    <row r="2757" spans="1:9">
      <c r="A2757" s="19">
        <v>635.1</v>
      </c>
      <c r="B2757" s="43">
        <v>122.73645345276626</v>
      </c>
      <c r="C2757" s="43">
        <v>123.93868052636807</v>
      </c>
      <c r="D2757" s="43">
        <v>124.97337065763773</v>
      </c>
      <c r="E2757" s="43">
        <v>125.8456246130016</v>
      </c>
      <c r="F2757" s="43">
        <v>126.56402188128482</v>
      </c>
      <c r="G2757" s="43">
        <v>127.13925210453428</v>
      </c>
      <c r="H2757" s="43">
        <v>127.58304707319147</v>
      </c>
      <c r="I2757" s="43">
        <v>127.90740818441114</v>
      </c>
    </row>
    <row r="2758" spans="1:9">
      <c r="A2758" s="19">
        <v>635.20000000000005</v>
      </c>
      <c r="B2758" s="43">
        <v>122.75423616017801</v>
      </c>
      <c r="C2758" s="43">
        <v>123.95669594041186</v>
      </c>
      <c r="D2758" s="43">
        <v>124.99164436614817</v>
      </c>
      <c r="E2758" s="43">
        <v>125.8641735126576</v>
      </c>
      <c r="F2758" s="43">
        <v>126.58285495081353</v>
      </c>
      <c r="G2758" s="43">
        <v>127.15837160627177</v>
      </c>
      <c r="H2758" s="43">
        <v>127.60244988267607</v>
      </c>
      <c r="I2758" s="43">
        <v>127.92708705941473</v>
      </c>
    </row>
    <row r="2759" spans="1:9">
      <c r="A2759" s="19">
        <v>635.29999999999995</v>
      </c>
      <c r="B2759" s="43">
        <v>122.77201861459145</v>
      </c>
      <c r="C2759" s="43">
        <v>123.97471102054769</v>
      </c>
      <c r="D2759" s="43">
        <v>125.00991766555455</v>
      </c>
      <c r="E2759" s="43">
        <v>125.88272193721295</v>
      </c>
      <c r="F2759" s="43">
        <v>126.60168749043902</v>
      </c>
      <c r="G2759" s="43">
        <v>127.17749053518685</v>
      </c>
      <c r="H2759" s="43">
        <v>127.62185208806338</v>
      </c>
      <c r="I2759" s="43">
        <v>127.94676530998285</v>
      </c>
    </row>
    <row r="2760" spans="1:9">
      <c r="A2760" s="19">
        <v>635.4</v>
      </c>
      <c r="B2760" s="43">
        <v>122.78980081621481</v>
      </c>
      <c r="C2760" s="43">
        <v>123.99272576696291</v>
      </c>
      <c r="D2760" s="43">
        <v>125.02819055602194</v>
      </c>
      <c r="E2760" s="43">
        <v>125.90126988682994</v>
      </c>
      <c r="F2760" s="43">
        <v>126.6205195003183</v>
      </c>
      <c r="G2760" s="43">
        <v>127.19660889139678</v>
      </c>
      <c r="H2760" s="43">
        <v>127.64125368945258</v>
      </c>
      <c r="I2760" s="43">
        <v>127.96644293622731</v>
      </c>
    </row>
    <row r="2761" spans="1:9">
      <c r="A2761" s="19">
        <v>635.5</v>
      </c>
      <c r="B2761" s="43">
        <v>122.80758276523198</v>
      </c>
      <c r="C2761" s="43">
        <v>124.0107401798995</v>
      </c>
      <c r="D2761" s="43">
        <v>125.04646303782044</v>
      </c>
      <c r="E2761" s="43">
        <v>125.91981736178855</v>
      </c>
      <c r="F2761" s="43">
        <v>126.63935098068461</v>
      </c>
      <c r="G2761" s="43">
        <v>127.21572667512174</v>
      </c>
      <c r="H2761" s="43">
        <v>127.66065468706296</v>
      </c>
      <c r="I2761" s="43">
        <v>127.98611993827868</v>
      </c>
    </row>
    <row r="2762" spans="1:9">
      <c r="A2762" s="19">
        <v>635.6</v>
      </c>
      <c r="B2762" s="43">
        <v>122.82536446169982</v>
      </c>
      <c r="C2762" s="43">
        <v>124.02875425940786</v>
      </c>
      <c r="D2762" s="43">
        <v>125.06473511103079</v>
      </c>
      <c r="E2762" s="43">
        <v>125.9383643621839</v>
      </c>
      <c r="F2762" s="43">
        <v>126.65818193164955</v>
      </c>
      <c r="G2762" s="43">
        <v>127.23484388647549</v>
      </c>
      <c r="H2762" s="43">
        <v>127.68005508100077</v>
      </c>
      <c r="I2762" s="43">
        <v>128.00579631625709</v>
      </c>
    </row>
    <row r="2763" spans="1:9">
      <c r="A2763" s="19">
        <v>635.70000000000005</v>
      </c>
      <c r="B2763" s="43">
        <v>122.84314590605058</v>
      </c>
      <c r="C2763" s="43">
        <v>124.04676800593469</v>
      </c>
      <c r="D2763" s="43">
        <v>125.08300677604709</v>
      </c>
      <c r="E2763" s="43">
        <v>125.95691088833814</v>
      </c>
      <c r="F2763" s="43">
        <v>126.67701235355304</v>
      </c>
      <c r="G2763" s="43">
        <v>127.25396052575178</v>
      </c>
      <c r="H2763" s="43">
        <v>127.69945487149897</v>
      </c>
      <c r="I2763" s="43">
        <v>128.02547207035332</v>
      </c>
    </row>
    <row r="2764" spans="1:9">
      <c r="A2764" s="19">
        <v>635.79999999999995</v>
      </c>
      <c r="B2764" s="43">
        <v>122.86092709810862</v>
      </c>
      <c r="C2764" s="43">
        <v>124.06478141934872</v>
      </c>
      <c r="D2764" s="43">
        <v>125.10127803279292</v>
      </c>
      <c r="E2764" s="43">
        <v>125.97545694029233</v>
      </c>
      <c r="F2764" s="43">
        <v>126.69584224638501</v>
      </c>
      <c r="G2764" s="43">
        <v>127.2730765929428</v>
      </c>
      <c r="H2764" s="43">
        <v>127.71885405859743</v>
      </c>
      <c r="I2764" s="43">
        <v>128.04514720062423</v>
      </c>
    </row>
    <row r="2765" spans="1:9">
      <c r="A2765" s="19">
        <v>635.9</v>
      </c>
      <c r="B2765" s="43">
        <v>122.87870803825598</v>
      </c>
      <c r="C2765" s="43">
        <v>124.08279449999526</v>
      </c>
      <c r="D2765" s="43">
        <v>125.11954888163041</v>
      </c>
      <c r="E2765" s="43">
        <v>125.99400251828263</v>
      </c>
      <c r="F2765" s="43">
        <v>126.71467161038322</v>
      </c>
      <c r="G2765" s="43">
        <v>127.29219208834454</v>
      </c>
      <c r="H2765" s="43">
        <v>127.73825264249567</v>
      </c>
      <c r="I2765" s="43">
        <v>128.06482170722256</v>
      </c>
    </row>
    <row r="2766" spans="1:9">
      <c r="A2766" s="19">
        <v>636</v>
      </c>
      <c r="B2766" s="43">
        <v>122.89648872649926</v>
      </c>
      <c r="C2766" s="43">
        <v>124.10080724792775</v>
      </c>
      <c r="D2766" s="43">
        <v>125.13781932259275</v>
      </c>
      <c r="E2766" s="43">
        <v>126.01254762246791</v>
      </c>
      <c r="F2766" s="43">
        <v>126.73350044571325</v>
      </c>
      <c r="G2766" s="43">
        <v>127.3113070120211</v>
      </c>
      <c r="H2766" s="43">
        <v>127.75765062333241</v>
      </c>
      <c r="I2766" s="43">
        <v>128.08449559027389</v>
      </c>
    </row>
    <row r="2767" spans="1:9">
      <c r="A2767" s="19">
        <v>636.1</v>
      </c>
      <c r="B2767" s="43">
        <v>122.91426916305855</v>
      </c>
      <c r="C2767" s="43">
        <v>124.11881966342014</v>
      </c>
      <c r="D2767" s="43">
        <v>125.15608935598075</v>
      </c>
      <c r="E2767" s="43">
        <v>126.03109225306457</v>
      </c>
      <c r="F2767" s="43">
        <v>126.75232875260986</v>
      </c>
      <c r="G2767" s="43">
        <v>127.33042136419289</v>
      </c>
      <c r="H2767" s="43">
        <v>127.77704800124403</v>
      </c>
      <c r="I2767" s="43">
        <v>128.10416884989803</v>
      </c>
    </row>
    <row r="2768" spans="1:9">
      <c r="A2768" s="19">
        <v>636.20000000000005</v>
      </c>
      <c r="B2768" s="43">
        <v>122.93204934805129</v>
      </c>
      <c r="C2768" s="43">
        <v>124.1368317466281</v>
      </c>
      <c r="D2768" s="43">
        <v>125.17435898194117</v>
      </c>
      <c r="E2768" s="43">
        <v>126.04963641026285</v>
      </c>
      <c r="F2768" s="43">
        <v>126.77115653122041</v>
      </c>
      <c r="G2768" s="43">
        <v>127.34953514504568</v>
      </c>
      <c r="H2768" s="43">
        <v>127.79644477641887</v>
      </c>
      <c r="I2768" s="43">
        <v>128.12384148626597</v>
      </c>
    </row>
    <row r="2769" spans="1:9">
      <c r="A2769" s="19">
        <v>636.29999999999995</v>
      </c>
      <c r="B2769" s="43">
        <v>122.94982928159291</v>
      </c>
      <c r="C2769" s="43">
        <v>124.15484349759276</v>
      </c>
      <c r="D2769" s="43">
        <v>125.19262820059322</v>
      </c>
      <c r="E2769" s="43">
        <v>126.0681800941357</v>
      </c>
      <c r="F2769" s="43">
        <v>126.78998378164664</v>
      </c>
      <c r="G2769" s="43">
        <v>127.36864835465548</v>
      </c>
      <c r="H2769" s="43">
        <v>127.8158409489389</v>
      </c>
      <c r="I2769" s="43">
        <v>128.143513499439</v>
      </c>
    </row>
    <row r="2770" spans="1:9">
      <c r="A2770" s="19">
        <v>636.4</v>
      </c>
      <c r="B2770" s="43">
        <v>122.96760896410311</v>
      </c>
      <c r="C2770" s="43">
        <v>124.17285491677933</v>
      </c>
      <c r="D2770" s="43">
        <v>125.21089701231853</v>
      </c>
      <c r="E2770" s="43">
        <v>126.0867233051427</v>
      </c>
      <c r="F2770" s="43">
        <v>126.80881050426785</v>
      </c>
      <c r="G2770" s="43">
        <v>127.38776099337821</v>
      </c>
      <c r="H2770" s="43">
        <v>127.83523651909604</v>
      </c>
      <c r="I2770" s="43">
        <v>128.16318488968602</v>
      </c>
    </row>
    <row r="2771" spans="1:9">
      <c r="A2771" s="19">
        <v>636.5</v>
      </c>
      <c r="B2771" s="43">
        <v>122.9853883954348</v>
      </c>
      <c r="C2771" s="43">
        <v>124.19086600411211</v>
      </c>
      <c r="D2771" s="43">
        <v>125.2291654171016</v>
      </c>
      <c r="E2771" s="43">
        <v>126.1052660432112</v>
      </c>
      <c r="F2771" s="43">
        <v>126.82763669906512</v>
      </c>
      <c r="G2771" s="43">
        <v>127.40687306118832</v>
      </c>
      <c r="H2771" s="43">
        <v>127.85463148690221</v>
      </c>
      <c r="I2771" s="43">
        <v>128.18285565699688</v>
      </c>
    </row>
    <row r="2772" spans="1:9">
      <c r="A2772" s="19">
        <v>636.6</v>
      </c>
      <c r="B2772" s="43">
        <v>123.00316757588232</v>
      </c>
      <c r="C2772" s="43">
        <v>124.20887675987001</v>
      </c>
      <c r="D2772" s="43">
        <v>125.24743341523367</v>
      </c>
      <c r="E2772" s="43">
        <v>126.12380830860704</v>
      </c>
      <c r="F2772" s="43">
        <v>126.84646236631576</v>
      </c>
      <c r="G2772" s="43">
        <v>127.42598455832979</v>
      </c>
      <c r="H2772" s="43">
        <v>127.87402585255205</v>
      </c>
      <c r="I2772" s="43">
        <v>128.20252580155335</v>
      </c>
    </row>
    <row r="2773" spans="1:9">
      <c r="A2773" s="19">
        <v>636.70000000000005</v>
      </c>
      <c r="B2773" s="43">
        <v>123.02094650550754</v>
      </c>
      <c r="C2773" s="43">
        <v>124.2268871841365</v>
      </c>
      <c r="D2773" s="43">
        <v>125.26570100678825</v>
      </c>
      <c r="E2773" s="43">
        <v>126.14235010147144</v>
      </c>
      <c r="F2773" s="43">
        <v>126.86528750610637</v>
      </c>
      <c r="G2773" s="43">
        <v>127.44509548492846</v>
      </c>
      <c r="H2773" s="43">
        <v>127.89341961616012</v>
      </c>
      <c r="I2773" s="43">
        <v>128.22219532345645</v>
      </c>
    </row>
    <row r="2774" spans="1:9">
      <c r="A2774" s="19">
        <v>636.79999999999995</v>
      </c>
      <c r="B2774" s="43">
        <v>123.03872518452218</v>
      </c>
      <c r="C2774" s="43">
        <v>124.24489727712168</v>
      </c>
      <c r="D2774" s="43">
        <v>125.28396819198394</v>
      </c>
      <c r="E2774" s="43">
        <v>126.16089142199704</v>
      </c>
      <c r="F2774" s="43">
        <v>126.88411211867694</v>
      </c>
      <c r="G2774" s="43">
        <v>127.4642058411778</v>
      </c>
      <c r="H2774" s="43">
        <v>127.91281277789747</v>
      </c>
      <c r="I2774" s="43">
        <v>128.24186422286022</v>
      </c>
    </row>
    <row r="2775" spans="1:9">
      <c r="A2775" s="19">
        <v>636.9</v>
      </c>
      <c r="B2775" s="43">
        <v>123.05650361313334</v>
      </c>
      <c r="C2775" s="43">
        <v>124.26290703911172</v>
      </c>
      <c r="D2775" s="43">
        <v>125.30223497114414</v>
      </c>
      <c r="E2775" s="43">
        <v>126.17943227051865</v>
      </c>
      <c r="F2775" s="43">
        <v>126.90293620426311</v>
      </c>
      <c r="G2775" s="43">
        <v>127.48331562728643</v>
      </c>
      <c r="H2775" s="43">
        <v>127.93220533799061</v>
      </c>
      <c r="I2775" s="43">
        <v>128.261532499949</v>
      </c>
    </row>
    <row r="2776" spans="1:9">
      <c r="A2776" s="19">
        <v>637</v>
      </c>
      <c r="B2776" s="43">
        <v>123.07428179134939</v>
      </c>
      <c r="C2776" s="43">
        <v>124.28091647007551</v>
      </c>
      <c r="D2776" s="43">
        <v>125.32050134424264</v>
      </c>
      <c r="E2776" s="43">
        <v>126.19797264697479</v>
      </c>
      <c r="F2776" s="43">
        <v>126.92175976290898</v>
      </c>
      <c r="G2776" s="43">
        <v>127.50242484331918</v>
      </c>
      <c r="H2776" s="43">
        <v>127.95159729644323</v>
      </c>
      <c r="I2776" s="43">
        <v>128.28120015472638</v>
      </c>
    </row>
    <row r="2777" spans="1:9">
      <c r="A2777" s="19">
        <v>637.1</v>
      </c>
      <c r="B2777" s="43">
        <v>123.09205971952096</v>
      </c>
      <c r="C2777" s="43">
        <v>124.29892557038528</v>
      </c>
      <c r="D2777" s="43">
        <v>125.33876731163281</v>
      </c>
      <c r="E2777" s="43">
        <v>126.2165125517781</v>
      </c>
      <c r="F2777" s="43">
        <v>126.9405827949449</v>
      </c>
      <c r="G2777" s="43">
        <v>127.52153348957208</v>
      </c>
      <c r="H2777" s="43">
        <v>127.97098865355352</v>
      </c>
      <c r="I2777" s="43">
        <v>128.30086718748095</v>
      </c>
    </row>
    <row r="2778" spans="1:9">
      <c r="A2778" s="19">
        <v>637.20000000000005</v>
      </c>
      <c r="B2778" s="43">
        <v>123.10983739765703</v>
      </c>
      <c r="C2778" s="43">
        <v>124.31693434012203</v>
      </c>
      <c r="D2778" s="43">
        <v>125.35703287339905</v>
      </c>
      <c r="E2778" s="43">
        <v>126.23505198498532</v>
      </c>
      <c r="F2778" s="43">
        <v>126.95940530043913</v>
      </c>
      <c r="G2778" s="43">
        <v>127.54064156612787</v>
      </c>
      <c r="H2778" s="43">
        <v>127.99037940937936</v>
      </c>
      <c r="I2778" s="43">
        <v>128.32053359823021</v>
      </c>
    </row>
    <row r="2779" spans="1:9">
      <c r="A2779" s="19">
        <v>637.29999999999995</v>
      </c>
      <c r="B2779" s="43">
        <v>123.1276148259083</v>
      </c>
      <c r="C2779" s="43">
        <v>124.3349427793739</v>
      </c>
      <c r="D2779" s="43">
        <v>125.37529802975214</v>
      </c>
      <c r="E2779" s="43">
        <v>126.25359094674687</v>
      </c>
      <c r="F2779" s="43">
        <v>126.97822727957407</v>
      </c>
      <c r="G2779" s="43">
        <v>127.55974907311014</v>
      </c>
      <c r="H2779" s="43">
        <v>128.00976956406515</v>
      </c>
      <c r="I2779" s="43">
        <v>128.34019938710793</v>
      </c>
    </row>
    <row r="2780" spans="1:9">
      <c r="A2780" s="19">
        <v>637.4</v>
      </c>
      <c r="B2780" s="43">
        <v>123.14539200447848</v>
      </c>
      <c r="C2780" s="43">
        <v>124.35295088845453</v>
      </c>
      <c r="D2780" s="43">
        <v>125.39356278082937</v>
      </c>
      <c r="E2780" s="43">
        <v>126.27212943731965</v>
      </c>
      <c r="F2780" s="43">
        <v>126.99704873254512</v>
      </c>
      <c r="G2780" s="43">
        <v>127.57885601076069</v>
      </c>
      <c r="H2780" s="43">
        <v>128.02915911780082</v>
      </c>
      <c r="I2780" s="43">
        <v>128.35986455428218</v>
      </c>
    </row>
    <row r="2781" spans="1:9">
      <c r="A2781" s="19">
        <v>637.5</v>
      </c>
      <c r="B2781" s="43">
        <v>123.16316893343696</v>
      </c>
      <c r="C2781" s="43">
        <v>124.37095866738557</v>
      </c>
      <c r="D2781" s="43">
        <v>125.41182712680364</v>
      </c>
      <c r="E2781" s="43">
        <v>126.29066745680953</v>
      </c>
      <c r="F2781" s="43">
        <v>127.01586965949178</v>
      </c>
      <c r="G2781" s="43">
        <v>127.59796237915319</v>
      </c>
      <c r="H2781" s="43">
        <v>128.04854807067909</v>
      </c>
      <c r="I2781" s="43">
        <v>128.37952909981277</v>
      </c>
    </row>
    <row r="2782" spans="1:9">
      <c r="A2782" s="19">
        <v>637.6</v>
      </c>
      <c r="B2782" s="43">
        <v>123.18094561311403</v>
      </c>
      <c r="C2782" s="43">
        <v>124.38896611656202</v>
      </c>
      <c r="D2782" s="43">
        <v>125.43009106803376</v>
      </c>
      <c r="E2782" s="43">
        <v>126.30920500556999</v>
      </c>
      <c r="F2782" s="43">
        <v>127.03469006073036</v>
      </c>
      <c r="G2782" s="43">
        <v>127.6170681786291</v>
      </c>
      <c r="H2782" s="43">
        <v>128.06793642294616</v>
      </c>
      <c r="I2782" s="43">
        <v>128.39919302397266</v>
      </c>
    </row>
    <row r="2783" spans="1:9">
      <c r="A2783" s="19">
        <v>637.70000000000005</v>
      </c>
      <c r="B2783" s="43">
        <v>123.19872204356136</v>
      </c>
      <c r="C2783" s="43">
        <v>124.406973235989</v>
      </c>
      <c r="D2783" s="43">
        <v>125.44835460452248</v>
      </c>
      <c r="E2783" s="43">
        <v>126.32774208365294</v>
      </c>
      <c r="F2783" s="43">
        <v>127.05350993631038</v>
      </c>
      <c r="G2783" s="43">
        <v>127.63617340919092</v>
      </c>
      <c r="H2783" s="43">
        <v>128.08732417467206</v>
      </c>
      <c r="I2783" s="43">
        <v>128.41885632676946</v>
      </c>
    </row>
    <row r="2784" spans="1:9">
      <c r="A2784" s="19">
        <v>637.79999999999995</v>
      </c>
      <c r="B2784" s="43">
        <v>123.21649822493757</v>
      </c>
      <c r="C2784" s="43">
        <v>124.42498002590719</v>
      </c>
      <c r="D2784" s="43">
        <v>125.46661773656564</v>
      </c>
      <c r="E2784" s="43">
        <v>126.34627869127121</v>
      </c>
      <c r="F2784" s="43">
        <v>127.07232928645089</v>
      </c>
      <c r="G2784" s="43">
        <v>127.65527807109143</v>
      </c>
      <c r="H2784" s="43">
        <v>128.10671132607189</v>
      </c>
      <c r="I2784" s="43">
        <v>128.43851900840934</v>
      </c>
    </row>
    <row r="2785" spans="1:9">
      <c r="A2785" s="19">
        <v>637.9</v>
      </c>
      <c r="B2785" s="43">
        <v>123.23427415734034</v>
      </c>
      <c r="C2785" s="43">
        <v>124.44298648641561</v>
      </c>
      <c r="D2785" s="43">
        <v>125.48488046420843</v>
      </c>
      <c r="E2785" s="43">
        <v>126.36481482855683</v>
      </c>
      <c r="F2785" s="43">
        <v>127.09114811132375</v>
      </c>
      <c r="G2785" s="43">
        <v>127.67438216445464</v>
      </c>
      <c r="H2785" s="43">
        <v>128.12609787721709</v>
      </c>
      <c r="I2785" s="43">
        <v>128.45818106894279</v>
      </c>
    </row>
    <row r="2786" spans="1:9">
      <c r="A2786" s="19">
        <v>638</v>
      </c>
      <c r="B2786" s="43">
        <v>123.25204984083805</v>
      </c>
      <c r="C2786" s="43">
        <v>124.46099261763129</v>
      </c>
      <c r="D2786" s="43">
        <v>125.50314278762775</v>
      </c>
      <c r="E2786" s="43">
        <v>126.38335049567553</v>
      </c>
      <c r="F2786" s="43">
        <v>127.10996641101278</v>
      </c>
      <c r="G2786" s="43">
        <v>127.69348568938622</v>
      </c>
      <c r="H2786" s="43">
        <v>128.14548382824836</v>
      </c>
      <c r="I2786" s="43">
        <v>128.47784250850793</v>
      </c>
    </row>
    <row r="2787" spans="1:9">
      <c r="A2787" s="19">
        <v>638.1</v>
      </c>
      <c r="B2787" s="43">
        <v>123.26982527592477</v>
      </c>
      <c r="C2787" s="43">
        <v>124.47899841999296</v>
      </c>
      <c r="D2787" s="43">
        <v>125.5214047072545</v>
      </c>
      <c r="E2787" s="43">
        <v>126.40188569300639</v>
      </c>
      <c r="F2787" s="43">
        <v>127.12878418591242</v>
      </c>
      <c r="G2787" s="43">
        <v>127.71258864621058</v>
      </c>
      <c r="H2787" s="43">
        <v>128.16486917942933</v>
      </c>
      <c r="I2787" s="43">
        <v>128.4975033273563</v>
      </c>
    </row>
    <row r="2788" spans="1:9">
      <c r="A2788" s="19">
        <v>638.20000000000005</v>
      </c>
      <c r="B2788" s="43">
        <v>123.28760046234623</v>
      </c>
      <c r="C2788" s="43">
        <v>124.49700389332</v>
      </c>
      <c r="D2788" s="43">
        <v>125.53966622294553</v>
      </c>
      <c r="E2788" s="43">
        <v>126.42042042044116</v>
      </c>
      <c r="F2788" s="43">
        <v>127.14760143594776</v>
      </c>
      <c r="G2788" s="43">
        <v>127.73169103491776</v>
      </c>
      <c r="H2788" s="43">
        <v>128.18425393076507</v>
      </c>
      <c r="I2788" s="43">
        <v>128.51716352543752</v>
      </c>
    </row>
    <row r="2789" spans="1:9">
      <c r="A2789" s="19">
        <v>638.29999999999995</v>
      </c>
      <c r="B2789" s="43">
        <v>123.30537540056505</v>
      </c>
      <c r="C2789" s="43">
        <v>124.51500903806664</v>
      </c>
      <c r="D2789" s="43">
        <v>125.55792733509679</v>
      </c>
      <c r="E2789" s="43">
        <v>126.43895467840304</v>
      </c>
      <c r="F2789" s="43">
        <v>127.16641816147515</v>
      </c>
      <c r="G2789" s="43">
        <v>127.75079285579415</v>
      </c>
      <c r="H2789" s="43">
        <v>128.20363808252546</v>
      </c>
      <c r="I2789" s="43">
        <v>128.5368231030277</v>
      </c>
    </row>
    <row r="2790" spans="1:9">
      <c r="A2790" s="19">
        <v>638.4</v>
      </c>
      <c r="B2790" s="43">
        <v>123.32315009064953</v>
      </c>
      <c r="C2790" s="43">
        <v>124.5330138543047</v>
      </c>
      <c r="D2790" s="43">
        <v>125.57618804386681</v>
      </c>
      <c r="E2790" s="43">
        <v>126.457488467031</v>
      </c>
      <c r="F2790" s="43">
        <v>127.18523436262592</v>
      </c>
      <c r="G2790" s="43">
        <v>127.76989410898247</v>
      </c>
      <c r="H2790" s="43">
        <v>128.22302163481066</v>
      </c>
      <c r="I2790" s="43">
        <v>128.55648206019919</v>
      </c>
    </row>
    <row r="2791" spans="1:9">
      <c r="A2791" s="19">
        <v>638.5</v>
      </c>
      <c r="B2791" s="43">
        <v>123.34092453262701</v>
      </c>
      <c r="C2791" s="43">
        <v>124.55101834218158</v>
      </c>
      <c r="D2791" s="43">
        <v>125.59444834936292</v>
      </c>
      <c r="E2791" s="43">
        <v>126.47602178639727</v>
      </c>
      <c r="F2791" s="43">
        <v>127.2040500395629</v>
      </c>
      <c r="G2791" s="43">
        <v>127.78899479461123</v>
      </c>
      <c r="H2791" s="43">
        <v>128.24240458776148</v>
      </c>
      <c r="I2791" s="43">
        <v>128.57614039707778</v>
      </c>
    </row>
    <row r="2792" spans="1:9">
      <c r="A2792" s="19">
        <v>638.6</v>
      </c>
      <c r="B2792" s="43">
        <v>123.35869872680607</v>
      </c>
      <c r="C2792" s="43">
        <v>124.56902250189788</v>
      </c>
      <c r="D2792" s="43">
        <v>125.61270825182086</v>
      </c>
      <c r="E2792" s="43">
        <v>126.49455463677464</v>
      </c>
      <c r="F2792" s="43">
        <v>127.22286519246308</v>
      </c>
      <c r="G2792" s="43">
        <v>127.80809491288775</v>
      </c>
      <c r="H2792" s="43">
        <v>128.26178694155772</v>
      </c>
      <c r="I2792" s="43">
        <v>128.59579811381127</v>
      </c>
    </row>
    <row r="2793" spans="1:9">
      <c r="A2793" s="19">
        <v>638.70000000000005</v>
      </c>
      <c r="B2793" s="43">
        <v>123.37647267320637</v>
      </c>
      <c r="C2793" s="43">
        <v>124.5870263335774</v>
      </c>
      <c r="D2793" s="43">
        <v>125.63096775136515</v>
      </c>
      <c r="E2793" s="43">
        <v>126.51308701829996</v>
      </c>
      <c r="F2793" s="43">
        <v>127.24167982147318</v>
      </c>
      <c r="G2793" s="43">
        <v>127.8271944639248</v>
      </c>
      <c r="H2793" s="43">
        <v>128.28116869629559</v>
      </c>
      <c r="I2793" s="43">
        <v>128.61545521050385</v>
      </c>
    </row>
    <row r="2794" spans="1:9">
      <c r="A2794" s="19">
        <v>638.79999999999995</v>
      </c>
      <c r="B2794" s="43">
        <v>123.39424637215723</v>
      </c>
      <c r="C2794" s="43">
        <v>124.60502983752093</v>
      </c>
      <c r="D2794" s="43">
        <v>125.64922684832013</v>
      </c>
      <c r="E2794" s="43">
        <v>126.53161893125824</v>
      </c>
      <c r="F2794" s="43">
        <v>127.26049392689109</v>
      </c>
      <c r="G2794" s="43">
        <v>127.84629344797682</v>
      </c>
      <c r="H2794" s="43">
        <v>128.30054985220744</v>
      </c>
      <c r="I2794" s="43">
        <v>128.6351116873542</v>
      </c>
    </row>
    <row r="2795" spans="1:9">
      <c r="A2795" s="19">
        <v>638.9</v>
      </c>
      <c r="B2795" s="43">
        <v>123.41201982361602</v>
      </c>
      <c r="C2795" s="43">
        <v>124.62303301375866</v>
      </c>
      <c r="D2795" s="43">
        <v>125.66748554267411</v>
      </c>
      <c r="E2795" s="43">
        <v>126.55015037570416</v>
      </c>
      <c r="F2795" s="43">
        <v>127.2793075087578</v>
      </c>
      <c r="G2795" s="43">
        <v>127.86539186511692</v>
      </c>
      <c r="H2795" s="43">
        <v>128.31993040936015</v>
      </c>
      <c r="I2795" s="43">
        <v>128.65476754441272</v>
      </c>
    </row>
    <row r="2796" spans="1:9">
      <c r="A2796" s="19">
        <v>639</v>
      </c>
      <c r="B2796" s="43">
        <v>123.42979302781748</v>
      </c>
      <c r="C2796" s="43">
        <v>124.64103586246063</v>
      </c>
      <c r="D2796" s="43">
        <v>125.68574383469684</v>
      </c>
      <c r="E2796" s="43">
        <v>126.56868135183763</v>
      </c>
      <c r="F2796" s="43">
        <v>127.29812056726388</v>
      </c>
      <c r="G2796" s="43">
        <v>127.88448971552589</v>
      </c>
      <c r="H2796" s="43">
        <v>128.33931036790256</v>
      </c>
      <c r="I2796" s="43">
        <v>128.67442278182511</v>
      </c>
    </row>
    <row r="2797" spans="1:9">
      <c r="A2797" s="19">
        <v>639.1</v>
      </c>
      <c r="B2797" s="43">
        <v>123.44756598495181</v>
      </c>
      <c r="C2797" s="43">
        <v>124.65903838389269</v>
      </c>
      <c r="D2797" s="43">
        <v>125.70400172459654</v>
      </c>
      <c r="E2797" s="43">
        <v>126.58721185991089</v>
      </c>
      <c r="F2797" s="43">
        <v>127.31693310264941</v>
      </c>
      <c r="G2797" s="43">
        <v>127.90358699940109</v>
      </c>
      <c r="H2797" s="43">
        <v>128.3586897280382</v>
      </c>
      <c r="I2797" s="43">
        <v>128.69407739974065</v>
      </c>
    </row>
    <row r="2798" spans="1:9">
      <c r="A2798" s="19">
        <v>639.20000000000005</v>
      </c>
      <c r="B2798" s="43">
        <v>123.46533869503475</v>
      </c>
      <c r="C2798" s="43">
        <v>124.67704057814251</v>
      </c>
      <c r="D2798" s="43">
        <v>125.72225921248474</v>
      </c>
      <c r="E2798" s="43">
        <v>126.60574190003916</v>
      </c>
      <c r="F2798" s="43">
        <v>127.33574511503147</v>
      </c>
      <c r="G2798" s="43">
        <v>127.92268371686632</v>
      </c>
      <c r="H2798" s="43">
        <v>128.37806848990147</v>
      </c>
      <c r="I2798" s="43">
        <v>128.71373139827642</v>
      </c>
    </row>
    <row r="2799" spans="1:9">
      <c r="A2799" s="19">
        <v>639.29999999999995</v>
      </c>
      <c r="B2799" s="43">
        <v>123.48311115843336</v>
      </c>
      <c r="C2799" s="43">
        <v>124.69504244547093</v>
      </c>
      <c r="D2799" s="43">
        <v>125.74051629864226</v>
      </c>
      <c r="E2799" s="43">
        <v>126.62427147246586</v>
      </c>
      <c r="F2799" s="43">
        <v>127.35455660465959</v>
      </c>
      <c r="G2799" s="43">
        <v>127.94177986816771</v>
      </c>
      <c r="H2799" s="43">
        <v>128.39744665362997</v>
      </c>
      <c r="I2799" s="43">
        <v>128.73338477760149</v>
      </c>
    </row>
    <row r="2800" spans="1:9">
      <c r="A2800" s="19">
        <v>639.4</v>
      </c>
      <c r="B2800" s="43">
        <v>123.50088337507751</v>
      </c>
      <c r="C2800" s="43">
        <v>124.71304398592551</v>
      </c>
      <c r="D2800" s="43">
        <v>125.75877298310985</v>
      </c>
      <c r="E2800" s="43">
        <v>126.64280057730375</v>
      </c>
      <c r="F2800" s="43">
        <v>127.37336757160014</v>
      </c>
      <c r="G2800" s="43">
        <v>127.9608754533416</v>
      </c>
      <c r="H2800" s="43">
        <v>128.41682421934536</v>
      </c>
      <c r="I2800" s="43">
        <v>128.75303753775</v>
      </c>
    </row>
    <row r="2801" spans="1:9">
      <c r="A2801" s="19">
        <v>639.5</v>
      </c>
      <c r="B2801" s="43">
        <v>123.51865534541966</v>
      </c>
      <c r="C2801" s="43">
        <v>124.73104519989749</v>
      </c>
      <c r="D2801" s="43">
        <v>125.77702926630511</v>
      </c>
      <c r="E2801" s="43">
        <v>126.66132921488028</v>
      </c>
      <c r="F2801" s="43">
        <v>127.39217801623508</v>
      </c>
      <c r="G2801" s="43">
        <v>127.97997047275527</v>
      </c>
      <c r="H2801" s="43">
        <v>128.43620118732821</v>
      </c>
      <c r="I2801" s="43">
        <v>128.77268967903279</v>
      </c>
    </row>
    <row r="2802" spans="1:9">
      <c r="A2802" s="19">
        <v>639.6</v>
      </c>
      <c r="B2802" s="43">
        <v>123.53642706928511</v>
      </c>
      <c r="C2802" s="43">
        <v>124.74904608731441</v>
      </c>
      <c r="D2802" s="43">
        <v>125.79528514815635</v>
      </c>
      <c r="E2802" s="43">
        <v>126.67985738520107</v>
      </c>
      <c r="F2802" s="43">
        <v>127.41098793852842</v>
      </c>
      <c r="G2802" s="43">
        <v>127.99906492636225</v>
      </c>
      <c r="H2802" s="43">
        <v>128.45557755755067</v>
      </c>
      <c r="I2802" s="43">
        <v>128.79234120141086</v>
      </c>
    </row>
    <row r="2803" spans="1:9">
      <c r="A2803" s="19">
        <v>639.70000000000005</v>
      </c>
      <c r="B2803" s="43">
        <v>123.55419854698164</v>
      </c>
      <c r="C2803" s="43">
        <v>124.76704664844615</v>
      </c>
      <c r="D2803" s="43">
        <v>125.81354062896648</v>
      </c>
      <c r="E2803" s="43">
        <v>126.69838508855159</v>
      </c>
      <c r="F2803" s="43">
        <v>127.42979733873773</v>
      </c>
      <c r="G2803" s="43">
        <v>128.01815881444242</v>
      </c>
      <c r="H2803" s="43">
        <v>128.4749533302616</v>
      </c>
      <c r="I2803" s="43">
        <v>128.81199210506793</v>
      </c>
    </row>
    <row r="2804" spans="1:9">
      <c r="A2804" s="19">
        <v>639.79999999999995</v>
      </c>
      <c r="B2804" s="43">
        <v>123.57196977858098</v>
      </c>
      <c r="C2804" s="43">
        <v>124.78504688340479</v>
      </c>
      <c r="D2804" s="43">
        <v>125.8317957088351</v>
      </c>
      <c r="E2804" s="43">
        <v>126.71691232498722</v>
      </c>
      <c r="F2804" s="43">
        <v>127.44860621699806</v>
      </c>
      <c r="G2804" s="43">
        <v>128.03725213709578</v>
      </c>
      <c r="H2804" s="43">
        <v>128.49432850555587</v>
      </c>
      <c r="I2804" s="43">
        <v>128.83164239010898</v>
      </c>
    </row>
    <row r="2805" spans="1:9">
      <c r="A2805" s="19">
        <v>639.9</v>
      </c>
      <c r="B2805" s="43">
        <v>123.58974076425389</v>
      </c>
      <c r="C2805" s="43">
        <v>124.80304679238958</v>
      </c>
      <c r="D2805" s="43">
        <v>125.85005038797402</v>
      </c>
      <c r="E2805" s="43">
        <v>126.73543909482248</v>
      </c>
      <c r="F2805" s="43">
        <v>127.46741457350583</v>
      </c>
      <c r="G2805" s="43">
        <v>128.05634489449068</v>
      </c>
      <c r="H2805" s="43">
        <v>128.5137030835902</v>
      </c>
      <c r="I2805" s="43">
        <v>128.85129205669722</v>
      </c>
    </row>
    <row r="2806" spans="1:9">
      <c r="A2806" s="19">
        <v>640</v>
      </c>
      <c r="B2806" s="43">
        <v>123.59781373086815</v>
      </c>
      <c r="C2806" s="43">
        <v>124.81125804986624</v>
      </c>
      <c r="D2806" s="43">
        <v>125.85858499817448</v>
      </c>
      <c r="E2806" s="43">
        <v>126.74447072456334</v>
      </c>
      <c r="F2806" s="43">
        <v>127.47709902246729</v>
      </c>
      <c r="G2806" s="43">
        <v>128.06681709780486</v>
      </c>
      <c r="H2806" s="43">
        <v>128.52507656919801</v>
      </c>
      <c r="I2806" s="43">
        <v>128.86365993502989</v>
      </c>
    </row>
    <row r="2807" spans="1:9">
      <c r="A2807" s="19">
        <v>640.1</v>
      </c>
      <c r="B2807" s="43">
        <v>123.60588132442754</v>
      </c>
      <c r="C2807" s="43">
        <v>124.81946304300791</v>
      </c>
      <c r="D2807" s="43">
        <v>125.86711214752168</v>
      </c>
      <c r="E2807" s="43">
        <v>126.75349350517214</v>
      </c>
      <c r="F2807" s="43">
        <v>127.48677314180529</v>
      </c>
      <c r="G2807" s="43">
        <v>128.0772774784545</v>
      </c>
      <c r="H2807" s="43">
        <v>128.53643678522326</v>
      </c>
      <c r="I2807" s="43">
        <v>128.8760131826204</v>
      </c>
    </row>
    <row r="2808" spans="1:9">
      <c r="A2808" s="19">
        <v>640.20000000000005</v>
      </c>
      <c r="B2808" s="43">
        <v>123.62364784987707</v>
      </c>
      <c r="C2808" s="43">
        <v>124.83745744506956</v>
      </c>
      <c r="D2808" s="43">
        <v>125.88535996220287</v>
      </c>
      <c r="E2808" s="43">
        <v>126.77201184298053</v>
      </c>
      <c r="F2808" s="43">
        <v>127.50557137677268</v>
      </c>
      <c r="G2808" s="43">
        <v>128.09635837403317</v>
      </c>
      <c r="H2808" s="43">
        <v>128.55579776489026</v>
      </c>
      <c r="I2808" s="43">
        <v>128.89564755754225</v>
      </c>
    </row>
    <row r="2809" spans="1:9">
      <c r="A2809" s="19">
        <v>640.29999999999995</v>
      </c>
      <c r="B2809" s="43">
        <v>123.64141413074637</v>
      </c>
      <c r="C2809" s="43">
        <v>124.85545152358549</v>
      </c>
      <c r="D2809" s="43">
        <v>125.90360737951553</v>
      </c>
      <c r="E2809" s="43">
        <v>126.79052971821102</v>
      </c>
      <c r="F2809" s="43">
        <v>127.52436909459351</v>
      </c>
      <c r="G2809" s="43">
        <v>128.1154387092775</v>
      </c>
      <c r="H2809" s="43">
        <v>128.57515815226066</v>
      </c>
      <c r="I2809" s="43">
        <v>128.91528131888987</v>
      </c>
    </row>
    <row r="2810" spans="1:9">
      <c r="A2810" s="19">
        <v>640.4</v>
      </c>
      <c r="B2810" s="43">
        <v>123.65918016732027</v>
      </c>
      <c r="C2810" s="43">
        <v>124.87344527882573</v>
      </c>
      <c r="D2810" s="43">
        <v>125.92185439967983</v>
      </c>
      <c r="E2810" s="43">
        <v>126.80904713112199</v>
      </c>
      <c r="F2810" s="43">
        <v>127.54316629545789</v>
      </c>
      <c r="G2810" s="43">
        <v>128.1345184843172</v>
      </c>
      <c r="H2810" s="43">
        <v>128.59451794752493</v>
      </c>
      <c r="I2810" s="43">
        <v>128.93491446681486</v>
      </c>
    </row>
    <row r="2811" spans="1:9">
      <c r="A2811" s="19">
        <v>640.5</v>
      </c>
      <c r="B2811" s="43">
        <v>123.67694595964804</v>
      </c>
      <c r="C2811" s="43">
        <v>124.8914387109248</v>
      </c>
      <c r="D2811" s="43">
        <v>125.94010102296065</v>
      </c>
      <c r="E2811" s="43">
        <v>126.82756408188285</v>
      </c>
      <c r="F2811" s="43">
        <v>127.56196297955944</v>
      </c>
      <c r="G2811" s="43">
        <v>128.15359769938129</v>
      </c>
      <c r="H2811" s="43">
        <v>128.61387715083765</v>
      </c>
      <c r="I2811" s="43">
        <v>128.95454700144865</v>
      </c>
    </row>
    <row r="2812" spans="1:9">
      <c r="A2812" s="19">
        <v>640.6</v>
      </c>
      <c r="B2812" s="43">
        <v>123.69471150789428</v>
      </c>
      <c r="C2812" s="43">
        <v>124.90943182002351</v>
      </c>
      <c r="D2812" s="43">
        <v>125.95834724940207</v>
      </c>
      <c r="E2812" s="43">
        <v>126.84608057060103</v>
      </c>
      <c r="F2812" s="43">
        <v>127.58075914700316</v>
      </c>
      <c r="G2812" s="43">
        <v>128.17267635455681</v>
      </c>
      <c r="H2812" s="43">
        <v>128.6332357623296</v>
      </c>
      <c r="I2812" s="43">
        <v>128.97417892290082</v>
      </c>
    </row>
    <row r="2813" spans="1:9">
      <c r="A2813" s="19">
        <v>640.70000000000005</v>
      </c>
      <c r="B2813" s="43">
        <v>123.71247681228104</v>
      </c>
      <c r="C2813" s="43">
        <v>124.92742460637055</v>
      </c>
      <c r="D2813" s="43">
        <v>125.976593079308</v>
      </c>
      <c r="E2813" s="43">
        <v>126.86459659757088</v>
      </c>
      <c r="F2813" s="43">
        <v>127.5995547980645</v>
      </c>
      <c r="G2813" s="43">
        <v>128.19175445008096</v>
      </c>
      <c r="H2813" s="43">
        <v>128.65259378217445</v>
      </c>
      <c r="I2813" s="43">
        <v>128.99381023134333</v>
      </c>
    </row>
    <row r="2814" spans="1:9">
      <c r="A2814" s="19">
        <v>640.79999999999995</v>
      </c>
      <c r="B2814" s="43">
        <v>123.73024187286794</v>
      </c>
      <c r="C2814" s="43">
        <v>124.94541707002753</v>
      </c>
      <c r="D2814" s="43">
        <v>125.99483851277725</v>
      </c>
      <c r="E2814" s="43">
        <v>126.8831121628763</v>
      </c>
      <c r="F2814" s="43">
        <v>127.61834993283338</v>
      </c>
      <c r="G2814" s="43">
        <v>128.21083198605794</v>
      </c>
      <c r="H2814" s="43">
        <v>128.67195121048309</v>
      </c>
      <c r="I2814" s="43">
        <v>129.01344092685747</v>
      </c>
    </row>
    <row r="2815" spans="1:9">
      <c r="A2815" s="19">
        <v>640.9</v>
      </c>
      <c r="B2815" s="43">
        <v>123.74800668981712</v>
      </c>
      <c r="C2815" s="43">
        <v>124.96340921120168</v>
      </c>
      <c r="D2815" s="43">
        <v>126.01308354997357</v>
      </c>
      <c r="E2815" s="43">
        <v>126.90162726675359</v>
      </c>
      <c r="F2815" s="43">
        <v>127.63714455153615</v>
      </c>
      <c r="G2815" s="43">
        <v>128.22990896269255</v>
      </c>
      <c r="H2815" s="43">
        <v>128.69130804743827</v>
      </c>
      <c r="I2815" s="43">
        <v>129.03307100961831</v>
      </c>
    </row>
    <row r="2816" spans="1:9">
      <c r="A2816" s="19">
        <v>641</v>
      </c>
      <c r="B2816" s="43">
        <v>123.76577126334405</v>
      </c>
      <c r="C2816" s="43">
        <v>124.9814010301414</v>
      </c>
      <c r="D2816" s="43">
        <v>126.03132819116502</v>
      </c>
      <c r="E2816" s="43">
        <v>126.92014190936843</v>
      </c>
      <c r="F2816" s="43">
        <v>127.65593865433908</v>
      </c>
      <c r="G2816" s="43">
        <v>128.24898538013275</v>
      </c>
      <c r="H2816" s="43">
        <v>128.7106642931638</v>
      </c>
      <c r="I2816" s="43">
        <v>129.05270047972368</v>
      </c>
    </row>
    <row r="2817" spans="1:9">
      <c r="A2817" s="19">
        <v>641.1</v>
      </c>
      <c r="B2817" s="43">
        <v>123.78353559351331</v>
      </c>
      <c r="C2817" s="43">
        <v>124.99939252687065</v>
      </c>
      <c r="D2817" s="43">
        <v>126.0495724364298</v>
      </c>
      <c r="E2817" s="43">
        <v>126.93865609086296</v>
      </c>
      <c r="F2817" s="43">
        <v>127.67473224137905</v>
      </c>
      <c r="G2817" s="43">
        <v>128.26806123851833</v>
      </c>
      <c r="H2817" s="43">
        <v>128.73001994782351</v>
      </c>
      <c r="I2817" s="43">
        <v>129.0723293373166</v>
      </c>
    </row>
    <row r="2818" spans="1:9">
      <c r="A2818" s="19">
        <v>641.20000000000005</v>
      </c>
      <c r="B2818" s="43">
        <v>123.80129968056002</v>
      </c>
      <c r="C2818" s="43">
        <v>125.01738370169545</v>
      </c>
      <c r="D2818" s="43">
        <v>126.06781628603392</v>
      </c>
      <c r="E2818" s="43">
        <v>126.95716981147771</v>
      </c>
      <c r="F2818" s="43">
        <v>127.69352531288669</v>
      </c>
      <c r="G2818" s="43">
        <v>128.28713653808404</v>
      </c>
      <c r="H2818" s="43">
        <v>128.74937501158047</v>
      </c>
      <c r="I2818" s="43">
        <v>129.09195758254845</v>
      </c>
    </row>
    <row r="2819" spans="1:9">
      <c r="A2819" s="19">
        <v>641.29999999999995</v>
      </c>
      <c r="B2819" s="43">
        <v>123.81906352450818</v>
      </c>
      <c r="C2819" s="43">
        <v>125.03537455467267</v>
      </c>
      <c r="D2819" s="43">
        <v>126.08605974005087</v>
      </c>
      <c r="E2819" s="43">
        <v>126.97568307135725</v>
      </c>
      <c r="F2819" s="43">
        <v>127.71231786899097</v>
      </c>
      <c r="G2819" s="43">
        <v>128.30621127892653</v>
      </c>
      <c r="H2819" s="43">
        <v>128.76872948454127</v>
      </c>
      <c r="I2819" s="43">
        <v>129.11158521551425</v>
      </c>
    </row>
    <row r="2820" spans="1:9">
      <c r="A2820" s="19">
        <v>641.4</v>
      </c>
      <c r="B2820" s="43">
        <v>123.83682712563777</v>
      </c>
      <c r="C2820" s="43">
        <v>125.05336508606248</v>
      </c>
      <c r="D2820" s="43">
        <v>126.10430279876525</v>
      </c>
      <c r="E2820" s="43">
        <v>126.99419587071262</v>
      </c>
      <c r="F2820" s="43">
        <v>127.7311099099293</v>
      </c>
      <c r="G2820" s="43">
        <v>128.32528546123007</v>
      </c>
      <c r="H2820" s="43">
        <v>128.78808336687842</v>
      </c>
      <c r="I2820" s="43">
        <v>129.13121223636426</v>
      </c>
    </row>
    <row r="2821" spans="1:9">
      <c r="A2821" s="19">
        <v>641.5</v>
      </c>
      <c r="B2821" s="43">
        <v>123.85459048406398</v>
      </c>
      <c r="C2821" s="43">
        <v>125.071355295985</v>
      </c>
      <c r="D2821" s="43">
        <v>126.12254546232461</v>
      </c>
      <c r="E2821" s="43">
        <v>127.0127082097159</v>
      </c>
      <c r="F2821" s="43">
        <v>127.74990143582019</v>
      </c>
      <c r="G2821" s="43">
        <v>128.34435908516463</v>
      </c>
      <c r="H2821" s="43">
        <v>128.80743665876463</v>
      </c>
      <c r="I2821" s="43">
        <v>129.15083864523712</v>
      </c>
    </row>
    <row r="2822" spans="1:9">
      <c r="A2822" s="19">
        <v>641.6</v>
      </c>
      <c r="B2822" s="43">
        <v>123.87235359986255</v>
      </c>
      <c r="C2822" s="43">
        <v>125.08934518457875</v>
      </c>
      <c r="D2822" s="43">
        <v>126.14078773085615</v>
      </c>
      <c r="E2822" s="43">
        <v>127.03122008848689</v>
      </c>
      <c r="F2822" s="43">
        <v>127.76869244681615</v>
      </c>
      <c r="G2822" s="43">
        <v>128.36343215089812</v>
      </c>
      <c r="H2822" s="43">
        <v>128.82678936031607</v>
      </c>
      <c r="I2822" s="43">
        <v>129.17046444224428</v>
      </c>
    </row>
    <row r="2823" spans="1:9">
      <c r="A2823" s="19">
        <v>641.70000000000005</v>
      </c>
      <c r="B2823" s="43">
        <v>123.89011647319543</v>
      </c>
      <c r="C2823" s="43">
        <v>125.10733475202679</v>
      </c>
      <c r="D2823" s="43">
        <v>126.15902960454875</v>
      </c>
      <c r="E2823" s="43">
        <v>127.04973150723742</v>
      </c>
      <c r="F2823" s="43">
        <v>127.78748294314789</v>
      </c>
      <c r="G2823" s="43">
        <v>128.38250465854458</v>
      </c>
      <c r="H2823" s="43">
        <v>128.84614147166974</v>
      </c>
      <c r="I2823" s="43">
        <v>129.19008962752758</v>
      </c>
    </row>
    <row r="2824" spans="1:9">
      <c r="A2824" s="19">
        <v>641.79999999999995</v>
      </c>
      <c r="B2824" s="43">
        <v>123.9078791043016</v>
      </c>
      <c r="C2824" s="43">
        <v>125.12532399852984</v>
      </c>
      <c r="D2824" s="43">
        <v>126.17727108364051</v>
      </c>
      <c r="E2824" s="43">
        <v>127.06824246622116</v>
      </c>
      <c r="F2824" s="43">
        <v>127.80627292498249</v>
      </c>
      <c r="G2824" s="43">
        <v>128.40157660837258</v>
      </c>
      <c r="H2824" s="43">
        <v>128.86549299303908</v>
      </c>
      <c r="I2824" s="43">
        <v>129.2097142012326</v>
      </c>
    </row>
    <row r="2825" spans="1:9">
      <c r="A2825" s="19">
        <v>641.9</v>
      </c>
      <c r="B2825" s="43">
        <v>123.92564149320106</v>
      </c>
      <c r="C2825" s="43">
        <v>125.1433129241729</v>
      </c>
      <c r="D2825" s="43">
        <v>126.19551216822171</v>
      </c>
      <c r="E2825" s="43">
        <v>127.08675296548034</v>
      </c>
      <c r="F2825" s="43">
        <v>127.82506239242542</v>
      </c>
      <c r="G2825" s="43">
        <v>128.42064800040237</v>
      </c>
      <c r="H2825" s="43">
        <v>128.88484392446463</v>
      </c>
      <c r="I2825" s="43">
        <v>129.22933816341668</v>
      </c>
    </row>
    <row r="2826" spans="1:9">
      <c r="A2826" s="19">
        <v>642</v>
      </c>
      <c r="B2826" s="43">
        <v>123.94340364024259</v>
      </c>
      <c r="C2826" s="43">
        <v>125.16130152930617</v>
      </c>
      <c r="D2826" s="43">
        <v>126.21375285859676</v>
      </c>
      <c r="E2826" s="43">
        <v>127.10526300536637</v>
      </c>
      <c r="F2826" s="43">
        <v>127.84385134579685</v>
      </c>
      <c r="G2826" s="43">
        <v>128.43971883495396</v>
      </c>
      <c r="H2826" s="43">
        <v>128.90419426623743</v>
      </c>
      <c r="I2826" s="43">
        <v>129.24896151432881</v>
      </c>
    </row>
    <row r="2827" spans="1:9">
      <c r="A2827" s="19">
        <v>642.1</v>
      </c>
      <c r="B2827" s="43">
        <v>123.96116554540114</v>
      </c>
      <c r="C2827" s="43">
        <v>125.17928981393246</v>
      </c>
      <c r="D2827" s="43">
        <v>126.23199315486892</v>
      </c>
      <c r="E2827" s="43">
        <v>127.12377258595305</v>
      </c>
      <c r="F2827" s="43">
        <v>127.86263978517064</v>
      </c>
      <c r="G2827" s="43">
        <v>128.45878911210303</v>
      </c>
      <c r="H2827" s="43">
        <v>128.92354401840606</v>
      </c>
      <c r="I2827" s="43">
        <v>129.2685842540381</v>
      </c>
    </row>
    <row r="2828" spans="1:9">
      <c r="A2828" s="19">
        <v>642.20000000000005</v>
      </c>
      <c r="B2828" s="43">
        <v>123.97892720879233</v>
      </c>
      <c r="C2828" s="43">
        <v>125.19727777823451</v>
      </c>
      <c r="D2828" s="43">
        <v>126.25023305715328</v>
      </c>
      <c r="E2828" s="43">
        <v>127.14228170735802</v>
      </c>
      <c r="F2828" s="43">
        <v>127.88142771067473</v>
      </c>
      <c r="G2828" s="43">
        <v>128.47785883197088</v>
      </c>
      <c r="H2828" s="43">
        <v>128.94289318111623</v>
      </c>
      <c r="I2828" s="43">
        <v>129.28820638265097</v>
      </c>
    </row>
    <row r="2829" spans="1:9">
      <c r="A2829" s="19">
        <v>642.29999999999995</v>
      </c>
      <c r="B2829" s="43">
        <v>123.99668863071304</v>
      </c>
      <c r="C2829" s="43">
        <v>125.21526542243649</v>
      </c>
      <c r="D2829" s="43">
        <v>126.2684725657227</v>
      </c>
      <c r="E2829" s="43">
        <v>127.16079036988629</v>
      </c>
      <c r="F2829" s="43">
        <v>127.90021512259878</v>
      </c>
      <c r="G2829" s="43">
        <v>128.49692799484092</v>
      </c>
      <c r="H2829" s="43">
        <v>128.9622417545562</v>
      </c>
      <c r="I2829" s="43">
        <v>129.30782790032617</v>
      </c>
    </row>
    <row r="2830" spans="1:9">
      <c r="A2830" s="19">
        <v>642.4</v>
      </c>
      <c r="B2830" s="43">
        <v>124.01444981123416</v>
      </c>
      <c r="C2830" s="43">
        <v>125.23325274666917</v>
      </c>
      <c r="D2830" s="43">
        <v>126.28671168072569</v>
      </c>
      <c r="E2830" s="43">
        <v>127.17929857369845</v>
      </c>
      <c r="F2830" s="43">
        <v>127.91900202107374</v>
      </c>
      <c r="G2830" s="43">
        <v>128.51599660079768</v>
      </c>
      <c r="H2830" s="43">
        <v>128.98158973889707</v>
      </c>
      <c r="I2830" s="43">
        <v>129.32744880721941</v>
      </c>
    </row>
    <row r="2831" spans="1:9">
      <c r="A2831" s="19">
        <v>642.5</v>
      </c>
      <c r="B2831" s="43">
        <v>124.03221075038778</v>
      </c>
      <c r="C2831" s="43">
        <v>125.25123975100382</v>
      </c>
      <c r="D2831" s="43">
        <v>126.30495040223008</v>
      </c>
      <c r="E2831" s="43">
        <v>127.19780631882278</v>
      </c>
      <c r="F2831" s="43">
        <v>127.93778840616199</v>
      </c>
      <c r="G2831" s="43">
        <v>128.5350646499582</v>
      </c>
      <c r="H2831" s="43">
        <v>129.00093713417237</v>
      </c>
      <c r="I2831" s="43">
        <v>129.34706910337258</v>
      </c>
    </row>
    <row r="2832" spans="1:9">
      <c r="A2832" s="19">
        <v>642.6</v>
      </c>
      <c r="B2832" s="43">
        <v>124.04997144863538</v>
      </c>
      <c r="C2832" s="43">
        <v>125.26922643587992</v>
      </c>
      <c r="D2832" s="43">
        <v>126.32318873068868</v>
      </c>
      <c r="E2832" s="43">
        <v>127.21631360570882</v>
      </c>
      <c r="F2832" s="43">
        <v>127.95657427826794</v>
      </c>
      <c r="G2832" s="43">
        <v>128.5541321426453</v>
      </c>
      <c r="H2832" s="43">
        <v>129.02028394069265</v>
      </c>
      <c r="I2832" s="43">
        <v>129.36668878906244</v>
      </c>
    </row>
    <row r="2833" spans="1:9">
      <c r="A2833" s="19">
        <v>642.70000000000005</v>
      </c>
      <c r="B2833" s="43">
        <v>124.06773190575851</v>
      </c>
      <c r="C2833" s="43">
        <v>125.28721280117597</v>
      </c>
      <c r="D2833" s="43">
        <v>126.34142666596708</v>
      </c>
      <c r="E2833" s="43">
        <v>127.23482043428061</v>
      </c>
      <c r="F2833" s="43">
        <v>127.97535963731838</v>
      </c>
      <c r="G2833" s="43">
        <v>128.57319907885011</v>
      </c>
      <c r="H2833" s="43">
        <v>129.03963015848035</v>
      </c>
      <c r="I2833" s="43">
        <v>129.38630786426916</v>
      </c>
    </row>
    <row r="2834" spans="1:9">
      <c r="A2834" s="19">
        <v>642.79999999999995</v>
      </c>
      <c r="B2834" s="43">
        <v>124.0854921221397</v>
      </c>
      <c r="C2834" s="43">
        <v>125.30519884718484</v>
      </c>
      <c r="D2834" s="43">
        <v>126.35966420841018</v>
      </c>
      <c r="E2834" s="43">
        <v>127.25332680484007</v>
      </c>
      <c r="F2834" s="43">
        <v>127.99414448366596</v>
      </c>
      <c r="G2834" s="43">
        <v>128.59226545884428</v>
      </c>
      <c r="H2834" s="43">
        <v>129.05897578773732</v>
      </c>
      <c r="I2834" s="43">
        <v>129.40592632921306</v>
      </c>
    </row>
    <row r="2835" spans="1:9">
      <c r="A2835" s="19">
        <v>642.9</v>
      </c>
      <c r="B2835" s="43">
        <v>124.10325209790207</v>
      </c>
      <c r="C2835" s="43">
        <v>125.32318457411105</v>
      </c>
      <c r="D2835" s="43">
        <v>126.37790135820825</v>
      </c>
      <c r="E2835" s="43">
        <v>127.27183271758921</v>
      </c>
      <c r="F2835" s="43">
        <v>128.01292881744462</v>
      </c>
      <c r="G2835" s="43">
        <v>128.61133128278362</v>
      </c>
      <c r="H2835" s="43">
        <v>129.07832082864422</v>
      </c>
      <c r="I2835" s="43">
        <v>129.42554418402892</v>
      </c>
    </row>
    <row r="2836" spans="1:9">
      <c r="A2836" s="19">
        <v>643</v>
      </c>
      <c r="B2836" s="43">
        <v>124.12101183306399</v>
      </c>
      <c r="C2836" s="43">
        <v>125.34116998203709</v>
      </c>
      <c r="D2836" s="43">
        <v>126.39613811545075</v>
      </c>
      <c r="E2836" s="43">
        <v>127.29033817259577</v>
      </c>
      <c r="F2836" s="43">
        <v>128.03171263876243</v>
      </c>
      <c r="G2836" s="43">
        <v>128.6303965507613</v>
      </c>
      <c r="H2836" s="43">
        <v>129.09766528124851</v>
      </c>
      <c r="I2836" s="43">
        <v>129.44516142877171</v>
      </c>
    </row>
    <row r="2837" spans="1:9">
      <c r="A2837" s="19">
        <v>643.1</v>
      </c>
      <c r="B2837" s="43">
        <v>124.13877132780368</v>
      </c>
      <c r="C2837" s="43">
        <v>125.35915507106449</v>
      </c>
      <c r="D2837" s="43">
        <v>126.41437448029151</v>
      </c>
      <c r="E2837" s="43">
        <v>127.30884317007863</v>
      </c>
      <c r="F2837" s="43">
        <v>128.05049594780166</v>
      </c>
      <c r="G2837" s="43">
        <v>128.64946126294518</v>
      </c>
      <c r="H2837" s="43">
        <v>129.11700914573504</v>
      </c>
      <c r="I2837" s="43">
        <v>129.46477806361486</v>
      </c>
    </row>
    <row r="2838" spans="1:9">
      <c r="A2838" s="19">
        <v>643.20000000000005</v>
      </c>
      <c r="B2838" s="43">
        <v>124.15653058251004</v>
      </c>
      <c r="C2838" s="43">
        <v>125.37713984163128</v>
      </c>
      <c r="D2838" s="43">
        <v>126.43261045312522</v>
      </c>
      <c r="E2838" s="43">
        <v>127.32734771039341</v>
      </c>
      <c r="F2838" s="43">
        <v>128.06927874489156</v>
      </c>
      <c r="G2838" s="43">
        <v>128.66852541965756</v>
      </c>
      <c r="H2838" s="43">
        <v>129.13635242239303</v>
      </c>
      <c r="I2838" s="43">
        <v>129.48439408878073</v>
      </c>
    </row>
    <row r="2839" spans="1:9">
      <c r="A2839" s="19">
        <v>643.29999999999995</v>
      </c>
      <c r="B2839" s="43">
        <v>124.17428959703005</v>
      </c>
      <c r="C2839" s="43">
        <v>125.39512429365863</v>
      </c>
      <c r="D2839" s="43">
        <v>126.45084603389782</v>
      </c>
      <c r="E2839" s="43">
        <v>127.34585179346408</v>
      </c>
      <c r="F2839" s="43">
        <v>128.08806103001604</v>
      </c>
      <c r="G2839" s="43">
        <v>128.68758902086893</v>
      </c>
      <c r="H2839" s="43">
        <v>129.15569511116286</v>
      </c>
      <c r="I2839" s="43">
        <v>129.50400950425183</v>
      </c>
    </row>
    <row r="2840" spans="1:9">
      <c r="A2840" s="19">
        <v>643.4</v>
      </c>
      <c r="B2840" s="43">
        <v>124.19204837165722</v>
      </c>
      <c r="C2840" s="43">
        <v>125.41310842738022</v>
      </c>
      <c r="D2840" s="43">
        <v>126.46908122287536</v>
      </c>
      <c r="E2840" s="43">
        <v>127.36435541961191</v>
      </c>
      <c r="F2840" s="43">
        <v>128.10684280343605</v>
      </c>
      <c r="G2840" s="43">
        <v>128.70665206682685</v>
      </c>
      <c r="H2840" s="43">
        <v>129.17503721233152</v>
      </c>
      <c r="I2840" s="43">
        <v>129.52362431024386</v>
      </c>
    </row>
    <row r="2841" spans="1:9">
      <c r="A2841" s="19">
        <v>643.5</v>
      </c>
      <c r="B2841" s="43">
        <v>124.20980690650512</v>
      </c>
      <c r="C2841" s="43">
        <v>125.43109224298391</v>
      </c>
      <c r="D2841" s="43">
        <v>126.48731602024927</v>
      </c>
      <c r="E2841" s="43">
        <v>127.38285858899806</v>
      </c>
      <c r="F2841" s="43">
        <v>128.12562406533425</v>
      </c>
      <c r="G2841" s="43">
        <v>128.72571455771646</v>
      </c>
      <c r="H2841" s="43">
        <v>129.19437872600304</v>
      </c>
      <c r="I2841" s="43">
        <v>129.54323850688581</v>
      </c>
    </row>
    <row r="2842" spans="1:9">
      <c r="A2842" s="19">
        <v>643.6</v>
      </c>
      <c r="B2842" s="43">
        <v>124.22756520163387</v>
      </c>
      <c r="C2842" s="43">
        <v>125.44907574053366</v>
      </c>
      <c r="D2842" s="43">
        <v>126.50555042609128</v>
      </c>
      <c r="E2842" s="43">
        <v>127.40136130172397</v>
      </c>
      <c r="F2842" s="43">
        <v>128.1444048157947</v>
      </c>
      <c r="G2842" s="43">
        <v>128.74477649360847</v>
      </c>
      <c r="H2842" s="43">
        <v>129.2137196522782</v>
      </c>
      <c r="I2842" s="43">
        <v>129.56285209424175</v>
      </c>
    </row>
    <row r="2843" spans="1:9">
      <c r="A2843" s="19">
        <v>643.70000000000005</v>
      </c>
      <c r="B2843" s="43">
        <v>124.24532325734384</v>
      </c>
      <c r="C2843" s="43">
        <v>125.46705892033637</v>
      </c>
      <c r="D2843" s="43">
        <v>126.52378444069723</v>
      </c>
      <c r="E2843" s="43">
        <v>127.41986355806191</v>
      </c>
      <c r="F2843" s="43">
        <v>128.16318505509798</v>
      </c>
      <c r="G2843" s="43">
        <v>128.76383787476004</v>
      </c>
      <c r="H2843" s="43">
        <v>129.23305999137619</v>
      </c>
      <c r="I2843" s="43">
        <v>129.58246507252034</v>
      </c>
    </row>
    <row r="2844" spans="1:9">
      <c r="A2844" s="19">
        <v>643.79999999999995</v>
      </c>
      <c r="B2844" s="43">
        <v>124.26308107367379</v>
      </c>
      <c r="C2844" s="43">
        <v>125.48504178250164</v>
      </c>
      <c r="D2844" s="43">
        <v>126.54201806421611</v>
      </c>
      <c r="E2844" s="43">
        <v>127.43836535816294</v>
      </c>
      <c r="F2844" s="43">
        <v>128.18196478338047</v>
      </c>
      <c r="G2844" s="43">
        <v>128.78289870132448</v>
      </c>
      <c r="H2844" s="43">
        <v>129.25239974344112</v>
      </c>
      <c r="I2844" s="43">
        <v>129.60207744181423</v>
      </c>
    </row>
    <row r="2845" spans="1:9">
      <c r="A2845" s="19">
        <v>643.9</v>
      </c>
      <c r="B2845" s="43">
        <v>124.28083865087299</v>
      </c>
      <c r="C2845" s="43">
        <v>125.50302432720827</v>
      </c>
      <c r="D2845" s="43">
        <v>126.56025129681552</v>
      </c>
      <c r="E2845" s="43">
        <v>127.45686670219041</v>
      </c>
      <c r="F2845" s="43">
        <v>128.20074400083104</v>
      </c>
      <c r="G2845" s="43">
        <v>128.80195897342878</v>
      </c>
      <c r="H2845" s="43">
        <v>129.27173890857318</v>
      </c>
      <c r="I2845" s="43">
        <v>129.62168920227924</v>
      </c>
    </row>
    <row r="2846" spans="1:9">
      <c r="A2846" s="19">
        <v>644</v>
      </c>
      <c r="B2846" s="43">
        <v>124.29859598894592</v>
      </c>
      <c r="C2846" s="43">
        <v>125.52100655457954</v>
      </c>
      <c r="D2846" s="43">
        <v>126.57848413863746</v>
      </c>
      <c r="E2846" s="43">
        <v>127.4753675903354</v>
      </c>
      <c r="F2846" s="43">
        <v>128.21952270757129</v>
      </c>
      <c r="G2846" s="43">
        <v>128.82101869123261</v>
      </c>
      <c r="H2846" s="43">
        <v>129.29107748695662</v>
      </c>
      <c r="I2846" s="43">
        <v>129.64130035402752</v>
      </c>
    </row>
    <row r="2847" spans="1:9">
      <c r="A2847" s="19">
        <v>644.1</v>
      </c>
      <c r="B2847" s="43">
        <v>124.3163530881649</v>
      </c>
      <c r="C2847" s="43">
        <v>125.53898846482863</v>
      </c>
      <c r="D2847" s="43">
        <v>126.59671658993028</v>
      </c>
      <c r="E2847" s="43">
        <v>127.49386802280756</v>
      </c>
      <c r="F2847" s="43">
        <v>128.238300903842</v>
      </c>
      <c r="G2847" s="43">
        <v>128.84007785494725</v>
      </c>
      <c r="H2847" s="43">
        <v>129.3104154787809</v>
      </c>
      <c r="I2847" s="43">
        <v>129.66091089718975</v>
      </c>
    </row>
    <row r="2848" spans="1:9">
      <c r="A2848" s="19">
        <v>644.20000000000005</v>
      </c>
      <c r="B2848" s="43">
        <v>124.33410994854154</v>
      </c>
      <c r="C2848" s="43">
        <v>125.55697005800482</v>
      </c>
      <c r="D2848" s="43">
        <v>126.6149486507542</v>
      </c>
      <c r="E2848" s="43">
        <v>127.51236799966952</v>
      </c>
      <c r="F2848" s="43">
        <v>128.25707858974027</v>
      </c>
      <c r="G2848" s="43">
        <v>128.85913646466122</v>
      </c>
      <c r="H2848" s="43">
        <v>129.3297528840734</v>
      </c>
      <c r="I2848" s="43">
        <v>129.68052083187507</v>
      </c>
    </row>
    <row r="2849" spans="1:9">
      <c r="A2849" s="19">
        <v>644.29999999999995</v>
      </c>
      <c r="B2849" s="43">
        <v>124.35186657041959</v>
      </c>
      <c r="C2849" s="43">
        <v>125.574951334503</v>
      </c>
      <c r="D2849" s="43">
        <v>126.63318032143377</v>
      </c>
      <c r="E2849" s="43">
        <v>127.53086752127356</v>
      </c>
      <c r="F2849" s="43">
        <v>128.27585576554668</v>
      </c>
      <c r="G2849" s="43">
        <v>128.87819452064764</v>
      </c>
      <c r="H2849" s="43">
        <v>129.34908970311471</v>
      </c>
      <c r="I2849" s="43">
        <v>129.70013015830426</v>
      </c>
    </row>
    <row r="2850" spans="1:9">
      <c r="A2850" s="19">
        <v>644.4</v>
      </c>
      <c r="B2850" s="43">
        <v>124.36962295371657</v>
      </c>
      <c r="C2850" s="43">
        <v>125.59293229422886</v>
      </c>
      <c r="D2850" s="43">
        <v>126.65141160199798</v>
      </c>
      <c r="E2850" s="43">
        <v>127.54936658761872</v>
      </c>
      <c r="F2850" s="43">
        <v>128.2946324313113</v>
      </c>
      <c r="G2850" s="43">
        <v>128.8972520229363</v>
      </c>
      <c r="H2850" s="43">
        <v>129.36842593595759</v>
      </c>
      <c r="I2850" s="43">
        <v>129.71973887647948</v>
      </c>
    </row>
    <row r="2851" spans="1:9">
      <c r="A2851" s="19">
        <v>644.5</v>
      </c>
      <c r="B2851" s="43">
        <v>124.38737909882926</v>
      </c>
      <c r="C2851" s="43">
        <v>125.61091293762465</v>
      </c>
      <c r="D2851" s="43">
        <v>126.66964249280358</v>
      </c>
      <c r="E2851" s="43">
        <v>127.56786519907328</v>
      </c>
      <c r="F2851" s="43">
        <v>128.31340858731409</v>
      </c>
      <c r="G2851" s="43">
        <v>128.91630897185718</v>
      </c>
      <c r="H2851" s="43">
        <v>129.38776158283554</v>
      </c>
      <c r="I2851" s="43">
        <v>129.73934698663635</v>
      </c>
    </row>
    <row r="2852" spans="1:9">
      <c r="A2852" s="19">
        <v>644.6</v>
      </c>
      <c r="B2852" s="43">
        <v>124.40513500565001</v>
      </c>
      <c r="C2852" s="43">
        <v>125.62889326456275</v>
      </c>
      <c r="D2852" s="43">
        <v>126.68787299380449</v>
      </c>
      <c r="E2852" s="43">
        <v>127.58636335563472</v>
      </c>
      <c r="F2852" s="43">
        <v>128.33218423367282</v>
      </c>
      <c r="G2852" s="43">
        <v>128.93536536738543</v>
      </c>
      <c r="H2852" s="43">
        <v>129.40709664381768</v>
      </c>
      <c r="I2852" s="43">
        <v>129.75895448885103</v>
      </c>
    </row>
    <row r="2853" spans="1:9">
      <c r="A2853" s="19">
        <v>644.70000000000005</v>
      </c>
      <c r="B2853" s="43">
        <v>124.42289067453675</v>
      </c>
      <c r="C2853" s="43">
        <v>125.64687327543396</v>
      </c>
      <c r="D2853" s="43">
        <v>126.70610310534397</v>
      </c>
      <c r="E2853" s="43">
        <v>127.60486105761555</v>
      </c>
      <c r="F2853" s="43">
        <v>128.3509593705848</v>
      </c>
      <c r="G2853" s="43">
        <v>128.95442120982068</v>
      </c>
      <c r="H2853" s="43">
        <v>129.42643111911349</v>
      </c>
      <c r="I2853" s="43">
        <v>129.7785613832873</v>
      </c>
    </row>
    <row r="2854" spans="1:9">
      <c r="A2854" s="19">
        <v>644.79999999999995</v>
      </c>
      <c r="B2854" s="43">
        <v>124.44064610546761</v>
      </c>
      <c r="C2854" s="43">
        <v>125.66485297025656</v>
      </c>
      <c r="D2854" s="43">
        <v>126.72433282752036</v>
      </c>
      <c r="E2854" s="43">
        <v>127.62335830507979</v>
      </c>
      <c r="F2854" s="43">
        <v>128.36973399818271</v>
      </c>
      <c r="G2854" s="43">
        <v>128.97347649925587</v>
      </c>
      <c r="H2854" s="43">
        <v>129.44576500880606</v>
      </c>
      <c r="I2854" s="43">
        <v>129.79816767004115</v>
      </c>
    </row>
    <row r="2855" spans="1:9">
      <c r="A2855" s="19">
        <v>644.9</v>
      </c>
      <c r="B2855" s="43">
        <v>124.45840129871826</v>
      </c>
      <c r="C2855" s="43">
        <v>125.6828323492993</v>
      </c>
      <c r="D2855" s="43">
        <v>126.74256216056543</v>
      </c>
      <c r="E2855" s="43">
        <v>127.6418550983191</v>
      </c>
      <c r="F2855" s="43">
        <v>128.38850811669897</v>
      </c>
      <c r="G2855" s="43">
        <v>128.99253123589813</v>
      </c>
      <c r="H2855" s="43">
        <v>129.4650983131109</v>
      </c>
      <c r="I2855" s="43">
        <v>129.81777334927523</v>
      </c>
    </row>
    <row r="2856" spans="1:9">
      <c r="A2856" s="19">
        <v>645</v>
      </c>
      <c r="B2856" s="43">
        <v>124.47615625427107</v>
      </c>
      <c r="C2856" s="43">
        <v>125.70081141258845</v>
      </c>
      <c r="D2856" s="43">
        <v>126.7607911045491</v>
      </c>
      <c r="E2856" s="43">
        <v>127.66035143737216</v>
      </c>
      <c r="F2856" s="43">
        <v>128.40728172623392</v>
      </c>
      <c r="G2856" s="43">
        <v>129.01158541986661</v>
      </c>
      <c r="H2856" s="43">
        <v>129.48443103211184</v>
      </c>
      <c r="I2856" s="43">
        <v>129.83737842108343</v>
      </c>
    </row>
    <row r="2857" spans="1:9">
      <c r="A2857" s="19">
        <v>645.1</v>
      </c>
      <c r="B2857" s="43">
        <v>124.49391097251356</v>
      </c>
      <c r="C2857" s="43">
        <v>125.718790160514</v>
      </c>
      <c r="D2857" s="43">
        <v>126.7790196598277</v>
      </c>
      <c r="E2857" s="43">
        <v>127.67884732261328</v>
      </c>
      <c r="F2857" s="43">
        <v>128.42605482706847</v>
      </c>
      <c r="G2857" s="43">
        <v>129.03063905140141</v>
      </c>
      <c r="H2857" s="43">
        <v>129.50376316605008</v>
      </c>
      <c r="I2857" s="43">
        <v>129.85698288565851</v>
      </c>
    </row>
    <row r="2858" spans="1:9">
      <c r="A2858" s="19">
        <v>645.20000000000005</v>
      </c>
      <c r="B2858" s="43">
        <v>124.51166545337949</v>
      </c>
      <c r="C2858" s="43">
        <v>125.73676859306886</v>
      </c>
      <c r="D2858" s="43">
        <v>126.79724782641472</v>
      </c>
      <c r="E2858" s="43">
        <v>127.69734275407208</v>
      </c>
      <c r="F2858" s="43">
        <v>128.444827419273</v>
      </c>
      <c r="G2858" s="43">
        <v>129.04969213056995</v>
      </c>
      <c r="H2858" s="43">
        <v>129.52309471498012</v>
      </c>
      <c r="I2858" s="43">
        <v>129.87658674308318</v>
      </c>
    </row>
    <row r="2859" spans="1:9">
      <c r="A2859" s="19">
        <v>645.29999999999995</v>
      </c>
      <c r="B2859" s="43">
        <v>124.52941969714973</v>
      </c>
      <c r="C2859" s="43">
        <v>125.75474671048312</v>
      </c>
      <c r="D2859" s="43">
        <v>126.81547560456667</v>
      </c>
      <c r="E2859" s="43">
        <v>127.71583773199498</v>
      </c>
      <c r="F2859" s="43">
        <v>128.46359950311171</v>
      </c>
      <c r="G2859" s="43">
        <v>129.06874465762934</v>
      </c>
      <c r="H2859" s="43">
        <v>129.54242567912792</v>
      </c>
      <c r="I2859" s="43">
        <v>129.89618999351416</v>
      </c>
    </row>
    <row r="2860" spans="1:9">
      <c r="A2860" s="19">
        <v>645.4</v>
      </c>
      <c r="B2860" s="43">
        <v>124.54717370379288</v>
      </c>
      <c r="C2860" s="43">
        <v>125.77272451280027</v>
      </c>
      <c r="D2860" s="43">
        <v>126.83370299434853</v>
      </c>
      <c r="E2860" s="43">
        <v>127.73433225646582</v>
      </c>
      <c r="F2860" s="43">
        <v>128.48237107863741</v>
      </c>
      <c r="G2860" s="43">
        <v>129.08779663263397</v>
      </c>
      <c r="H2860" s="43">
        <v>129.56175605855157</v>
      </c>
      <c r="I2860" s="43">
        <v>129.91579263703323</v>
      </c>
    </row>
    <row r="2861" spans="1:9">
      <c r="A2861" s="19">
        <v>645.5</v>
      </c>
      <c r="B2861" s="43">
        <v>124.56492747366536</v>
      </c>
      <c r="C2861" s="43">
        <v>125.79070200035162</v>
      </c>
      <c r="D2861" s="43">
        <v>126.85192999608452</v>
      </c>
      <c r="E2861" s="43">
        <v>127.75282632773633</v>
      </c>
      <c r="F2861" s="43">
        <v>128.50114214612319</v>
      </c>
      <c r="G2861" s="43">
        <v>129.10684805584805</v>
      </c>
      <c r="H2861" s="43">
        <v>129.58108585346253</v>
      </c>
      <c r="I2861" s="43">
        <v>129.93539467381203</v>
      </c>
    </row>
    <row r="2862" spans="1:9">
      <c r="A2862" s="19">
        <v>645.6</v>
      </c>
      <c r="B2862" s="43">
        <v>124.58268100671503</v>
      </c>
      <c r="C2862" s="43">
        <v>125.80867917313338</v>
      </c>
      <c r="D2862" s="43">
        <v>126.87015660981368</v>
      </c>
      <c r="E2862" s="43">
        <v>127.77131994594191</v>
      </c>
      <c r="F2862" s="43">
        <v>128.51991270567368</v>
      </c>
      <c r="G2862" s="43">
        <v>129.12589892733246</v>
      </c>
      <c r="H2862" s="43">
        <v>129.60041506398642</v>
      </c>
      <c r="I2862" s="43">
        <v>129.95499610396735</v>
      </c>
    </row>
    <row r="2863" spans="1:9">
      <c r="A2863" s="19">
        <v>645.70000000000005</v>
      </c>
      <c r="B2863" s="43">
        <v>124.60043430336856</v>
      </c>
      <c r="C2863" s="43">
        <v>125.82665603159251</v>
      </c>
      <c r="D2863" s="43">
        <v>126.88838283591258</v>
      </c>
      <c r="E2863" s="43">
        <v>127.78981311139785</v>
      </c>
      <c r="F2863" s="43">
        <v>128.53868275758231</v>
      </c>
      <c r="G2863" s="43">
        <v>129.14494924738887</v>
      </c>
      <c r="H2863" s="43">
        <v>129.61974369034004</v>
      </c>
      <c r="I2863" s="43">
        <v>129.9745969276691</v>
      </c>
    </row>
    <row r="2864" spans="1:9">
      <c r="A2864" s="19">
        <v>645.79999999999995</v>
      </c>
      <c r="B2864" s="43">
        <v>124.61818736347374</v>
      </c>
      <c r="C2864" s="43">
        <v>125.84463257561549</v>
      </c>
      <c r="D2864" s="43">
        <v>126.90660867434747</v>
      </c>
      <c r="E2864" s="43">
        <v>127.8083058241258</v>
      </c>
      <c r="F2864" s="43">
        <v>128.55745230191184</v>
      </c>
      <c r="G2864" s="43">
        <v>129.16399901606258</v>
      </c>
      <c r="H2864" s="43">
        <v>129.63907173258849</v>
      </c>
      <c r="I2864" s="43">
        <v>129.99419714501778</v>
      </c>
    </row>
    <row r="2865" spans="1:9">
      <c r="A2865" s="19">
        <v>645.9</v>
      </c>
      <c r="B2865" s="43">
        <v>124.63594018734238</v>
      </c>
      <c r="C2865" s="43">
        <v>125.86260880547334</v>
      </c>
      <c r="D2865" s="43">
        <v>126.92483412539355</v>
      </c>
      <c r="E2865" s="43">
        <v>127.8267980843778</v>
      </c>
      <c r="F2865" s="43">
        <v>128.5762213388723</v>
      </c>
      <c r="G2865" s="43">
        <v>129.18304823359699</v>
      </c>
      <c r="H2865" s="43">
        <v>129.658399190914</v>
      </c>
      <c r="I2865" s="43">
        <v>130.01379675616232</v>
      </c>
    </row>
    <row r="2866" spans="1:9">
      <c r="A2866" s="19">
        <v>646</v>
      </c>
      <c r="B2866" s="43">
        <v>124.65369277498382</v>
      </c>
      <c r="C2866" s="43">
        <v>125.88058472124979</v>
      </c>
      <c r="D2866" s="43">
        <v>126.94305918911414</v>
      </c>
      <c r="E2866" s="43">
        <v>127.84528989222997</v>
      </c>
      <c r="F2866" s="43">
        <v>128.59498986857398</v>
      </c>
      <c r="G2866" s="43">
        <v>129.20209690005254</v>
      </c>
      <c r="H2866" s="43">
        <v>129.67772606540632</v>
      </c>
      <c r="I2866" s="43">
        <v>130.03339576115627</v>
      </c>
    </row>
    <row r="2867" spans="1:9">
      <c r="A2867" s="19">
        <v>646.1</v>
      </c>
      <c r="B2867" s="43">
        <v>124.67144512667883</v>
      </c>
      <c r="C2867" s="43">
        <v>125.89856032319105</v>
      </c>
      <c r="D2867" s="43">
        <v>126.96128386584823</v>
      </c>
      <c r="E2867" s="43">
        <v>127.8637812479864</v>
      </c>
      <c r="F2867" s="43">
        <v>128.61375789126794</v>
      </c>
      <c r="G2867" s="43">
        <v>129.22114501566841</v>
      </c>
      <c r="H2867" s="43">
        <v>129.69705235630579</v>
      </c>
      <c r="I2867" s="43">
        <v>130.05299416022143</v>
      </c>
    </row>
    <row r="2868" spans="1:9">
      <c r="A2868" s="19">
        <v>646.20000000000005</v>
      </c>
      <c r="B2868" s="43">
        <v>124.68919724253067</v>
      </c>
      <c r="C2868" s="43">
        <v>125.91653561150201</v>
      </c>
      <c r="D2868" s="43">
        <v>126.97950815572835</v>
      </c>
      <c r="E2868" s="43">
        <v>127.88227215178148</v>
      </c>
      <c r="F2868" s="43">
        <v>128.63252540714075</v>
      </c>
      <c r="G2868" s="43">
        <v>129.2401925806268</v>
      </c>
      <c r="H2868" s="43">
        <v>129.71637806374201</v>
      </c>
      <c r="I2868" s="43">
        <v>130.07259195348598</v>
      </c>
    </row>
    <row r="2869" spans="1:9">
      <c r="A2869" s="19">
        <v>646.29999999999995</v>
      </c>
      <c r="B2869" s="43">
        <v>124.70694912271821</v>
      </c>
      <c r="C2869" s="43">
        <v>125.9345105863008</v>
      </c>
      <c r="D2869" s="43">
        <v>126.9977320588639</v>
      </c>
      <c r="E2869" s="43">
        <v>127.90076260380656</v>
      </c>
      <c r="F2869" s="43">
        <v>128.65129241631536</v>
      </c>
      <c r="G2869" s="43">
        <v>129.25923959504462</v>
      </c>
      <c r="H2869" s="43">
        <v>129.73570318781401</v>
      </c>
      <c r="I2869" s="43">
        <v>130.09218914103229</v>
      </c>
    </row>
    <row r="2870" spans="1:9">
      <c r="A2870" s="19">
        <v>646.4</v>
      </c>
      <c r="B2870" s="43">
        <v>124.72470076725119</v>
      </c>
      <c r="C2870" s="43">
        <v>125.95248524762161</v>
      </c>
      <c r="D2870" s="43">
        <v>127.01595557540875</v>
      </c>
      <c r="E2870" s="43">
        <v>127.91925260414951</v>
      </c>
      <c r="F2870" s="43">
        <v>128.67005891894695</v>
      </c>
      <c r="G2870" s="43">
        <v>129.27828605906456</v>
      </c>
      <c r="H2870" s="43">
        <v>129.75502772868867</v>
      </c>
      <c r="I2870" s="43">
        <v>130.11178572299525</v>
      </c>
    </row>
    <row r="2871" spans="1:9">
      <c r="A2871" s="19">
        <v>646.5</v>
      </c>
      <c r="B2871" s="43">
        <v>124.74245217643195</v>
      </c>
      <c r="C2871" s="43">
        <v>125.97045959586976</v>
      </c>
      <c r="D2871" s="43">
        <v>127.03417870565303</v>
      </c>
      <c r="E2871" s="43">
        <v>127.93774215315904</v>
      </c>
      <c r="F2871" s="43">
        <v>128.68882491528041</v>
      </c>
      <c r="G2871" s="43">
        <v>129.29733197292614</v>
      </c>
      <c r="H2871" s="43">
        <v>129.77435168656973</v>
      </c>
      <c r="I2871" s="43">
        <v>130.13138169956432</v>
      </c>
    </row>
    <row r="2872" spans="1:9">
      <c r="A2872" s="19">
        <v>646.6</v>
      </c>
      <c r="B2872" s="43">
        <v>124.76020335024032</v>
      </c>
      <c r="C2872" s="43">
        <v>125.98843363099539</v>
      </c>
      <c r="D2872" s="43">
        <v>127.05240144965404</v>
      </c>
      <c r="E2872" s="43">
        <v>127.95623125081767</v>
      </c>
      <c r="F2872" s="43">
        <v>128.70759040538883</v>
      </c>
      <c r="G2872" s="43">
        <v>129.31637733669191</v>
      </c>
      <c r="H2872" s="43">
        <v>129.79367506147247</v>
      </c>
      <c r="I2872" s="43">
        <v>130.15097707077592</v>
      </c>
    </row>
    <row r="2873" spans="1:9">
      <c r="A2873" s="19">
        <v>646.70000000000005</v>
      </c>
      <c r="B2873" s="43">
        <v>124.77795428906362</v>
      </c>
      <c r="C2873" s="43">
        <v>126.00640735333829</v>
      </c>
      <c r="D2873" s="43">
        <v>127.07062380773175</v>
      </c>
      <c r="E2873" s="43">
        <v>127.97471989747299</v>
      </c>
      <c r="F2873" s="43">
        <v>128.72635538959383</v>
      </c>
      <c r="G2873" s="43">
        <v>129.33542215064659</v>
      </c>
      <c r="H2873" s="43">
        <v>129.81299785372033</v>
      </c>
      <c r="I2873" s="43">
        <v>130.17057183686291</v>
      </c>
    </row>
    <row r="2874" spans="1:9">
      <c r="A2874" s="19">
        <v>646.79999999999995</v>
      </c>
      <c r="B2874" s="43">
        <v>124.79570499280783</v>
      </c>
      <c r="C2874" s="43">
        <v>126.02438076293279</v>
      </c>
      <c r="D2874" s="43">
        <v>127.08884577990798</v>
      </c>
      <c r="E2874" s="43">
        <v>127.99320809316629</v>
      </c>
      <c r="F2874" s="43">
        <v>128.74511986792737</v>
      </c>
      <c r="G2874" s="43">
        <v>129.35446641487573</v>
      </c>
      <c r="H2874" s="43">
        <v>129.83232006335186</v>
      </c>
      <c r="I2874" s="43">
        <v>130.19016599791547</v>
      </c>
    </row>
    <row r="2875" spans="1:9">
      <c r="A2875" s="19">
        <v>646.9</v>
      </c>
      <c r="B2875" s="43">
        <v>124.81345546160691</v>
      </c>
      <c r="C2875" s="43">
        <v>126.04235385986868</v>
      </c>
      <c r="D2875" s="43">
        <v>127.10706736631792</v>
      </c>
      <c r="E2875" s="43">
        <v>128.0116958381056</v>
      </c>
      <c r="F2875" s="43">
        <v>128.76388384056264</v>
      </c>
      <c r="G2875" s="43">
        <v>129.37351012946505</v>
      </c>
      <c r="H2875" s="43">
        <v>129.85164169047925</v>
      </c>
      <c r="I2875" s="43">
        <v>130.20975955398052</v>
      </c>
    </row>
    <row r="2876" spans="1:9">
      <c r="A2876" s="19">
        <v>647</v>
      </c>
      <c r="B2876" s="43">
        <v>124.83120569594001</v>
      </c>
      <c r="C2876" s="43">
        <v>126.06032664460807</v>
      </c>
      <c r="D2876" s="43">
        <v>127.12528856742884</v>
      </c>
      <c r="E2876" s="43">
        <v>128.03018313260219</v>
      </c>
      <c r="F2876" s="43">
        <v>128.78264730782297</v>
      </c>
      <c r="G2876" s="43">
        <v>129.39255329477868</v>
      </c>
      <c r="H2876" s="43">
        <v>129.87096273540089</v>
      </c>
      <c r="I2876" s="43">
        <v>130.22935250536352</v>
      </c>
    </row>
    <row r="2877" spans="1:9">
      <c r="A2877" s="19">
        <v>647.1</v>
      </c>
      <c r="B2877" s="43">
        <v>124.84895569563395</v>
      </c>
      <c r="C2877" s="43">
        <v>126.0782991171107</v>
      </c>
      <c r="D2877" s="43">
        <v>127.14350938315314</v>
      </c>
      <c r="E2877" s="43">
        <v>128.04866997671479</v>
      </c>
      <c r="F2877" s="43">
        <v>128.80141026977191</v>
      </c>
      <c r="G2877" s="43">
        <v>129.41159591085216</v>
      </c>
      <c r="H2877" s="43">
        <v>129.89028319815537</v>
      </c>
      <c r="I2877" s="43">
        <v>130.24894485208773</v>
      </c>
    </row>
    <row r="2878" spans="1:9">
      <c r="A2878" s="19">
        <v>647.20000000000005</v>
      </c>
      <c r="B2878" s="43">
        <v>124.8667054608822</v>
      </c>
      <c r="C2878" s="43">
        <v>126.09627127750116</v>
      </c>
      <c r="D2878" s="43">
        <v>127.16172981372404</v>
      </c>
      <c r="E2878" s="43">
        <v>128.06715637057948</v>
      </c>
      <c r="F2878" s="43">
        <v>128.82017272655662</v>
      </c>
      <c r="G2878" s="43">
        <v>129.4306379778339</v>
      </c>
      <c r="H2878" s="43">
        <v>129.90960307888969</v>
      </c>
      <c r="I2878" s="43">
        <v>130.26853659425376</v>
      </c>
    </row>
    <row r="2879" spans="1:9">
      <c r="A2879" s="19">
        <v>647.29999999999995</v>
      </c>
      <c r="B2879" s="43">
        <v>124.88445499191195</v>
      </c>
      <c r="C2879" s="43">
        <v>126.1142431260275</v>
      </c>
      <c r="D2879" s="43">
        <v>127.17994985935795</v>
      </c>
      <c r="E2879" s="43">
        <v>128.08564231446132</v>
      </c>
      <c r="F2879" s="43">
        <v>128.83893467840858</v>
      </c>
      <c r="G2879" s="43">
        <v>129.44967949593234</v>
      </c>
      <c r="H2879" s="43">
        <v>129.92892237778204</v>
      </c>
      <c r="I2879" s="43">
        <v>130.2881277320709</v>
      </c>
    </row>
    <row r="2880" spans="1:9">
      <c r="A2880" s="19">
        <v>647.4</v>
      </c>
      <c r="B2880" s="43">
        <v>124.90220428880141</v>
      </c>
      <c r="C2880" s="43">
        <v>126.13221466284264</v>
      </c>
      <c r="D2880" s="43">
        <v>127.1981695201693</v>
      </c>
      <c r="E2880" s="43">
        <v>128.10412780848918</v>
      </c>
      <c r="F2880" s="43">
        <v>128.85769612546613</v>
      </c>
      <c r="G2880" s="43">
        <v>129.46872046529728</v>
      </c>
      <c r="H2880" s="43">
        <v>129.94824109497642</v>
      </c>
      <c r="I2880" s="43">
        <v>130.30771826563313</v>
      </c>
    </row>
    <row r="2881" spans="1:9">
      <c r="A2881" s="19">
        <v>647.5</v>
      </c>
      <c r="B2881" s="43">
        <v>124.91995335157819</v>
      </c>
      <c r="C2881" s="43">
        <v>126.15018588795445</v>
      </c>
      <c r="D2881" s="43">
        <v>127.21638879625638</v>
      </c>
      <c r="E2881" s="43">
        <v>128.12261285277657</v>
      </c>
      <c r="F2881" s="43">
        <v>128.87645706784406</v>
      </c>
      <c r="G2881" s="43">
        <v>129.48776088598771</v>
      </c>
      <c r="H2881" s="43">
        <v>129.96755923055605</v>
      </c>
      <c r="I2881" s="43">
        <v>130.32730819501069</v>
      </c>
    </row>
    <row r="2882" spans="1:9">
      <c r="A2882" s="19">
        <v>647.6</v>
      </c>
      <c r="B2882" s="43">
        <v>124.93770218079558</v>
      </c>
      <c r="C2882" s="43">
        <v>126.16815680191181</v>
      </c>
      <c r="D2882" s="43">
        <v>127.23460768811302</v>
      </c>
      <c r="E2882" s="43">
        <v>128.14109744775067</v>
      </c>
      <c r="F2882" s="43">
        <v>128.89521750594662</v>
      </c>
      <c r="G2882" s="43">
        <v>129.50680075845497</v>
      </c>
      <c r="H2882" s="43">
        <v>129.98687678485345</v>
      </c>
      <c r="I2882" s="43">
        <v>130.34689752051298</v>
      </c>
    </row>
    <row r="2883" spans="1:9">
      <c r="A2883" s="19">
        <v>647.70000000000005</v>
      </c>
      <c r="B2883" s="43">
        <v>124.955450776183</v>
      </c>
      <c r="C2883" s="43">
        <v>126.18612740449916</v>
      </c>
      <c r="D2883" s="43">
        <v>127.25282619558013</v>
      </c>
      <c r="E2883" s="43">
        <v>128.15958159334093</v>
      </c>
      <c r="F2883" s="43">
        <v>128.91397743970003</v>
      </c>
      <c r="G2883" s="43">
        <v>129.52584008257043</v>
      </c>
      <c r="H2883" s="43">
        <v>130.00619375782014</v>
      </c>
      <c r="I2883" s="43">
        <v>130.36648624209215</v>
      </c>
    </row>
    <row r="2884" spans="1:9">
      <c r="A2884" s="19">
        <v>647.79999999999995</v>
      </c>
      <c r="B2884" s="43">
        <v>124.97319913799302</v>
      </c>
      <c r="C2884" s="43">
        <v>126.20409769601173</v>
      </c>
      <c r="D2884" s="43">
        <v>127.27104431895134</v>
      </c>
      <c r="E2884" s="43">
        <v>128.17806528978542</v>
      </c>
      <c r="F2884" s="43">
        <v>128.93273686933696</v>
      </c>
      <c r="G2884" s="43">
        <v>129.54487885858475</v>
      </c>
      <c r="H2884" s="43">
        <v>130.02551014967463</v>
      </c>
      <c r="I2884" s="43">
        <v>130.38607435995198</v>
      </c>
    </row>
    <row r="2885" spans="1:9">
      <c r="A2885" s="19">
        <v>647.9</v>
      </c>
      <c r="B2885" s="43">
        <v>124.99094726642099</v>
      </c>
      <c r="C2885" s="43">
        <v>126.22206767661737</v>
      </c>
      <c r="D2885" s="43">
        <v>127.28926205842743</v>
      </c>
      <c r="E2885" s="43">
        <v>128.19654853725291</v>
      </c>
      <c r="F2885" s="43">
        <v>128.95149579510235</v>
      </c>
      <c r="G2885" s="43">
        <v>129.5639170867039</v>
      </c>
      <c r="H2885" s="43">
        <v>130.04482596059512</v>
      </c>
      <c r="I2885" s="43">
        <v>130.40566187420626</v>
      </c>
    </row>
    <row r="2886" spans="1:9">
      <c r="A2886" s="19">
        <v>648</v>
      </c>
      <c r="B2886" s="43">
        <v>125.00869516161052</v>
      </c>
      <c r="C2886" s="43">
        <v>126.24003734649102</v>
      </c>
      <c r="D2886" s="43">
        <v>127.30747941411138</v>
      </c>
      <c r="E2886" s="43">
        <v>128.21503133596781</v>
      </c>
      <c r="F2886" s="43">
        <v>128.97025421710828</v>
      </c>
      <c r="G2886" s="43">
        <v>129.58295476706741</v>
      </c>
      <c r="H2886" s="43">
        <v>130.06414119068103</v>
      </c>
      <c r="I2886" s="43">
        <v>130.42524878499438</v>
      </c>
    </row>
    <row r="2887" spans="1:9">
      <c r="A2887" s="19">
        <v>648.1</v>
      </c>
      <c r="B2887" s="43">
        <v>125.0264428235642</v>
      </c>
      <c r="C2887" s="43">
        <v>126.25800670566727</v>
      </c>
      <c r="D2887" s="43">
        <v>127.32569638617869</v>
      </c>
      <c r="E2887" s="43">
        <v>128.23351368601618</v>
      </c>
      <c r="F2887" s="43">
        <v>128.98901213545821</v>
      </c>
      <c r="G2887" s="43">
        <v>129.60199189975367</v>
      </c>
      <c r="H2887" s="43">
        <v>130.08345584006713</v>
      </c>
      <c r="I2887" s="43">
        <v>130.44483509242821</v>
      </c>
    </row>
    <row r="2888" spans="1:9">
      <c r="A2888" s="19">
        <v>648.20000000000005</v>
      </c>
      <c r="B2888" s="43">
        <v>125.04419025275297</v>
      </c>
      <c r="C2888" s="43">
        <v>126.27597575463869</v>
      </c>
      <c r="D2888" s="43">
        <v>127.34391297500241</v>
      </c>
      <c r="E2888" s="43">
        <v>128.25199558779445</v>
      </c>
      <c r="F2888" s="43">
        <v>129.0077695505567</v>
      </c>
      <c r="G2888" s="43">
        <v>129.6210284851428</v>
      </c>
      <c r="H2888" s="43">
        <v>130.10276990904788</v>
      </c>
      <c r="I2888" s="43">
        <v>130.46442079674881</v>
      </c>
    </row>
    <row r="2889" spans="1:9">
      <c r="A2889" s="19">
        <v>648.29999999999995</v>
      </c>
      <c r="B2889" s="43">
        <v>125.06193744897746</v>
      </c>
      <c r="C2889" s="43">
        <v>126.29394449319426</v>
      </c>
      <c r="D2889" s="43">
        <v>127.36212918047195</v>
      </c>
      <c r="E2889" s="43">
        <v>128.27047704120855</v>
      </c>
      <c r="F2889" s="43">
        <v>129.02652646231149</v>
      </c>
      <c r="G2889" s="43">
        <v>129.64006452316448</v>
      </c>
      <c r="H2889" s="43">
        <v>130.12208339757871</v>
      </c>
      <c r="I2889" s="43">
        <v>130.48400589791822</v>
      </c>
    </row>
    <row r="2890" spans="1:9">
      <c r="A2890" s="19">
        <v>648.4</v>
      </c>
      <c r="B2890" s="43">
        <v>125.07968441254684</v>
      </c>
      <c r="C2890" s="43">
        <v>126.31191292169274</v>
      </c>
      <c r="D2890" s="43">
        <v>127.3803450029321</v>
      </c>
      <c r="E2890" s="43">
        <v>128.288958046576</v>
      </c>
      <c r="F2890" s="43">
        <v>129.04528287104972</v>
      </c>
      <c r="G2890" s="43">
        <v>129.65910001409992</v>
      </c>
      <c r="H2890" s="43">
        <v>130.14139630590836</v>
      </c>
      <c r="I2890" s="43">
        <v>130.50359039615682</v>
      </c>
    </row>
    <row r="2891" spans="1:9">
      <c r="A2891" s="19">
        <v>648.5</v>
      </c>
      <c r="B2891" s="43">
        <v>125.09743114359912</v>
      </c>
      <c r="C2891" s="43">
        <v>126.32988104027172</v>
      </c>
      <c r="D2891" s="43">
        <v>127.39856044249782</v>
      </c>
      <c r="E2891" s="43">
        <v>128.30743860406756</v>
      </c>
      <c r="F2891" s="43">
        <v>129.0640387769206</v>
      </c>
      <c r="G2891" s="43">
        <v>129.67813495809213</v>
      </c>
      <c r="H2891" s="43">
        <v>130.1607086341906</v>
      </c>
      <c r="I2891" s="43">
        <v>130.52317429164594</v>
      </c>
    </row>
    <row r="2892" spans="1:9">
      <c r="A2892" s="19">
        <v>648.6</v>
      </c>
      <c r="B2892" s="43">
        <v>125.11517764218237</v>
      </c>
      <c r="C2892" s="43">
        <v>126.34784884904496</v>
      </c>
      <c r="D2892" s="43">
        <v>127.41677549934627</v>
      </c>
      <c r="E2892" s="43">
        <v>128.32591871380629</v>
      </c>
      <c r="F2892" s="43">
        <v>129.0827941800618</v>
      </c>
      <c r="G2892" s="43">
        <v>129.69716935527401</v>
      </c>
      <c r="H2892" s="43">
        <v>130.1800203825195</v>
      </c>
      <c r="I2892" s="43">
        <v>130.54275758439064</v>
      </c>
    </row>
    <row r="2893" spans="1:9">
      <c r="A2893" s="19">
        <v>648.70000000000005</v>
      </c>
      <c r="B2893" s="43">
        <v>125.13292390852808</v>
      </c>
      <c r="C2893" s="43">
        <v>126.36581634819117</v>
      </c>
      <c r="D2893" s="43">
        <v>127.43499017365289</v>
      </c>
      <c r="E2893" s="43">
        <v>128.34439837601781</v>
      </c>
      <c r="F2893" s="43">
        <v>129.10154908064487</v>
      </c>
      <c r="G2893" s="43">
        <v>129.71620320585328</v>
      </c>
      <c r="H2893" s="43">
        <v>130.19933155109453</v>
      </c>
      <c r="I2893" s="43">
        <v>130.56234027462472</v>
      </c>
    </row>
    <row r="2894" spans="1:9">
      <c r="A2894" s="19">
        <v>648.79999999999995</v>
      </c>
      <c r="B2894" s="43">
        <v>125.15066994282989</v>
      </c>
      <c r="C2894" s="43">
        <v>126.38378353795486</v>
      </c>
      <c r="D2894" s="43">
        <v>127.45320446565009</v>
      </c>
      <c r="E2894" s="43">
        <v>128.36287759090544</v>
      </c>
      <c r="F2894" s="43">
        <v>129.12030347892431</v>
      </c>
      <c r="G2894" s="43">
        <v>129.73523651000011</v>
      </c>
      <c r="H2894" s="43">
        <v>130.21864214006547</v>
      </c>
      <c r="I2894" s="43">
        <v>130.58192236246305</v>
      </c>
    </row>
    <row r="2895" spans="1:9">
      <c r="A2895" s="19">
        <v>648.9</v>
      </c>
      <c r="B2895" s="43">
        <v>125.16841574507453</v>
      </c>
      <c r="C2895" s="43">
        <v>126.4017504183291</v>
      </c>
      <c r="D2895" s="43">
        <v>127.47141837537853</v>
      </c>
      <c r="E2895" s="43">
        <v>128.38135635851899</v>
      </c>
      <c r="F2895" s="43">
        <v>129.13905737493695</v>
      </c>
      <c r="G2895" s="43">
        <v>129.75426926777794</v>
      </c>
      <c r="H2895" s="43">
        <v>130.23795214951213</v>
      </c>
      <c r="I2895" s="43">
        <v>130.60150384795924</v>
      </c>
    </row>
    <row r="2896" spans="1:9">
      <c r="A2896" s="19">
        <v>649</v>
      </c>
      <c r="B2896" s="43">
        <v>125.18616131548569</v>
      </c>
      <c r="C2896" s="43">
        <v>126.41971698966617</v>
      </c>
      <c r="D2896" s="43">
        <v>127.4896319031441</v>
      </c>
      <c r="E2896" s="43">
        <v>128.39983467917551</v>
      </c>
      <c r="F2896" s="43">
        <v>129.15781076894388</v>
      </c>
      <c r="G2896" s="43">
        <v>129.77330147948533</v>
      </c>
      <c r="H2896" s="43">
        <v>130.25726157966312</v>
      </c>
      <c r="I2896" s="43">
        <v>130.62108473134958</v>
      </c>
    </row>
    <row r="2897" spans="1:9">
      <c r="A2897" s="19">
        <v>649.1</v>
      </c>
      <c r="B2897" s="43">
        <v>125.20390665425256</v>
      </c>
      <c r="C2897" s="43">
        <v>126.43768325199673</v>
      </c>
      <c r="D2897" s="43">
        <v>127.5078450490702</v>
      </c>
      <c r="E2897" s="43">
        <v>128.41831255299729</v>
      </c>
      <c r="F2897" s="43">
        <v>129.17656366113664</v>
      </c>
      <c r="G2897" s="43">
        <v>129.79233314521952</v>
      </c>
      <c r="H2897" s="43">
        <v>130.27657043065432</v>
      </c>
      <c r="I2897" s="43">
        <v>130.64066501272748</v>
      </c>
    </row>
    <row r="2898" spans="1:9">
      <c r="A2898" s="19">
        <v>649.20000000000005</v>
      </c>
      <c r="B2898" s="43">
        <v>125.22165176147686</v>
      </c>
      <c r="C2898" s="43">
        <v>126.45564920555054</v>
      </c>
      <c r="D2898" s="43">
        <v>127.52605781330416</v>
      </c>
      <c r="E2898" s="43">
        <v>128.43678998013422</v>
      </c>
      <c r="F2898" s="43">
        <v>129.19531605160546</v>
      </c>
      <c r="G2898" s="43">
        <v>129.81136426510244</v>
      </c>
      <c r="H2898" s="43">
        <v>130.29587870258729</v>
      </c>
      <c r="I2898" s="43">
        <v>130.66024469218559</v>
      </c>
    </row>
    <row r="2899" spans="1:9">
      <c r="A2899" s="19">
        <v>649.29999999999995</v>
      </c>
      <c r="B2899" s="43">
        <v>125.23939663725119</v>
      </c>
      <c r="C2899" s="43">
        <v>126.47361485043055</v>
      </c>
      <c r="D2899" s="43">
        <v>127.54427019601519</v>
      </c>
      <c r="E2899" s="43">
        <v>128.45526696077627</v>
      </c>
      <c r="F2899" s="43">
        <v>129.21406794058305</v>
      </c>
      <c r="G2899" s="43">
        <v>129.83039483934709</v>
      </c>
      <c r="H2899" s="43">
        <v>130.31518639561915</v>
      </c>
      <c r="I2899" s="43">
        <v>130.67982376989391</v>
      </c>
    </row>
    <row r="2900" spans="1:9">
      <c r="A2900" s="19">
        <v>649.4</v>
      </c>
      <c r="B2900" s="43">
        <v>125.25714128174886</v>
      </c>
      <c r="C2900" s="43">
        <v>126.49158018681732</v>
      </c>
      <c r="D2900" s="43">
        <v>127.56248219740286</v>
      </c>
      <c r="E2900" s="43">
        <v>128.47374349510443</v>
      </c>
      <c r="F2900" s="43">
        <v>129.23281932821283</v>
      </c>
      <c r="G2900" s="43">
        <v>129.84942486807836</v>
      </c>
      <c r="H2900" s="43">
        <v>130.33449350992055</v>
      </c>
      <c r="I2900" s="43">
        <v>130.69940224597616</v>
      </c>
    </row>
    <row r="2901" spans="1:9">
      <c r="A2901" s="19">
        <v>649.5</v>
      </c>
      <c r="B2901" s="43">
        <v>125.27488569522819</v>
      </c>
      <c r="C2901" s="43">
        <v>126.50954521497826</v>
      </c>
      <c r="D2901" s="43">
        <v>127.58069381771864</v>
      </c>
      <c r="E2901" s="43">
        <v>128.49221958337358</v>
      </c>
      <c r="F2901" s="43">
        <v>129.25157021471784</v>
      </c>
      <c r="G2901" s="43">
        <v>129.86845435155738</v>
      </c>
      <c r="H2901" s="43">
        <v>130.35380004569231</v>
      </c>
      <c r="I2901" s="43">
        <v>130.71898012058972</v>
      </c>
    </row>
    <row r="2902" spans="1:9">
      <c r="A2902" s="19">
        <v>649.6</v>
      </c>
      <c r="B2902" s="43">
        <v>125.2926298777279</v>
      </c>
      <c r="C2902" s="43">
        <v>126.52750993495908</v>
      </c>
      <c r="D2902" s="43">
        <v>127.59890505705852</v>
      </c>
      <c r="E2902" s="43">
        <v>128.51069522565291</v>
      </c>
      <c r="F2902" s="43">
        <v>129.27032060023816</v>
      </c>
      <c r="G2902" s="43">
        <v>129.88748328985105</v>
      </c>
      <c r="H2902" s="43">
        <v>130.37310600300549</v>
      </c>
      <c r="I2902" s="43">
        <v>130.73855739385181</v>
      </c>
    </row>
    <row r="2903" spans="1:9">
      <c r="A2903" s="19">
        <v>649.70000000000005</v>
      </c>
      <c r="B2903" s="43">
        <v>125.31037382936904</v>
      </c>
      <c r="C2903" s="43">
        <v>126.54547434694518</v>
      </c>
      <c r="D2903" s="43">
        <v>127.61711591555908</v>
      </c>
      <c r="E2903" s="43">
        <v>128.52917042216802</v>
      </c>
      <c r="F2903" s="43">
        <v>129.28907048494443</v>
      </c>
      <c r="G2903" s="43">
        <v>129.90651168315395</v>
      </c>
      <c r="H2903" s="43">
        <v>130.39241138203266</v>
      </c>
      <c r="I2903" s="43">
        <v>130.75813406588003</v>
      </c>
    </row>
    <row r="2904" spans="1:9">
      <c r="A2904" s="19">
        <v>649.79999999999995</v>
      </c>
      <c r="B2904" s="43">
        <v>125.32811755025645</v>
      </c>
      <c r="C2904" s="43">
        <v>126.56343845101904</v>
      </c>
      <c r="D2904" s="43">
        <v>127.63532639338541</v>
      </c>
      <c r="E2904" s="43">
        <v>128.54764517301555</v>
      </c>
      <c r="F2904" s="43">
        <v>129.3078198689476</v>
      </c>
      <c r="G2904" s="43">
        <v>129.92553953157341</v>
      </c>
      <c r="H2904" s="43">
        <v>130.411716182877</v>
      </c>
      <c r="I2904" s="43">
        <v>130.77771013674896</v>
      </c>
    </row>
    <row r="2905" spans="1:9">
      <c r="A2905" s="19">
        <v>649.9</v>
      </c>
      <c r="B2905" s="43">
        <v>125.34586104063064</v>
      </c>
      <c r="C2905" s="43">
        <v>126.58140224750929</v>
      </c>
      <c r="D2905" s="43">
        <v>127.65353649079216</v>
      </c>
      <c r="E2905" s="43">
        <v>128.56611947845352</v>
      </c>
      <c r="F2905" s="43">
        <v>129.3265687525095</v>
      </c>
      <c r="G2905" s="43">
        <v>129.94456683534753</v>
      </c>
      <c r="H2905" s="43">
        <v>130.431020405764</v>
      </c>
      <c r="I2905" s="43">
        <v>130.79728560669503</v>
      </c>
    </row>
    <row r="2906" spans="1:9">
      <c r="A2906" s="19">
        <v>650</v>
      </c>
      <c r="B2906" s="43">
        <v>125.34470803968506</v>
      </c>
      <c r="C2906" s="43">
        <v>126.58154588776085</v>
      </c>
      <c r="D2906" s="43">
        <v>127.65507685462998</v>
      </c>
      <c r="E2906" s="43">
        <v>128.569131810231</v>
      </c>
      <c r="F2906" s="43">
        <v>129.33110606741741</v>
      </c>
      <c r="G2906" s="43">
        <v>129.95066319402991</v>
      </c>
      <c r="H2906" s="43">
        <v>130.43869428102488</v>
      </c>
      <c r="I2906" s="43">
        <v>130.80654299553856</v>
      </c>
    </row>
    <row r="2907" spans="1:9">
      <c r="A2907" s="19">
        <v>650.1</v>
      </c>
      <c r="B2907" s="43">
        <v>125.34352776902466</v>
      </c>
      <c r="C2907" s="43">
        <v>126.58166210431901</v>
      </c>
      <c r="D2907" s="43">
        <v>127.65658969881343</v>
      </c>
      <c r="E2907" s="43">
        <v>128.57211659496124</v>
      </c>
      <c r="F2907" s="43">
        <v>129.33561587804451</v>
      </c>
      <c r="G2907" s="43">
        <v>129.95673215675691</v>
      </c>
      <c r="H2907" s="43">
        <v>130.44634092562058</v>
      </c>
      <c r="I2907" s="43">
        <v>130.81577336565846</v>
      </c>
    </row>
    <row r="2908" spans="1:9">
      <c r="A2908" s="19">
        <v>650.20000000000005</v>
      </c>
      <c r="B2908" s="43">
        <v>125.36125146388645</v>
      </c>
      <c r="C2908" s="43">
        <v>126.59960518926556</v>
      </c>
      <c r="D2908" s="43">
        <v>127.67477814934142</v>
      </c>
      <c r="E2908" s="43">
        <v>128.5905683302463</v>
      </c>
      <c r="F2908" s="43">
        <v>129.35434130303071</v>
      </c>
      <c r="G2908" s="43">
        <v>129.9757351637133</v>
      </c>
      <c r="H2908" s="43">
        <v>130.46562007282972</v>
      </c>
      <c r="I2908" s="43">
        <v>130.83532304545247</v>
      </c>
    </row>
    <row r="2909" spans="1:9">
      <c r="A2909" s="19">
        <v>650.29999999999995</v>
      </c>
      <c r="B2909" s="43">
        <v>125.37897492581442</v>
      </c>
      <c r="C2909" s="43">
        <v>126.61754796437617</v>
      </c>
      <c r="D2909" s="43">
        <v>127.69296621748185</v>
      </c>
      <c r="E2909" s="43">
        <v>128.60901961830041</v>
      </c>
      <c r="F2909" s="43">
        <v>129.37306622576926</v>
      </c>
      <c r="G2909" s="43">
        <v>129.99473762413663</v>
      </c>
      <c r="H2909" s="43">
        <v>130.48489864010043</v>
      </c>
      <c r="I2909" s="43">
        <v>130.85487212215378</v>
      </c>
    </row>
    <row r="2910" spans="1:9">
      <c r="A2910" s="19">
        <v>650.4</v>
      </c>
      <c r="B2910" s="43">
        <v>125.39669815500602</v>
      </c>
      <c r="C2910" s="43">
        <v>126.63549042996638</v>
      </c>
      <c r="D2910" s="43">
        <v>127.71115390351272</v>
      </c>
      <c r="E2910" s="43">
        <v>128.6274704593655</v>
      </c>
      <c r="F2910" s="43">
        <v>129.39179064647413</v>
      </c>
      <c r="G2910" s="43">
        <v>130.01373953829631</v>
      </c>
      <c r="H2910" s="43">
        <v>130.50417662763408</v>
      </c>
      <c r="I2910" s="43">
        <v>130.87442059593792</v>
      </c>
    </row>
    <row r="2911" spans="1:9">
      <c r="A2911" s="19">
        <v>650.5</v>
      </c>
      <c r="B2911" s="43">
        <v>125.41442115172472</v>
      </c>
      <c r="C2911" s="43">
        <v>126.65343258620882</v>
      </c>
      <c r="D2911" s="43">
        <v>127.72934120758913</v>
      </c>
      <c r="E2911" s="43">
        <v>128.64592085361346</v>
      </c>
      <c r="F2911" s="43">
        <v>129.41051456534279</v>
      </c>
      <c r="G2911" s="43">
        <v>130.03274090630657</v>
      </c>
      <c r="H2911" s="43">
        <v>130.52345403556092</v>
      </c>
      <c r="I2911" s="43">
        <v>130.89396846692131</v>
      </c>
    </row>
    <row r="2912" spans="1:9">
      <c r="A2912" s="19">
        <v>650.6</v>
      </c>
      <c r="B2912" s="43">
        <v>125.4321439159317</v>
      </c>
      <c r="C2912" s="43">
        <v>126.67137443317174</v>
      </c>
      <c r="D2912" s="43">
        <v>127.74752812987035</v>
      </c>
      <c r="E2912" s="43">
        <v>128.66437080119653</v>
      </c>
      <c r="F2912" s="43">
        <v>129.4292379824912</v>
      </c>
      <c r="G2912" s="43">
        <v>130.05174172831369</v>
      </c>
      <c r="H2912" s="43">
        <v>130.54273086398314</v>
      </c>
      <c r="I2912" s="43">
        <v>130.91351573522633</v>
      </c>
    </row>
    <row r="2913" spans="1:9">
      <c r="A2913" s="19">
        <v>650.70000000000005</v>
      </c>
      <c r="B2913" s="43">
        <v>125.44986644774104</v>
      </c>
      <c r="C2913" s="43">
        <v>126.68931597097671</v>
      </c>
      <c r="D2913" s="43">
        <v>127.7657146704158</v>
      </c>
      <c r="E2913" s="43">
        <v>128.68282030219837</v>
      </c>
      <c r="F2913" s="43">
        <v>129.44796089804083</v>
      </c>
      <c r="G2913" s="43">
        <v>130.07074200443964</v>
      </c>
      <c r="H2913" s="43">
        <v>130.56200711307633</v>
      </c>
      <c r="I2913" s="43">
        <v>130.93306240096064</v>
      </c>
    </row>
    <row r="2914" spans="1:9">
      <c r="A2914" s="19">
        <v>650.79999999999995</v>
      </c>
      <c r="B2914" s="43">
        <v>125.4675887475548</v>
      </c>
      <c r="C2914" s="43">
        <v>126.70725720003225</v>
      </c>
      <c r="D2914" s="43">
        <v>127.78390082961207</v>
      </c>
      <c r="E2914" s="43">
        <v>128.70126935703024</v>
      </c>
      <c r="F2914" s="43">
        <v>129.46668331232468</v>
      </c>
      <c r="G2914" s="43">
        <v>130.08974173500417</v>
      </c>
      <c r="H2914" s="43">
        <v>130.58128278305833</v>
      </c>
      <c r="I2914" s="43">
        <v>130.95260846437094</v>
      </c>
    </row>
    <row r="2915" spans="1:9">
      <c r="A2915" s="19">
        <v>650.9</v>
      </c>
      <c r="B2915" s="43">
        <v>125.4853108152906</v>
      </c>
      <c r="C2915" s="43">
        <v>126.72519812022546</v>
      </c>
      <c r="D2915" s="43">
        <v>127.80208660747982</v>
      </c>
      <c r="E2915" s="43">
        <v>128.71971796563525</v>
      </c>
      <c r="F2915" s="43">
        <v>129.48540522539128</v>
      </c>
      <c r="G2915" s="43">
        <v>130.10874092001677</v>
      </c>
      <c r="H2915" s="43">
        <v>130.60055787397988</v>
      </c>
      <c r="I2915" s="43">
        <v>130.97215392543825</v>
      </c>
    </row>
    <row r="2916" spans="1:9">
      <c r="A2916" s="19">
        <v>651</v>
      </c>
      <c r="B2916" s="43">
        <v>125.50303265112964</v>
      </c>
      <c r="C2916" s="43">
        <v>126.74313873188342</v>
      </c>
      <c r="D2916" s="43">
        <v>127.82027200424483</v>
      </c>
      <c r="E2916" s="43">
        <v>128.73816612831774</v>
      </c>
      <c r="F2916" s="43">
        <v>129.50412663746192</v>
      </c>
      <c r="G2916" s="43">
        <v>130.1277395597142</v>
      </c>
      <c r="H2916" s="43">
        <v>130.61983238604137</v>
      </c>
      <c r="I2916" s="43">
        <v>130.99169878440961</v>
      </c>
    </row>
    <row r="2917" spans="1:9">
      <c r="A2917" s="19">
        <v>651.1</v>
      </c>
      <c r="B2917" s="43">
        <v>125.52075425522511</v>
      </c>
      <c r="C2917" s="43">
        <v>126.76107903505934</v>
      </c>
      <c r="D2917" s="43">
        <v>127.83845702005343</v>
      </c>
      <c r="E2917" s="43">
        <v>128.75661384520248</v>
      </c>
      <c r="F2917" s="43">
        <v>129.52284754863228</v>
      </c>
      <c r="G2917" s="43">
        <v>130.14673765419457</v>
      </c>
      <c r="H2917" s="43">
        <v>130.63910631936909</v>
      </c>
      <c r="I2917" s="43">
        <v>131.01124304133128</v>
      </c>
    </row>
    <row r="2918" spans="1:9">
      <c r="A2918" s="19">
        <v>651.20000000000005</v>
      </c>
      <c r="B2918" s="43">
        <v>125.53847562771324</v>
      </c>
      <c r="C2918" s="43">
        <v>126.77901902994157</v>
      </c>
      <c r="D2918" s="43">
        <v>127.85664165504159</v>
      </c>
      <c r="E2918" s="43">
        <v>128.77506111641088</v>
      </c>
      <c r="F2918" s="43">
        <v>129.54156795912763</v>
      </c>
      <c r="G2918" s="43">
        <v>130.16573520363499</v>
      </c>
      <c r="H2918" s="43">
        <v>130.65837967407128</v>
      </c>
      <c r="I2918" s="43">
        <v>131.0307866963563</v>
      </c>
    </row>
    <row r="2919" spans="1:9">
      <c r="A2919" s="19">
        <v>651.29999999999995</v>
      </c>
      <c r="B2919" s="43">
        <v>125.55619676868756</v>
      </c>
      <c r="C2919" s="43">
        <v>126.79695871666942</v>
      </c>
      <c r="D2919" s="43">
        <v>127.87482590939351</v>
      </c>
      <c r="E2919" s="43">
        <v>128.79350794217316</v>
      </c>
      <c r="F2919" s="43">
        <v>129.56028786909076</v>
      </c>
      <c r="G2919" s="43">
        <v>130.18473220822574</v>
      </c>
      <c r="H2919" s="43">
        <v>130.67765245035389</v>
      </c>
      <c r="I2919" s="43">
        <v>131.05032974962347</v>
      </c>
    </row>
    <row r="2920" spans="1:9">
      <c r="A2920" s="19">
        <v>651.4</v>
      </c>
      <c r="B2920" s="43">
        <v>125.57391767850777</v>
      </c>
      <c r="C2920" s="43">
        <v>126.81489809558201</v>
      </c>
      <c r="D2920" s="43">
        <v>127.89300978347114</v>
      </c>
      <c r="E2920" s="43">
        <v>128.81195432281027</v>
      </c>
      <c r="F2920" s="43">
        <v>129.57900727884498</v>
      </c>
      <c r="G2920" s="43">
        <v>130.20372866821157</v>
      </c>
      <c r="H2920" s="43">
        <v>130.69692464844013</v>
      </c>
      <c r="I2920" s="43">
        <v>131.06987220137398</v>
      </c>
    </row>
    <row r="2921" spans="1:9">
      <c r="A2921" s="19">
        <v>651.5</v>
      </c>
      <c r="B2921" s="43">
        <v>125.59163835708762</v>
      </c>
      <c r="C2921" s="43">
        <v>126.83283716664391</v>
      </c>
      <c r="D2921" s="43">
        <v>127.91119327722805</v>
      </c>
      <c r="E2921" s="43">
        <v>128.83040025829382</v>
      </c>
      <c r="F2921" s="43">
        <v>129.59772618838105</v>
      </c>
      <c r="G2921" s="43">
        <v>130.22272458361834</v>
      </c>
      <c r="H2921" s="43">
        <v>130.71619626836139</v>
      </c>
      <c r="I2921" s="43">
        <v>131.08941405158066</v>
      </c>
    </row>
    <row r="2922" spans="1:9">
      <c r="A2922" s="19">
        <v>651.6</v>
      </c>
      <c r="B2922" s="43">
        <v>125.60935880454079</v>
      </c>
      <c r="C2922" s="43">
        <v>126.85077593000705</v>
      </c>
      <c r="D2922" s="43">
        <v>127.92937639082425</v>
      </c>
      <c r="E2922" s="43">
        <v>128.84884574879925</v>
      </c>
      <c r="F2922" s="43">
        <v>129.61644459788528</v>
      </c>
      <c r="G2922" s="43">
        <v>130.24171995462166</v>
      </c>
      <c r="H2922" s="43">
        <v>130.73546731025203</v>
      </c>
      <c r="I2922" s="43">
        <v>131.10895530041171</v>
      </c>
    </row>
    <row r="2923" spans="1:9">
      <c r="A2923" s="19">
        <v>651.70000000000005</v>
      </c>
      <c r="B2923" s="43">
        <v>125.62707902113729</v>
      </c>
      <c r="C2923" s="43">
        <v>126.86871438592854</v>
      </c>
      <c r="D2923" s="43">
        <v>127.94755912450827</v>
      </c>
      <c r="E2923" s="43">
        <v>128.86729079458468</v>
      </c>
      <c r="F2923" s="43">
        <v>129.6351625075701</v>
      </c>
      <c r="G2923" s="43">
        <v>130.26071478142183</v>
      </c>
      <c r="H2923" s="43">
        <v>130.7547377742967</v>
      </c>
      <c r="I2923" s="43">
        <v>131.12849594801895</v>
      </c>
    </row>
    <row r="2924" spans="1:9">
      <c r="A2924" s="19">
        <v>651.79999999999995</v>
      </c>
      <c r="B2924" s="43">
        <v>125.64479900698561</v>
      </c>
      <c r="C2924" s="43">
        <v>126.88665253449497</v>
      </c>
      <c r="D2924" s="43">
        <v>127.9657414784696</v>
      </c>
      <c r="E2924" s="43">
        <v>128.88573539580159</v>
      </c>
      <c r="F2924" s="43">
        <v>129.65387991763208</v>
      </c>
      <c r="G2924" s="43">
        <v>130.27970906417886</v>
      </c>
      <c r="H2924" s="43">
        <v>130.77400766067734</v>
      </c>
      <c r="I2924" s="43">
        <v>131.14803599452972</v>
      </c>
    </row>
    <row r="2925" spans="1:9">
      <c r="A2925" s="19">
        <v>651.9</v>
      </c>
      <c r="B2925" s="43">
        <v>125.66251876219116</v>
      </c>
      <c r="C2925" s="43">
        <v>126.90459037595321</v>
      </c>
      <c r="D2925" s="43">
        <v>127.98392345284557</v>
      </c>
      <c r="E2925" s="43">
        <v>128.90417955265519</v>
      </c>
      <c r="F2925" s="43">
        <v>129.67259682818604</v>
      </c>
      <c r="G2925" s="43">
        <v>130.29870280305477</v>
      </c>
      <c r="H2925" s="43">
        <v>130.79327696951856</v>
      </c>
      <c r="I2925" s="43">
        <v>131.16757544011733</v>
      </c>
    </row>
    <row r="2926" spans="1:9">
      <c r="A2926" s="19">
        <v>652</v>
      </c>
      <c r="B2926" s="43">
        <v>125.68023828688703</v>
      </c>
      <c r="C2926" s="43">
        <v>126.92252791029469</v>
      </c>
      <c r="D2926" s="43">
        <v>128.00210504774935</v>
      </c>
      <c r="E2926" s="43">
        <v>128.92262326520103</v>
      </c>
      <c r="F2926" s="43">
        <v>129.69131323941002</v>
      </c>
      <c r="G2926" s="43">
        <v>130.31769599816874</v>
      </c>
      <c r="H2926" s="43">
        <v>130.81254570091318</v>
      </c>
      <c r="I2926" s="43">
        <v>131.18711428482084</v>
      </c>
    </row>
    <row r="2927" spans="1:9">
      <c r="A2927" s="19">
        <v>652.1</v>
      </c>
      <c r="B2927" s="43">
        <v>125.69795758131571</v>
      </c>
      <c r="C2927" s="43">
        <v>126.94046513792736</v>
      </c>
      <c r="D2927" s="43">
        <v>128.0202862635046</v>
      </c>
      <c r="E2927" s="43">
        <v>128.94106653379248</v>
      </c>
      <c r="F2927" s="43">
        <v>129.71002915154719</v>
      </c>
      <c r="G2927" s="43">
        <v>130.33668864976619</v>
      </c>
      <c r="H2927" s="43">
        <v>130.83181385510858</v>
      </c>
      <c r="I2927" s="43">
        <v>131.206652528875</v>
      </c>
    </row>
    <row r="2928" spans="1:9">
      <c r="A2928" s="19">
        <v>652.20000000000005</v>
      </c>
      <c r="B2928" s="43">
        <v>125.71567664553314</v>
      </c>
      <c r="C2928" s="43">
        <v>126.95840205882044</v>
      </c>
      <c r="D2928" s="43">
        <v>128.03846710015222</v>
      </c>
      <c r="E2928" s="43">
        <v>128.95950935846582</v>
      </c>
      <c r="F2928" s="43">
        <v>129.72874456467986</v>
      </c>
      <c r="G2928" s="43">
        <v>130.35568075793685</v>
      </c>
      <c r="H2928" s="43">
        <v>130.85108143220276</v>
      </c>
      <c r="I2928" s="43">
        <v>131.22619017233148</v>
      </c>
    </row>
    <row r="2929" spans="1:9">
      <c r="A2929" s="19">
        <v>652.29999999999995</v>
      </c>
      <c r="B2929" s="43">
        <v>125.73339547966708</v>
      </c>
      <c r="C2929" s="43">
        <v>126.97633867320263</v>
      </c>
      <c r="D2929" s="43">
        <v>128.05664755790895</v>
      </c>
      <c r="E2929" s="43">
        <v>128.97795173947048</v>
      </c>
      <c r="F2929" s="43">
        <v>129.74745947904171</v>
      </c>
      <c r="G2929" s="43">
        <v>130.37467232289896</v>
      </c>
      <c r="H2929" s="43">
        <v>130.8703484323301</v>
      </c>
      <c r="I2929" s="43">
        <v>131.24572721537709</v>
      </c>
    </row>
    <row r="2930" spans="1:9">
      <c r="A2930" s="19">
        <v>652.4</v>
      </c>
      <c r="B2930" s="43">
        <v>125.75111408388369</v>
      </c>
      <c r="C2930" s="43">
        <v>126.99427498120687</v>
      </c>
      <c r="D2930" s="43">
        <v>128.07482763694048</v>
      </c>
      <c r="E2930" s="43">
        <v>128.99639367692163</v>
      </c>
      <c r="F2930" s="43">
        <v>129.76617389476905</v>
      </c>
      <c r="G2930" s="43">
        <v>130.39366334472169</v>
      </c>
      <c r="H2930" s="43">
        <v>130.88961485566358</v>
      </c>
      <c r="I2930" s="43">
        <v>131.26526365809644</v>
      </c>
    </row>
    <row r="2931" spans="1:9">
      <c r="A2931" s="19">
        <v>652.5</v>
      </c>
      <c r="B2931" s="43">
        <v>125.76883245827864</v>
      </c>
      <c r="C2931" s="43">
        <v>127.01221098299274</v>
      </c>
      <c r="D2931" s="43">
        <v>128.09300733736649</v>
      </c>
      <c r="E2931" s="43">
        <v>129.01483517101906</v>
      </c>
      <c r="F2931" s="43">
        <v>129.78488781198126</v>
      </c>
      <c r="G2931" s="43">
        <v>130.4126538236427</v>
      </c>
      <c r="H2931" s="43">
        <v>130.90888070233069</v>
      </c>
      <c r="I2931" s="43">
        <v>131.28479950065338</v>
      </c>
    </row>
    <row r="2932" spans="1:9">
      <c r="A2932" s="19">
        <v>652.6</v>
      </c>
      <c r="B2932" s="43">
        <v>125.78655060303652</v>
      </c>
      <c r="C2932" s="43">
        <v>127.03014667869618</v>
      </c>
      <c r="D2932" s="43">
        <v>128.11118665937818</v>
      </c>
      <c r="E2932" s="43">
        <v>129.03327622192285</v>
      </c>
      <c r="F2932" s="43">
        <v>129.80360123094044</v>
      </c>
      <c r="G2932" s="43">
        <v>130.43164375979535</v>
      </c>
      <c r="H2932" s="43">
        <v>130.92814597244643</v>
      </c>
      <c r="I2932" s="43">
        <v>131.30433474314555</v>
      </c>
    </row>
    <row r="2933" spans="1:9">
      <c r="A2933" s="19">
        <v>652.70000000000005</v>
      </c>
      <c r="B2933" s="43">
        <v>125.80426851824532</v>
      </c>
      <c r="C2933" s="43">
        <v>127.04808206847702</v>
      </c>
      <c r="D2933" s="43">
        <v>128.12936560319446</v>
      </c>
      <c r="E2933" s="43">
        <v>129.05171682979176</v>
      </c>
      <c r="F2933" s="43">
        <v>129.82231415174999</v>
      </c>
      <c r="G2933" s="43">
        <v>130.45063315334073</v>
      </c>
      <c r="H2933" s="43">
        <v>130.94741066623055</v>
      </c>
      <c r="I2933" s="43">
        <v>131.32386938573438</v>
      </c>
    </row>
    <row r="2934" spans="1:9">
      <c r="A2934" s="19">
        <v>652.79999999999995</v>
      </c>
      <c r="B2934" s="43">
        <v>125.82198620422062</v>
      </c>
      <c r="C2934" s="43">
        <v>127.0660171526834</v>
      </c>
      <c r="D2934" s="43">
        <v>128.14754416906845</v>
      </c>
      <c r="E2934" s="43">
        <v>129.07015699494372</v>
      </c>
      <c r="F2934" s="43">
        <v>129.84102657470731</v>
      </c>
      <c r="G2934" s="43">
        <v>130.46962200452589</v>
      </c>
      <c r="H2934" s="43">
        <v>130.96667478385694</v>
      </c>
      <c r="I2934" s="43">
        <v>131.34340342860338</v>
      </c>
    </row>
    <row r="2935" spans="1:9">
      <c r="A2935" s="19">
        <v>652.9</v>
      </c>
      <c r="B2935" s="43">
        <v>125.83970366091813</v>
      </c>
      <c r="C2935" s="43">
        <v>127.08395193123508</v>
      </c>
      <c r="D2935" s="43">
        <v>128.16572235700727</v>
      </c>
      <c r="E2935" s="43">
        <v>129.08859671739231</v>
      </c>
      <c r="F2935" s="43">
        <v>129.85973849983975</v>
      </c>
      <c r="G2935" s="43">
        <v>130.4886103134117</v>
      </c>
      <c r="H2935" s="43">
        <v>130.98593832538728</v>
      </c>
      <c r="I2935" s="43">
        <v>131.36293687178539</v>
      </c>
    </row>
    <row r="2936" spans="1:9">
      <c r="A2936" s="19">
        <v>653</v>
      </c>
      <c r="B2936" s="43">
        <v>125.85742088853246</v>
      </c>
      <c r="C2936" s="43">
        <v>127.10188640436368</v>
      </c>
      <c r="D2936" s="43">
        <v>128.18390016722327</v>
      </c>
      <c r="E2936" s="43">
        <v>129.10703599733927</v>
      </c>
      <c r="F2936" s="43">
        <v>129.87844992735643</v>
      </c>
      <c r="G2936" s="43">
        <v>130.50759808012737</v>
      </c>
      <c r="H2936" s="43">
        <v>131.00520129099652</v>
      </c>
      <c r="I2936" s="43">
        <v>131.38246971546243</v>
      </c>
    </row>
    <row r="2937" spans="1:9">
      <c r="A2937" s="19">
        <v>653.1</v>
      </c>
      <c r="B2937" s="43">
        <v>125.87513788713974</v>
      </c>
      <c r="C2937" s="43">
        <v>127.11982057222895</v>
      </c>
      <c r="D2937" s="43">
        <v>128.20207759988398</v>
      </c>
      <c r="E2937" s="43">
        <v>129.12547483496712</v>
      </c>
      <c r="F2937" s="43">
        <v>129.89716085742924</v>
      </c>
      <c r="G2937" s="43">
        <v>130.52658530492084</v>
      </c>
      <c r="H2937" s="43">
        <v>131.02446368082252</v>
      </c>
      <c r="I2937" s="43">
        <v>131.4020019597337</v>
      </c>
    </row>
    <row r="2938" spans="1:9">
      <c r="A2938" s="19">
        <v>653.20000000000005</v>
      </c>
      <c r="B2938" s="43">
        <v>125.89285465696562</v>
      </c>
      <c r="C2938" s="43">
        <v>127.13775443499856</v>
      </c>
      <c r="D2938" s="43">
        <v>128.22025465517578</v>
      </c>
      <c r="E2938" s="43">
        <v>129.14391323046539</v>
      </c>
      <c r="F2938" s="43">
        <v>129.91587129023407</v>
      </c>
      <c r="G2938" s="43">
        <v>130.54557198791878</v>
      </c>
      <c r="H2938" s="43">
        <v>131.04372549502813</v>
      </c>
      <c r="I2938" s="43">
        <v>131.42153360474964</v>
      </c>
    </row>
    <row r="2939" spans="1:9">
      <c r="A2939" s="19">
        <v>653.29999999999995</v>
      </c>
      <c r="B2939" s="43">
        <v>125.9105711980319</v>
      </c>
      <c r="C2939" s="43">
        <v>127.15568799275056</v>
      </c>
      <c r="D2939" s="43">
        <v>128.23843133320503</v>
      </c>
      <c r="E2939" s="43">
        <v>129.1623511839374</v>
      </c>
      <c r="F2939" s="43">
        <v>129.93458122588902</v>
      </c>
      <c r="G2939" s="43">
        <v>130.5645581292506</v>
      </c>
      <c r="H2939" s="43">
        <v>131.06298673371225</v>
      </c>
      <c r="I2939" s="43">
        <v>131.44106465063891</v>
      </c>
    </row>
    <row r="2940" spans="1:9">
      <c r="A2940" s="19">
        <v>653.4</v>
      </c>
      <c r="B2940" s="43">
        <v>125.92828751076425</v>
      </c>
      <c r="C2940" s="43">
        <v>127.17362124583929</v>
      </c>
      <c r="D2940" s="43">
        <v>128.25660763436963</v>
      </c>
      <c r="E2940" s="43">
        <v>129.18078869575425</v>
      </c>
      <c r="F2940" s="43">
        <v>129.95329066472823</v>
      </c>
      <c r="G2940" s="43">
        <v>130.58354372919814</v>
      </c>
      <c r="H2940" s="43">
        <v>131.08224739716394</v>
      </c>
      <c r="I2940" s="43">
        <v>131.46059509760431</v>
      </c>
    </row>
    <row r="2941" spans="1:9">
      <c r="A2941" s="19">
        <v>653.5</v>
      </c>
      <c r="B2941" s="43">
        <v>125.94600359496786</v>
      </c>
      <c r="C2941" s="43">
        <v>127.19155419428586</v>
      </c>
      <c r="D2941" s="43">
        <v>128.27478355857488</v>
      </c>
      <c r="E2941" s="43">
        <v>129.19922576589857</v>
      </c>
      <c r="F2941" s="43">
        <v>129.97199960676147</v>
      </c>
      <c r="G2941" s="43">
        <v>130.60252878778101</v>
      </c>
      <c r="H2941" s="43">
        <v>131.10150748537768</v>
      </c>
      <c r="I2941" s="43">
        <v>131.48012494566234</v>
      </c>
    </row>
    <row r="2942" spans="1:9">
      <c r="A2942" s="19">
        <v>653.6</v>
      </c>
      <c r="B2942" s="43">
        <v>125.96371945096254</v>
      </c>
      <c r="C2942" s="43">
        <v>127.2094868382398</v>
      </c>
      <c r="D2942" s="43">
        <v>128.29295910609545</v>
      </c>
      <c r="E2942" s="43">
        <v>129.21766239458969</v>
      </c>
      <c r="F2942" s="43">
        <v>129.99070805219975</v>
      </c>
      <c r="G2942" s="43">
        <v>130.62151330522414</v>
      </c>
      <c r="H2942" s="43">
        <v>131.12076699857857</v>
      </c>
      <c r="I2942" s="43">
        <v>131.4996541950083</v>
      </c>
    </row>
    <row r="2943" spans="1:9">
      <c r="A2943" s="19">
        <v>653.70000000000005</v>
      </c>
      <c r="B2943" s="43">
        <v>125.98143507875827</v>
      </c>
      <c r="C2943" s="43">
        <v>127.22741917784197</v>
      </c>
      <c r="D2943" s="43">
        <v>128.31113427708425</v>
      </c>
      <c r="E2943" s="43">
        <v>129.23609858195596</v>
      </c>
      <c r="F2943" s="43">
        <v>130.00941600120001</v>
      </c>
      <c r="G2943" s="43">
        <v>130.64049728165941</v>
      </c>
      <c r="H2943" s="43">
        <v>131.14002593687843</v>
      </c>
      <c r="I2943" s="43">
        <v>131.51918284572821</v>
      </c>
    </row>
    <row r="2944" spans="1:9">
      <c r="A2944" s="19">
        <v>653.79999999999995</v>
      </c>
      <c r="B2944" s="43">
        <v>125.9991504786743</v>
      </c>
      <c r="C2944" s="43">
        <v>127.24535121335333</v>
      </c>
      <c r="D2944" s="43">
        <v>128.32930907173562</v>
      </c>
      <c r="E2944" s="43">
        <v>129.25453432829306</v>
      </c>
      <c r="F2944" s="43">
        <v>130.02812345398308</v>
      </c>
      <c r="G2944" s="43">
        <v>130.65948071729474</v>
      </c>
      <c r="H2944" s="43">
        <v>131.15928430044664</v>
      </c>
      <c r="I2944" s="43">
        <v>131.53871089801282</v>
      </c>
    </row>
    <row r="2945" spans="1:9">
      <c r="A2945" s="19">
        <v>653.9</v>
      </c>
      <c r="B2945" s="43">
        <v>126.01686565068496</v>
      </c>
      <c r="C2945" s="43">
        <v>127.26328294483989</v>
      </c>
      <c r="D2945" s="43">
        <v>128.34748349020271</v>
      </c>
      <c r="E2945" s="43">
        <v>129.27296963369895</v>
      </c>
      <c r="F2945" s="43">
        <v>130.0468304106966</v>
      </c>
      <c r="G2945" s="43">
        <v>130.67846361226941</v>
      </c>
      <c r="H2945" s="43">
        <v>131.17854208947216</v>
      </c>
      <c r="I2945" s="43">
        <v>131.55823835196685</v>
      </c>
    </row>
    <row r="2946" spans="1:9">
      <c r="A2946" s="19">
        <v>654</v>
      </c>
      <c r="B2946" s="43">
        <v>126.03458059494125</v>
      </c>
      <c r="C2946" s="43">
        <v>127.28121437242467</v>
      </c>
      <c r="D2946" s="43">
        <v>128.36565753260237</v>
      </c>
      <c r="E2946" s="43">
        <v>129.29140449828492</v>
      </c>
      <c r="F2946" s="43">
        <v>130.06553687144014</v>
      </c>
      <c r="G2946" s="43">
        <v>130.6974459666958</v>
      </c>
      <c r="H2946" s="43">
        <v>131.19779930396101</v>
      </c>
      <c r="I2946" s="43">
        <v>131.57776520770085</v>
      </c>
    </row>
    <row r="2947" spans="1:9">
      <c r="A2947" s="19">
        <v>654.1</v>
      </c>
      <c r="B2947" s="43">
        <v>126.05229531173055</v>
      </c>
      <c r="C2947" s="43">
        <v>127.29914549645602</v>
      </c>
      <c r="D2947" s="43">
        <v>128.38383119924208</v>
      </c>
      <c r="E2947" s="43">
        <v>129.30983892237771</v>
      </c>
      <c r="F2947" s="43">
        <v>130.08424283653102</v>
      </c>
      <c r="G2947" s="43">
        <v>130.71642778082764</v>
      </c>
      <c r="H2947" s="43">
        <v>131.21705594424651</v>
      </c>
      <c r="I2947" s="43">
        <v>131.59729146538137</v>
      </c>
    </row>
    <row r="2948" spans="1:9">
      <c r="A2948" s="19">
        <v>654.20000000000005</v>
      </c>
      <c r="B2948" s="43">
        <v>126.07000980112514</v>
      </c>
      <c r="C2948" s="43">
        <v>127.31707631694937</v>
      </c>
      <c r="D2948" s="43">
        <v>128.40200449022103</v>
      </c>
      <c r="E2948" s="43">
        <v>129.32827290607833</v>
      </c>
      <c r="F2948" s="43">
        <v>130.10294830605767</v>
      </c>
      <c r="G2948" s="43">
        <v>130.73540905477847</v>
      </c>
      <c r="H2948" s="43">
        <v>131.23631201037983</v>
      </c>
      <c r="I2948" s="43">
        <v>131.61681712514303</v>
      </c>
    </row>
    <row r="2949" spans="1:9">
      <c r="A2949" s="19">
        <v>654.29999999999995</v>
      </c>
      <c r="B2949" s="43">
        <v>126.08772406319082</v>
      </c>
      <c r="C2949" s="43">
        <v>127.33500683405916</v>
      </c>
      <c r="D2949" s="43">
        <v>128.42017740564847</v>
      </c>
      <c r="E2949" s="43">
        <v>129.34670644950074</v>
      </c>
      <c r="F2949" s="43">
        <v>130.1216532801119</v>
      </c>
      <c r="G2949" s="43">
        <v>130.75438978869801</v>
      </c>
      <c r="H2949" s="43">
        <v>131.2555675024858</v>
      </c>
      <c r="I2949" s="43">
        <v>131.63634218708916</v>
      </c>
    </row>
    <row r="2950" spans="1:9">
      <c r="A2950" s="19">
        <v>654.4</v>
      </c>
      <c r="B2950" s="43">
        <v>126.10543809807541</v>
      </c>
      <c r="C2950" s="43">
        <v>127.35293704792639</v>
      </c>
      <c r="D2950" s="43">
        <v>128.43834994575542</v>
      </c>
      <c r="E2950" s="43">
        <v>129.36513955285739</v>
      </c>
      <c r="F2950" s="43">
        <v>130.14035775897185</v>
      </c>
      <c r="G2950" s="43">
        <v>130.7733699827395</v>
      </c>
      <c r="H2950" s="43">
        <v>131.27482242074427</v>
      </c>
      <c r="I2950" s="43">
        <v>131.6558666513564</v>
      </c>
    </row>
    <row r="2951" spans="1:9">
      <c r="A2951" s="19">
        <v>654.5</v>
      </c>
      <c r="B2951" s="43">
        <v>126.12315190592358</v>
      </c>
      <c r="C2951" s="43">
        <v>127.37086695874839</v>
      </c>
      <c r="D2951" s="43">
        <v>128.4565221106472</v>
      </c>
      <c r="E2951" s="43">
        <v>129.38357221632742</v>
      </c>
      <c r="F2951" s="43">
        <v>130.15906174275881</v>
      </c>
      <c r="G2951" s="43">
        <v>130.79234963708245</v>
      </c>
      <c r="H2951" s="43">
        <v>131.29407676530064</v>
      </c>
      <c r="I2951" s="43">
        <v>131.67539051807552</v>
      </c>
    </row>
    <row r="2952" spans="1:9">
      <c r="A2952" s="19">
        <v>654.6</v>
      </c>
      <c r="B2952" s="43">
        <v>126.14086548694115</v>
      </c>
      <c r="C2952" s="43">
        <v>127.38879656675067</v>
      </c>
      <c r="D2952" s="43">
        <v>128.47469390058308</v>
      </c>
      <c r="E2952" s="43">
        <v>129.40200444013357</v>
      </c>
      <c r="F2952" s="43">
        <v>130.17776523168368</v>
      </c>
      <c r="G2952" s="43">
        <v>130.81132875190076</v>
      </c>
      <c r="H2952" s="43">
        <v>131.31333053631994</v>
      </c>
      <c r="I2952" s="43">
        <v>131.69491378738849</v>
      </c>
    </row>
    <row r="2953" spans="1:9">
      <c r="A2953" s="19">
        <v>654.70000000000005</v>
      </c>
      <c r="B2953" s="43">
        <v>126.1585788411569</v>
      </c>
      <c r="C2953" s="43">
        <v>127.4067258718635</v>
      </c>
      <c r="D2953" s="43">
        <v>128.49286531561563</v>
      </c>
      <c r="E2953" s="43">
        <v>129.4204362243031</v>
      </c>
      <c r="F2953" s="43">
        <v>130.19646822582905</v>
      </c>
      <c r="G2953" s="43">
        <v>130.83030732730487</v>
      </c>
      <c r="H2953" s="43">
        <v>131.33258373389708</v>
      </c>
      <c r="I2953" s="43">
        <v>131.71443645938177</v>
      </c>
    </row>
    <row r="2954" spans="1:9">
      <c r="A2954" s="19">
        <v>654.79999999999995</v>
      </c>
      <c r="B2954" s="43">
        <v>126.17629196892059</v>
      </c>
      <c r="C2954" s="43">
        <v>127.42465487461996</v>
      </c>
      <c r="D2954" s="43">
        <v>128.51103635616272</v>
      </c>
      <c r="E2954" s="43">
        <v>129.43886756923609</v>
      </c>
      <c r="F2954" s="43">
        <v>130.21517072555491</v>
      </c>
      <c r="G2954" s="43">
        <v>130.84928536356074</v>
      </c>
      <c r="H2954" s="43">
        <v>131.35183635827184</v>
      </c>
      <c r="I2954" s="43">
        <v>131.73395853432584</v>
      </c>
    </row>
    <row r="2955" spans="1:9">
      <c r="A2955" s="19">
        <v>654.9</v>
      </c>
      <c r="B2955" s="43">
        <v>126.19400487010975</v>
      </c>
      <c r="C2955" s="43">
        <v>127.44258357480504</v>
      </c>
      <c r="D2955" s="43">
        <v>128.52920702208428</v>
      </c>
      <c r="E2955" s="43">
        <v>129.45729847487502</v>
      </c>
      <c r="F2955" s="43">
        <v>130.23387273076997</v>
      </c>
      <c r="G2955" s="43">
        <v>130.86826286069299</v>
      </c>
      <c r="H2955" s="43">
        <v>131.37108840948679</v>
      </c>
      <c r="I2955" s="43">
        <v>131.75348001217219</v>
      </c>
    </row>
    <row r="2956" spans="1:9">
      <c r="A2956" s="19">
        <v>655</v>
      </c>
      <c r="B2956" s="43">
        <v>126.21171754496518</v>
      </c>
      <c r="C2956" s="43">
        <v>127.46051197274397</v>
      </c>
      <c r="D2956" s="43">
        <v>128.54737731368738</v>
      </c>
      <c r="E2956" s="43">
        <v>129.47572894149772</v>
      </c>
      <c r="F2956" s="43">
        <v>130.25257424181007</v>
      </c>
      <c r="G2956" s="43">
        <v>130.88723981892502</v>
      </c>
      <c r="H2956" s="43">
        <v>131.39033988775361</v>
      </c>
      <c r="I2956" s="43">
        <v>131.77300089314156</v>
      </c>
    </row>
    <row r="2957" spans="1:9">
      <c r="A2957" s="19">
        <v>655.1</v>
      </c>
      <c r="B2957" s="43">
        <v>126.22942999365142</v>
      </c>
      <c r="C2957" s="43">
        <v>127.47844006858838</v>
      </c>
      <c r="D2957" s="43">
        <v>128.56554723113805</v>
      </c>
      <c r="E2957" s="43">
        <v>129.49415896928781</v>
      </c>
      <c r="F2957" s="43">
        <v>130.27127525881644</v>
      </c>
      <c r="G2957" s="43">
        <v>130.90621623842964</v>
      </c>
      <c r="H2957" s="43">
        <v>131.40959079318606</v>
      </c>
      <c r="I2957" s="43">
        <v>131.79252117738821</v>
      </c>
    </row>
    <row r="2958" spans="1:9">
      <c r="A2958" s="19">
        <v>655.20000000000005</v>
      </c>
      <c r="B2958" s="43">
        <v>126.24714221632635</v>
      </c>
      <c r="C2958" s="43">
        <v>127.49636786251409</v>
      </c>
      <c r="D2958" s="43">
        <v>128.58371677465595</v>
      </c>
      <c r="E2958" s="43">
        <v>129.51258855842104</v>
      </c>
      <c r="F2958" s="43">
        <v>130.28997578196999</v>
      </c>
      <c r="G2958" s="43">
        <v>130.92519211943022</v>
      </c>
      <c r="H2958" s="43">
        <v>131.42884112598028</v>
      </c>
      <c r="I2958" s="43">
        <v>131.81204086500469</v>
      </c>
    </row>
    <row r="2959" spans="1:9">
      <c r="A2959" s="19">
        <v>655.29999999999995</v>
      </c>
      <c r="B2959" s="43">
        <v>126.26485421301768</v>
      </c>
      <c r="C2959" s="43">
        <v>127.51429535456609</v>
      </c>
      <c r="D2959" s="43">
        <v>128.60188594428399</v>
      </c>
      <c r="E2959" s="43">
        <v>129.53101770900827</v>
      </c>
      <c r="F2959" s="43">
        <v>130.3086758113634</v>
      </c>
      <c r="G2959" s="43">
        <v>130.94416746193599</v>
      </c>
      <c r="H2959" s="43">
        <v>131.448090886241</v>
      </c>
      <c r="I2959" s="43">
        <v>131.83155995608678</v>
      </c>
    </row>
    <row r="2960" spans="1:9">
      <c r="A2960" s="19">
        <v>655.4</v>
      </c>
      <c r="B2960" s="43">
        <v>126.28256598409382</v>
      </c>
      <c r="C2960" s="43">
        <v>127.53222254513568</v>
      </c>
      <c r="D2960" s="43">
        <v>128.62005474038335</v>
      </c>
      <c r="E2960" s="43">
        <v>129.54944642132261</v>
      </c>
      <c r="F2960" s="43">
        <v>130.32737534731638</v>
      </c>
      <c r="G2960" s="43">
        <v>130.96314226625793</v>
      </c>
      <c r="H2960" s="43">
        <v>131.46734007415682</v>
      </c>
      <c r="I2960" s="43">
        <v>131.85107845090295</v>
      </c>
    </row>
    <row r="2961" spans="1:9">
      <c r="A2961" s="19">
        <v>655.5</v>
      </c>
      <c r="B2961" s="43">
        <v>126.30027752935726</v>
      </c>
      <c r="C2961" s="43">
        <v>127.55014943411052</v>
      </c>
      <c r="D2961" s="43">
        <v>128.63822316288633</v>
      </c>
      <c r="E2961" s="43">
        <v>129.56787469543531</v>
      </c>
      <c r="F2961" s="43">
        <v>130.34607438984602</v>
      </c>
      <c r="G2961" s="43">
        <v>130.98211653243811</v>
      </c>
      <c r="H2961" s="43">
        <v>131.48658868981704</v>
      </c>
      <c r="I2961" s="43">
        <v>131.87059634942551</v>
      </c>
    </row>
    <row r="2962" spans="1:9">
      <c r="A2962" s="19">
        <v>655.6</v>
      </c>
      <c r="B2962" s="43">
        <v>126.3179888491573</v>
      </c>
      <c r="C2962" s="43">
        <v>127.56807602177179</v>
      </c>
      <c r="D2962" s="43">
        <v>128.65639121209563</v>
      </c>
      <c r="E2962" s="43">
        <v>129.58630253154803</v>
      </c>
      <c r="F2962" s="43">
        <v>130.36477293917017</v>
      </c>
      <c r="G2962" s="43">
        <v>131.00109026066269</v>
      </c>
      <c r="H2962" s="43">
        <v>131.50583673337638</v>
      </c>
      <c r="I2962" s="43">
        <v>131.89011365186246</v>
      </c>
    </row>
    <row r="2963" spans="1:9">
      <c r="A2963" s="19">
        <v>655.7</v>
      </c>
      <c r="B2963" s="43">
        <v>126.33569994365428</v>
      </c>
      <c r="C2963" s="43">
        <v>127.5860023082937</v>
      </c>
      <c r="D2963" s="43">
        <v>128.67455888820172</v>
      </c>
      <c r="E2963" s="43">
        <v>129.60472992988474</v>
      </c>
      <c r="F2963" s="43">
        <v>130.38347099548452</v>
      </c>
      <c r="G2963" s="43">
        <v>131.02006345115967</v>
      </c>
      <c r="H2963" s="43">
        <v>131.52508420507223</v>
      </c>
      <c r="I2963" s="43">
        <v>131.90963035835597</v>
      </c>
    </row>
    <row r="2964" spans="1:9">
      <c r="A2964" s="19">
        <v>655.8</v>
      </c>
      <c r="B2964" s="43">
        <v>126.35341081292916</v>
      </c>
      <c r="C2964" s="43">
        <v>127.60392829383954</v>
      </c>
      <c r="D2964" s="43">
        <v>128.69272619135234</v>
      </c>
      <c r="E2964" s="43">
        <v>129.62315689057948</v>
      </c>
      <c r="F2964" s="43">
        <v>130.40216855897359</v>
      </c>
      <c r="G2964" s="43">
        <v>131.03903610406104</v>
      </c>
      <c r="H2964" s="43">
        <v>131.54433110494489</v>
      </c>
      <c r="I2964" s="43">
        <v>131.9291464690229</v>
      </c>
    </row>
    <row r="2965" spans="1:9">
      <c r="A2965" s="19">
        <v>655.9</v>
      </c>
      <c r="B2965" s="43">
        <v>126.3711214570817</v>
      </c>
      <c r="C2965" s="43">
        <v>127.62185397848395</v>
      </c>
      <c r="D2965" s="43">
        <v>128.71089312164298</v>
      </c>
      <c r="E2965" s="43">
        <v>129.64158341377009</v>
      </c>
      <c r="F2965" s="43">
        <v>130.42086562973213</v>
      </c>
      <c r="G2965" s="43">
        <v>131.05800821946235</v>
      </c>
      <c r="H2965" s="43">
        <v>131.5635774331634</v>
      </c>
      <c r="I2965" s="43">
        <v>131.94866198396119</v>
      </c>
    </row>
    <row r="2966" spans="1:9">
      <c r="A2966" s="19">
        <v>656</v>
      </c>
      <c r="B2966" s="43">
        <v>126.38883187611307</v>
      </c>
      <c r="C2966" s="43">
        <v>127.63977936229486</v>
      </c>
      <c r="D2966" s="43">
        <v>128.72905967919399</v>
      </c>
      <c r="E2966" s="43">
        <v>129.66000949955946</v>
      </c>
      <c r="F2966" s="43">
        <v>130.43956220789357</v>
      </c>
      <c r="G2966" s="43">
        <v>131.07697979752407</v>
      </c>
      <c r="H2966" s="43">
        <v>131.58282318983981</v>
      </c>
      <c r="I2966" s="43">
        <v>131.96817690328095</v>
      </c>
    </row>
    <row r="2967" spans="1:9">
      <c r="A2967" s="19">
        <v>656.1</v>
      </c>
      <c r="B2967" s="43">
        <v>126.40654207060831</v>
      </c>
      <c r="C2967" s="43">
        <v>127.65770444581392</v>
      </c>
      <c r="D2967" s="43">
        <v>128.74722586447677</v>
      </c>
      <c r="E2967" s="43">
        <v>129.67843514841599</v>
      </c>
      <c r="F2967" s="43">
        <v>130.45825829386888</v>
      </c>
      <c r="G2967" s="43">
        <v>131.09595083858136</v>
      </c>
      <c r="H2967" s="43">
        <v>131.60206837532263</v>
      </c>
      <c r="I2967" s="43">
        <v>131.98769122726605</v>
      </c>
    </row>
    <row r="2968" spans="1:9">
      <c r="A2968" s="19">
        <v>656.2</v>
      </c>
      <c r="B2968" s="43">
        <v>126.42425204031301</v>
      </c>
      <c r="C2968" s="43">
        <v>127.67562922887046</v>
      </c>
      <c r="D2968" s="43">
        <v>128.76539167735484</v>
      </c>
      <c r="E2968" s="43">
        <v>129.69686036022131</v>
      </c>
      <c r="F2968" s="43">
        <v>130.47695388758353</v>
      </c>
      <c r="G2968" s="43">
        <v>131.11492134258805</v>
      </c>
      <c r="H2968" s="43">
        <v>131.62131298951266</v>
      </c>
      <c r="I2968" s="43">
        <v>132.00720495588547</v>
      </c>
    </row>
    <row r="2969" spans="1:9">
      <c r="A2969" s="19">
        <v>656.3</v>
      </c>
      <c r="B2969" s="43">
        <v>126.4419617854783</v>
      </c>
      <c r="C2969" s="43">
        <v>127.69355371166165</v>
      </c>
      <c r="D2969" s="43">
        <v>128.78355711811724</v>
      </c>
      <c r="E2969" s="43">
        <v>129.71528513524538</v>
      </c>
      <c r="F2969" s="43">
        <v>130.49564898927804</v>
      </c>
      <c r="G2969" s="43">
        <v>131.13389130980164</v>
      </c>
      <c r="H2969" s="43">
        <v>131.64055703268889</v>
      </c>
      <c r="I2969" s="43">
        <v>132.02671808935418</v>
      </c>
    </row>
    <row r="2970" spans="1:9">
      <c r="A2970" s="19">
        <v>656.4</v>
      </c>
      <c r="B2970" s="43">
        <v>126.45967130624072</v>
      </c>
      <c r="C2970" s="43">
        <v>127.71147789440693</v>
      </c>
      <c r="D2970" s="43">
        <v>128.80172218690433</v>
      </c>
      <c r="E2970" s="43">
        <v>129.73370947367698</v>
      </c>
      <c r="F2970" s="43">
        <v>130.51434359916055</v>
      </c>
      <c r="G2970" s="43">
        <v>131.15286074039989</v>
      </c>
      <c r="H2970" s="43">
        <v>131.65980050497899</v>
      </c>
      <c r="I2970" s="43">
        <v>132.0462306277924</v>
      </c>
    </row>
    <row r="2971" spans="1:9">
      <c r="A2971" s="19">
        <v>656.5</v>
      </c>
      <c r="B2971" s="43">
        <v>126.47738060272025</v>
      </c>
      <c r="C2971" s="43">
        <v>127.72940177724976</v>
      </c>
      <c r="D2971" s="43">
        <v>128.81988688390891</v>
      </c>
      <c r="E2971" s="43">
        <v>129.75213337567391</v>
      </c>
      <c r="F2971" s="43">
        <v>130.53303771736893</v>
      </c>
      <c r="G2971" s="43">
        <v>131.17182963446487</v>
      </c>
      <c r="H2971" s="43">
        <v>131.67904340649045</v>
      </c>
      <c r="I2971" s="43">
        <v>132.06574257131996</v>
      </c>
    </row>
    <row r="2972" spans="1:9">
      <c r="A2972" s="19">
        <v>656.6</v>
      </c>
      <c r="B2972" s="43">
        <v>126.49508967513336</v>
      </c>
      <c r="C2972" s="43">
        <v>127.74732536032747</v>
      </c>
      <c r="D2972" s="43">
        <v>128.83805120930106</v>
      </c>
      <c r="E2972" s="43">
        <v>129.7705568414176</v>
      </c>
      <c r="F2972" s="43">
        <v>130.55173134405317</v>
      </c>
      <c r="G2972" s="43">
        <v>131.19079799225591</v>
      </c>
      <c r="H2972" s="43">
        <v>131.69828573744149</v>
      </c>
      <c r="I2972" s="43">
        <v>132.08525392004992</v>
      </c>
    </row>
    <row r="2973" spans="1:9">
      <c r="A2973" s="19">
        <v>656.7</v>
      </c>
      <c r="B2973" s="43">
        <v>126.51279852339033</v>
      </c>
      <c r="C2973" s="43">
        <v>127.76524864375023</v>
      </c>
      <c r="D2973" s="43">
        <v>128.85621516313421</v>
      </c>
      <c r="E2973" s="43">
        <v>129.78897987096281</v>
      </c>
      <c r="F2973" s="43">
        <v>130.57042447937351</v>
      </c>
      <c r="G2973" s="43">
        <v>131.20976581377573</v>
      </c>
      <c r="H2973" s="43">
        <v>131.71752749783525</v>
      </c>
      <c r="I2973" s="43">
        <v>132.10476467411252</v>
      </c>
    </row>
    <row r="2974" spans="1:9">
      <c r="A2974" s="19">
        <v>656.8</v>
      </c>
      <c r="B2974" s="43">
        <v>126.53050714795816</v>
      </c>
      <c r="C2974" s="43">
        <v>127.78317162780237</v>
      </c>
      <c r="D2974" s="43">
        <v>128.87437874579859</v>
      </c>
      <c r="E2974" s="43">
        <v>129.80740246468537</v>
      </c>
      <c r="F2974" s="43">
        <v>130.5891171235823</v>
      </c>
      <c r="G2974" s="43">
        <v>131.22873309938285</v>
      </c>
      <c r="H2974" s="43">
        <v>131.73676868802841</v>
      </c>
      <c r="I2974" s="43">
        <v>132.12427483368691</v>
      </c>
    </row>
    <row r="2975" spans="1:9">
      <c r="A2975" s="19">
        <v>656.9</v>
      </c>
      <c r="B2975" s="43">
        <v>126.54821554871771</v>
      </c>
      <c r="C2975" s="43">
        <v>127.80109431253334</v>
      </c>
      <c r="D2975" s="43">
        <v>128.89254195725169</v>
      </c>
      <c r="E2975" s="43">
        <v>129.82582462261718</v>
      </c>
      <c r="F2975" s="43">
        <v>130.6078092767894</v>
      </c>
      <c r="G2975" s="43">
        <v>131.2476998491174</v>
      </c>
      <c r="H2975" s="43">
        <v>131.75600930800675</v>
      </c>
      <c r="I2975" s="43">
        <v>132.14378439886997</v>
      </c>
    </row>
    <row r="2976" spans="1:9">
      <c r="A2976" s="19">
        <v>657</v>
      </c>
      <c r="B2976" s="43">
        <v>126.56592372597177</v>
      </c>
      <c r="C2976" s="43">
        <v>127.8190166981523</v>
      </c>
      <c r="D2976" s="43">
        <v>128.91070479781069</v>
      </c>
      <c r="E2976" s="43">
        <v>129.84424634501892</v>
      </c>
      <c r="F2976" s="43">
        <v>130.62650093916466</v>
      </c>
      <c r="G2976" s="43">
        <v>131.26666606317934</v>
      </c>
      <c r="H2976" s="43">
        <v>131.7752493580013</v>
      </c>
      <c r="I2976" s="43">
        <v>132.16329336982233</v>
      </c>
    </row>
    <row r="2977" spans="1:9">
      <c r="A2977" s="19">
        <v>657.1</v>
      </c>
      <c r="B2977" s="43">
        <v>126.58363167969242</v>
      </c>
      <c r="C2977" s="43">
        <v>127.83693878473201</v>
      </c>
      <c r="D2977" s="43">
        <v>128.92886726752033</v>
      </c>
      <c r="E2977" s="43">
        <v>129.86266763196835</v>
      </c>
      <c r="F2977" s="43">
        <v>130.64519211087202</v>
      </c>
      <c r="G2977" s="43">
        <v>131.28563174167977</v>
      </c>
      <c r="H2977" s="43">
        <v>131.79448883812233</v>
      </c>
      <c r="I2977" s="43">
        <v>132.18280174663175</v>
      </c>
    </row>
    <row r="2978" spans="1:9">
      <c r="A2978" s="19">
        <v>657.2</v>
      </c>
      <c r="B2978" s="43">
        <v>126.60133941015013</v>
      </c>
      <c r="C2978" s="43">
        <v>127.85486057257174</v>
      </c>
      <c r="D2978" s="43">
        <v>128.94702936661895</v>
      </c>
      <c r="E2978" s="43">
        <v>129.88108848369063</v>
      </c>
      <c r="F2978" s="43">
        <v>130.66388279209548</v>
      </c>
      <c r="G2978" s="43">
        <v>131.30459688485269</v>
      </c>
      <c r="H2978" s="43">
        <v>131.81372774853611</v>
      </c>
      <c r="I2978" s="43">
        <v>132.20230952946196</v>
      </c>
    </row>
    <row r="2979" spans="1:9">
      <c r="A2979" s="19">
        <v>657.3</v>
      </c>
      <c r="B2979" s="43">
        <v>126.61904691730186</v>
      </c>
      <c r="C2979" s="43">
        <v>127.87278206159252</v>
      </c>
      <c r="D2979" s="43">
        <v>128.96519109518249</v>
      </c>
      <c r="E2979" s="43">
        <v>129.89950890029382</v>
      </c>
      <c r="F2979" s="43">
        <v>130.68257298291979</v>
      </c>
      <c r="G2979" s="43">
        <v>131.32356149273301</v>
      </c>
      <c r="H2979" s="43">
        <v>131.83296608932267</v>
      </c>
      <c r="I2979" s="43">
        <v>132.22181671839354</v>
      </c>
    </row>
    <row r="2980" spans="1:9">
      <c r="A2980" s="19">
        <v>657.4</v>
      </c>
      <c r="B2980" s="43">
        <v>126.6367542015399</v>
      </c>
      <c r="C2980" s="43">
        <v>127.89070325222141</v>
      </c>
      <c r="D2980" s="43">
        <v>128.98335245355315</v>
      </c>
      <c r="E2980" s="43">
        <v>129.91792888203867</v>
      </c>
      <c r="F2980" s="43">
        <v>130.70126268364254</v>
      </c>
      <c r="G2980" s="43">
        <v>131.34252556561222</v>
      </c>
      <c r="H2980" s="43">
        <v>131.85220386070483</v>
      </c>
      <c r="I2980" s="43">
        <v>132.2413233136283</v>
      </c>
    </row>
    <row r="2981" spans="1:9">
      <c r="A2981" s="19">
        <v>657.5</v>
      </c>
      <c r="B2981" s="43">
        <v>126.6544612628451</v>
      </c>
      <c r="C2981" s="43">
        <v>127.90862414446167</v>
      </c>
      <c r="D2981" s="43">
        <v>129.00151344178306</v>
      </c>
      <c r="E2981" s="43">
        <v>129.93634842907682</v>
      </c>
      <c r="F2981" s="43">
        <v>130.71995189439775</v>
      </c>
      <c r="G2981" s="43">
        <v>131.3614891036375</v>
      </c>
      <c r="H2981" s="43">
        <v>131.87144106284427</v>
      </c>
      <c r="I2981" s="43">
        <v>132.26082931527918</v>
      </c>
    </row>
    <row r="2982" spans="1:9">
      <c r="A2982" s="19">
        <v>657.6</v>
      </c>
      <c r="B2982" s="43">
        <v>126.6721681014281</v>
      </c>
      <c r="C2982" s="43">
        <v>127.92654473855148</v>
      </c>
      <c r="D2982" s="43">
        <v>129.01967406008805</v>
      </c>
      <c r="E2982" s="43">
        <v>129.95476754157227</v>
      </c>
      <c r="F2982" s="43">
        <v>130.73864061534209</v>
      </c>
      <c r="G2982" s="43">
        <v>131.38045210693303</v>
      </c>
      <c r="H2982" s="43">
        <v>131.89067769584653</v>
      </c>
      <c r="I2982" s="43">
        <v>132.2803347234759</v>
      </c>
    </row>
    <row r="2983" spans="1:9">
      <c r="A2983" s="19">
        <v>657.7</v>
      </c>
      <c r="B2983" s="43">
        <v>126.68987471735346</v>
      </c>
      <c r="C2983" s="43">
        <v>127.94446503458803</v>
      </c>
      <c r="D2983" s="43">
        <v>129.03783430860165</v>
      </c>
      <c r="E2983" s="43">
        <v>129.97318621970561</v>
      </c>
      <c r="F2983" s="43">
        <v>130.75732884666184</v>
      </c>
      <c r="G2983" s="43">
        <v>131.39941457567852</v>
      </c>
      <c r="H2983" s="43">
        <v>131.90991375990507</v>
      </c>
      <c r="I2983" s="43">
        <v>132.29983953835165</v>
      </c>
    </row>
    <row r="2984" spans="1:9">
      <c r="A2984" s="19">
        <v>657.8</v>
      </c>
      <c r="B2984" s="43">
        <v>126.70758111072075</v>
      </c>
      <c r="C2984" s="43">
        <v>127.96238503267739</v>
      </c>
      <c r="D2984" s="43">
        <v>129.05599418744151</v>
      </c>
      <c r="E2984" s="43">
        <v>129.99160446356569</v>
      </c>
      <c r="F2984" s="43">
        <v>130.77601658842428</v>
      </c>
      <c r="G2984" s="43">
        <v>131.41837650997496</v>
      </c>
      <c r="H2984" s="43">
        <v>131.92914925507199</v>
      </c>
      <c r="I2984" s="43">
        <v>132.3193437599914</v>
      </c>
    </row>
    <row r="2985" spans="1:9">
      <c r="A2985" s="19">
        <v>657.9</v>
      </c>
      <c r="B2985" s="43">
        <v>126.7252872817516</v>
      </c>
      <c r="C2985" s="43">
        <v>127.98030473307057</v>
      </c>
      <c r="D2985" s="43">
        <v>129.07415369685174</v>
      </c>
      <c r="E2985" s="43">
        <v>130.01002227341468</v>
      </c>
      <c r="F2985" s="43">
        <v>130.79470384091991</v>
      </c>
      <c r="G2985" s="43">
        <v>131.43733791004036</v>
      </c>
      <c r="H2985" s="43">
        <v>131.94838418156587</v>
      </c>
      <c r="I2985" s="43">
        <v>132.33884738858399</v>
      </c>
    </row>
    <row r="2986" spans="1:9">
      <c r="A2986" s="19">
        <v>658</v>
      </c>
      <c r="B2986" s="43">
        <v>126.74299323043743</v>
      </c>
      <c r="C2986" s="43">
        <v>127.99822413577033</v>
      </c>
      <c r="D2986" s="43">
        <v>129.09231283687285</v>
      </c>
      <c r="E2986" s="43">
        <v>130.02843964930349</v>
      </c>
      <c r="F2986" s="43">
        <v>130.81339060420521</v>
      </c>
      <c r="G2986" s="43">
        <v>131.45629877595951</v>
      </c>
      <c r="H2986" s="43">
        <v>131.96761853949209</v>
      </c>
      <c r="I2986" s="43">
        <v>132.35835042419683</v>
      </c>
    </row>
    <row r="2987" spans="1:9">
      <c r="A2987" s="19">
        <v>658.1</v>
      </c>
      <c r="B2987" s="43">
        <v>126.76069895728639</v>
      </c>
      <c r="C2987" s="43">
        <v>128.01614324121266</v>
      </c>
      <c r="D2987" s="43">
        <v>129.11047160798387</v>
      </c>
      <c r="E2987" s="43">
        <v>130.04685659168729</v>
      </c>
      <c r="F2987" s="43">
        <v>130.83207687865303</v>
      </c>
      <c r="G2987" s="43">
        <v>131.47525910806883</v>
      </c>
      <c r="H2987" s="43">
        <v>131.98685232910094</v>
      </c>
      <c r="I2987" s="43">
        <v>132.37785286707697</v>
      </c>
    </row>
    <row r="2988" spans="1:9">
      <c r="A2988" s="19">
        <v>658.2</v>
      </c>
      <c r="B2988" s="43">
        <v>126.77840446202282</v>
      </c>
      <c r="C2988" s="43">
        <v>128.03406204933191</v>
      </c>
      <c r="D2988" s="43">
        <v>129.12863001000483</v>
      </c>
      <c r="E2988" s="43">
        <v>130.06527310043253</v>
      </c>
      <c r="F2988" s="43">
        <v>130.85076266421197</v>
      </c>
      <c r="G2988" s="43">
        <v>131.49421890633721</v>
      </c>
      <c r="H2988" s="43">
        <v>132.00608555042965</v>
      </c>
      <c r="I2988" s="43">
        <v>132.39735471727073</v>
      </c>
    </row>
    <row r="2989" spans="1:9">
      <c r="A2989" s="19">
        <v>658.3</v>
      </c>
      <c r="B2989" s="43">
        <v>126.7961097449317</v>
      </c>
      <c r="C2989" s="43">
        <v>128.05198056029167</v>
      </c>
      <c r="D2989" s="43">
        <v>129.14678804324973</v>
      </c>
      <c r="E2989" s="43">
        <v>130.08368917583397</v>
      </c>
      <c r="F2989" s="43">
        <v>130.86944796110856</v>
      </c>
      <c r="G2989" s="43">
        <v>131.5131781710071</v>
      </c>
      <c r="H2989" s="43">
        <v>132.02531820362458</v>
      </c>
      <c r="I2989" s="43">
        <v>132.41685597487503</v>
      </c>
    </row>
    <row r="2990" spans="1:9">
      <c r="A2990" s="19">
        <v>658.4</v>
      </c>
      <c r="B2990" s="43">
        <v>126.81381480620396</v>
      </c>
      <c r="C2990" s="43">
        <v>128.06989877430124</v>
      </c>
      <c r="D2990" s="43">
        <v>129.16494570787847</v>
      </c>
      <c r="E2990" s="43">
        <v>130.10210481805177</v>
      </c>
      <c r="F2990" s="43">
        <v>130.88813276956068</v>
      </c>
      <c r="G2990" s="43">
        <v>131.53213690222373</v>
      </c>
      <c r="H2990" s="43">
        <v>132.04455028890465</v>
      </c>
      <c r="I2990" s="43">
        <v>132.43635664010242</v>
      </c>
    </row>
    <row r="2991" spans="1:9">
      <c r="A2991" s="19">
        <v>658.5</v>
      </c>
      <c r="B2991" s="43">
        <v>126.83151964592651</v>
      </c>
      <c r="C2991" s="43">
        <v>128.08781669151637</v>
      </c>
      <c r="D2991" s="43">
        <v>129.18310300407319</v>
      </c>
      <c r="E2991" s="43">
        <v>130.12052002727336</v>
      </c>
      <c r="F2991" s="43">
        <v>130.90681708972073</v>
      </c>
      <c r="G2991" s="43">
        <v>131.55109510017854</v>
      </c>
      <c r="H2991" s="43">
        <v>132.06378180639166</v>
      </c>
      <c r="I2991" s="43">
        <v>132.4558567130573</v>
      </c>
    </row>
    <row r="2992" spans="1:9">
      <c r="A2992" s="19">
        <v>658.6</v>
      </c>
      <c r="B2992" s="43">
        <v>126.84922426420812</v>
      </c>
      <c r="C2992" s="43">
        <v>128.105734312116</v>
      </c>
      <c r="D2992" s="43">
        <v>129.20125993198184</v>
      </c>
      <c r="E2992" s="43">
        <v>130.13893480366642</v>
      </c>
      <c r="F2992" s="43">
        <v>130.92550092175776</v>
      </c>
      <c r="G2992" s="43">
        <v>131.57005276499893</v>
      </c>
      <c r="H2992" s="43">
        <v>132.083012756203</v>
      </c>
      <c r="I2992" s="43">
        <v>132.47535619385735</v>
      </c>
    </row>
    <row r="2993" spans="1:9">
      <c r="A2993" s="19">
        <v>658.7</v>
      </c>
      <c r="B2993" s="43">
        <v>126.86692866111841</v>
      </c>
      <c r="C2993" s="43">
        <v>128.12365163608382</v>
      </c>
      <c r="D2993" s="43">
        <v>129.21941649164393</v>
      </c>
      <c r="E2993" s="43">
        <v>130.15734914727011</v>
      </c>
      <c r="F2993" s="43">
        <v>130.94418426572304</v>
      </c>
      <c r="G2993" s="43">
        <v>131.58900989677545</v>
      </c>
      <c r="H2993" s="43">
        <v>132.10224313844878</v>
      </c>
      <c r="I2993" s="43">
        <v>132.49485508258141</v>
      </c>
    </row>
    <row r="2994" spans="1:9">
      <c r="A2994" s="19">
        <v>658.8</v>
      </c>
      <c r="B2994" s="43">
        <v>126.88463283703325</v>
      </c>
      <c r="C2994" s="43">
        <v>128.14156866384985</v>
      </c>
      <c r="D2994" s="43">
        <v>129.23757268352665</v>
      </c>
      <c r="E2994" s="43">
        <v>130.17576305851469</v>
      </c>
      <c r="F2994" s="43">
        <v>130.96286712203363</v>
      </c>
      <c r="G2994" s="43">
        <v>131.60796649587564</v>
      </c>
      <c r="H2994" s="43">
        <v>132.12147295343271</v>
      </c>
      <c r="I2994" s="43">
        <v>132.51435337951108</v>
      </c>
    </row>
    <row r="2995" spans="1:9">
      <c r="A2995" s="19">
        <v>658.9</v>
      </c>
      <c r="B2995" s="43">
        <v>126.90233679189333</v>
      </c>
      <c r="C2995" s="43">
        <v>128.15948539537919</v>
      </c>
      <c r="D2995" s="43">
        <v>129.25572850757931</v>
      </c>
      <c r="E2995" s="43">
        <v>130.19417653739293</v>
      </c>
      <c r="F2995" s="43">
        <v>130.98154949066139</v>
      </c>
      <c r="G2995" s="43">
        <v>131.62692256229207</v>
      </c>
      <c r="H2995" s="43">
        <v>132.14070220116992</v>
      </c>
      <c r="I2995" s="43">
        <v>132.53385108468393</v>
      </c>
    </row>
    <row r="2996" spans="1:9">
      <c r="A2996" s="19">
        <v>659</v>
      </c>
      <c r="B2996" s="43">
        <v>126.92004052591645</v>
      </c>
      <c r="C2996" s="43">
        <v>128.17740183090984</v>
      </c>
      <c r="D2996" s="43">
        <v>129.27388396399942</v>
      </c>
      <c r="E2996" s="43">
        <v>130.21258958410357</v>
      </c>
      <c r="F2996" s="43">
        <v>131.00023137186372</v>
      </c>
      <c r="G2996" s="43">
        <v>131.64587809620554</v>
      </c>
      <c r="H2996" s="43">
        <v>132.15993088185519</v>
      </c>
      <c r="I2996" s="43">
        <v>132.55334819821621</v>
      </c>
    </row>
    <row r="2997" spans="1:9">
      <c r="A2997" s="19">
        <v>659.1</v>
      </c>
      <c r="B2997" s="43">
        <v>126.93774403911888</v>
      </c>
      <c r="C2997" s="43">
        <v>128.19531797053094</v>
      </c>
      <c r="D2997" s="43">
        <v>129.29203905295446</v>
      </c>
      <c r="E2997" s="43">
        <v>130.23100219883247</v>
      </c>
      <c r="F2997" s="43">
        <v>131.01891276569154</v>
      </c>
      <c r="G2997" s="43">
        <v>131.66483309777681</v>
      </c>
      <c r="H2997" s="43">
        <v>132.17915899560023</v>
      </c>
      <c r="I2997" s="43">
        <v>132.57284472025009</v>
      </c>
    </row>
    <row r="2998" spans="1:9">
      <c r="A2998" s="19">
        <v>659.2</v>
      </c>
      <c r="B2998" s="43">
        <v>126.95544733172224</v>
      </c>
      <c r="C2998" s="43">
        <v>128.21323381439686</v>
      </c>
      <c r="D2998" s="43">
        <v>129.31019377456704</v>
      </c>
      <c r="E2998" s="43">
        <v>130.24941438171214</v>
      </c>
      <c r="F2998" s="43">
        <v>131.0375936724281</v>
      </c>
      <c r="G2998" s="43">
        <v>131.68378756716299</v>
      </c>
      <c r="H2998" s="43">
        <v>132.19838654254863</v>
      </c>
      <c r="I2998" s="43">
        <v>132.59234065092301</v>
      </c>
    </row>
    <row r="2999" spans="1:9">
      <c r="A2999" s="19">
        <v>659.3</v>
      </c>
      <c r="B2999" s="43">
        <v>126.97315040377245</v>
      </c>
      <c r="C2999" s="43">
        <v>128.23114936260873</v>
      </c>
      <c r="D2999" s="43">
        <v>129.32834812904986</v>
      </c>
      <c r="E2999" s="43">
        <v>130.26782613289294</v>
      </c>
      <c r="F2999" s="43">
        <v>131.05627409216436</v>
      </c>
      <c r="G2999" s="43">
        <v>131.70274150452843</v>
      </c>
      <c r="H2999" s="43">
        <v>132.21761352285898</v>
      </c>
      <c r="I2999" s="43">
        <v>132.61183599035769</v>
      </c>
    </row>
    <row r="3000" spans="1:9">
      <c r="A3000" s="19">
        <v>659.4</v>
      </c>
      <c r="B3000" s="43">
        <v>126.99085325570616</v>
      </c>
      <c r="C3000" s="43">
        <v>128.24906461561278</v>
      </c>
      <c r="D3000" s="43">
        <v>129.3465021167263</v>
      </c>
      <c r="E3000" s="43">
        <v>130.28623745276451</v>
      </c>
      <c r="F3000" s="43">
        <v>131.07495402522187</v>
      </c>
      <c r="G3000" s="43">
        <v>131.72169491014648</v>
      </c>
      <c r="H3000" s="43">
        <v>132.23683993678185</v>
      </c>
      <c r="I3000" s="43">
        <v>132.63133073877339</v>
      </c>
    </row>
    <row r="3001" spans="1:9">
      <c r="A3001" s="19">
        <v>659.5</v>
      </c>
      <c r="B3001" s="43">
        <v>127.00855588733484</v>
      </c>
      <c r="C3001" s="43">
        <v>128.26697957326161</v>
      </c>
      <c r="D3001" s="43">
        <v>129.36465573751104</v>
      </c>
      <c r="E3001" s="43">
        <v>130.30464834123347</v>
      </c>
      <c r="F3001" s="43">
        <v>131.0936334715912</v>
      </c>
      <c r="G3001" s="43">
        <v>131.7406477839998</v>
      </c>
      <c r="H3001" s="43">
        <v>132.25606578432547</v>
      </c>
      <c r="I3001" s="43">
        <v>132.65082489617572</v>
      </c>
    </row>
    <row r="3002" spans="1:9">
      <c r="A3002" s="19">
        <v>659.6</v>
      </c>
      <c r="B3002" s="43">
        <v>127.02625829887924</v>
      </c>
      <c r="C3002" s="43">
        <v>128.28489423583568</v>
      </c>
      <c r="D3002" s="43">
        <v>129.38280899170718</v>
      </c>
      <c r="E3002" s="43">
        <v>130.32305879859683</v>
      </c>
      <c r="F3002" s="43">
        <v>131.11231243155294</v>
      </c>
      <c r="G3002" s="43">
        <v>131.75960012637086</v>
      </c>
      <c r="H3002" s="43">
        <v>132.27529106569494</v>
      </c>
      <c r="I3002" s="43">
        <v>132.6703184627728</v>
      </c>
    </row>
    <row r="3003" spans="1:9">
      <c r="A3003" s="19">
        <v>659.7</v>
      </c>
      <c r="B3003" s="43">
        <v>127.04396049045201</v>
      </c>
      <c r="C3003" s="43">
        <v>128.30280860335631</v>
      </c>
      <c r="D3003" s="43">
        <v>129.40096187938991</v>
      </c>
      <c r="E3003" s="43">
        <v>130.34146882492104</v>
      </c>
      <c r="F3003" s="43">
        <v>131.13099090512429</v>
      </c>
      <c r="G3003" s="43">
        <v>131.77855193729084</v>
      </c>
      <c r="H3003" s="43">
        <v>132.29451578099093</v>
      </c>
      <c r="I3003" s="43">
        <v>132.68981143864079</v>
      </c>
    </row>
    <row r="3004" spans="1:9">
      <c r="A3004" s="19">
        <v>659.8</v>
      </c>
      <c r="B3004" s="43">
        <v>127.06166246230464</v>
      </c>
      <c r="C3004" s="43">
        <v>128.32072267615172</v>
      </c>
      <c r="D3004" s="43">
        <v>129.41911440080435</v>
      </c>
      <c r="E3004" s="43">
        <v>130.35987842051418</v>
      </c>
      <c r="F3004" s="43">
        <v>131.14966889265622</v>
      </c>
      <c r="G3004" s="43">
        <v>131.79750321706672</v>
      </c>
      <c r="H3004" s="43">
        <v>132.31373993042985</v>
      </c>
      <c r="I3004" s="43">
        <v>132.70930382395744</v>
      </c>
    </row>
    <row r="3005" spans="1:9">
      <c r="A3005" s="19">
        <v>659.9</v>
      </c>
      <c r="B3005" s="43">
        <v>127.07936421446306</v>
      </c>
      <c r="C3005" s="43">
        <v>128.33863645428875</v>
      </c>
      <c r="D3005" s="43">
        <v>129.43726655611619</v>
      </c>
      <c r="E3005" s="43">
        <v>130.37828758546743</v>
      </c>
      <c r="F3005" s="43">
        <v>131.1683463942237</v>
      </c>
      <c r="G3005" s="43">
        <v>131.81645396576198</v>
      </c>
      <c r="H3005" s="43">
        <v>132.33296351411855</v>
      </c>
      <c r="I3005" s="43">
        <v>132.7287956188303</v>
      </c>
    </row>
    <row r="3006" spans="1:9">
      <c r="A3006" s="19">
        <v>660</v>
      </c>
      <c r="B3006" s="43">
        <v>127.09034682906528</v>
      </c>
      <c r="C3006" s="43">
        <v>128.34943963307569</v>
      </c>
      <c r="D3006" s="43">
        <v>129.44806871640799</v>
      </c>
      <c r="E3006" s="43">
        <v>130.38926326761998</v>
      </c>
      <c r="F3006" s="43">
        <v>131.17965791460642</v>
      </c>
      <c r="G3006" s="43">
        <v>131.82824663348691</v>
      </c>
      <c r="H3006" s="43">
        <v>132.34536358456859</v>
      </c>
      <c r="I3006" s="43">
        <v>132.74191012674083</v>
      </c>
    </row>
    <row r="3007" spans="1:9">
      <c r="A3007" s="19">
        <v>660.1</v>
      </c>
      <c r="B3007" s="43">
        <v>127.10132991729321</v>
      </c>
      <c r="C3007" s="43">
        <v>128.36024264963811</v>
      </c>
      <c r="D3007" s="43">
        <v>129.45886971805402</v>
      </c>
      <c r="E3007" s="43">
        <v>130.40023653259607</v>
      </c>
      <c r="F3007" s="43">
        <v>131.19096559324515</v>
      </c>
      <c r="G3007" s="43">
        <v>131.84003395284338</v>
      </c>
      <c r="H3007" s="43">
        <v>132.35775678565898</v>
      </c>
      <c r="I3007" s="43">
        <v>132.75501628078297</v>
      </c>
    </row>
    <row r="3008" spans="1:9">
      <c r="A3008" s="19">
        <v>660.2</v>
      </c>
      <c r="B3008" s="43">
        <v>127.11903229074409</v>
      </c>
      <c r="C3008" s="43">
        <v>128.37815625906069</v>
      </c>
      <c r="D3008" s="43">
        <v>129.47702056382417</v>
      </c>
      <c r="E3008" s="43">
        <v>130.41864299376954</v>
      </c>
      <c r="F3008" s="43">
        <v>131.20963883198607</v>
      </c>
      <c r="G3008" s="43">
        <v>131.85897878966279</v>
      </c>
      <c r="H3008" s="43">
        <v>132.37697277770877</v>
      </c>
      <c r="I3008" s="43">
        <v>132.77449881838675</v>
      </c>
    </row>
    <row r="3009" spans="1:9">
      <c r="A3009" s="19">
        <v>660.3</v>
      </c>
      <c r="B3009" s="43">
        <v>127.13673444648043</v>
      </c>
      <c r="C3009" s="43">
        <v>128.39606957686169</v>
      </c>
      <c r="D3009" s="43">
        <v>129.49517104751294</v>
      </c>
      <c r="E3009" s="43">
        <v>130.43704902913271</v>
      </c>
      <c r="F3009" s="43">
        <v>131.22831159021524</v>
      </c>
      <c r="G3009" s="43">
        <v>131.87792310127298</v>
      </c>
      <c r="H3009" s="43">
        <v>132.39618821007565</v>
      </c>
      <c r="I3009" s="43">
        <v>132.79398077166513</v>
      </c>
    </row>
    <row r="3010" spans="1:9">
      <c r="A3010" s="19">
        <v>660.4</v>
      </c>
      <c r="B3010" s="43">
        <v>127.15443638465163</v>
      </c>
      <c r="C3010" s="43">
        <v>128.41398260325809</v>
      </c>
      <c r="D3010" s="43">
        <v>129.51332116932457</v>
      </c>
      <c r="E3010" s="43">
        <v>130.45545463891375</v>
      </c>
      <c r="F3010" s="43">
        <v>131.24698386812133</v>
      </c>
      <c r="G3010" s="43">
        <v>131.89686688785469</v>
      </c>
      <c r="H3010" s="43">
        <v>132.41540308291422</v>
      </c>
      <c r="I3010" s="43">
        <v>132.81346214075705</v>
      </c>
    </row>
    <row r="3011" spans="1:9">
      <c r="A3011" s="19">
        <v>660.5</v>
      </c>
      <c r="B3011" s="43">
        <v>127.17213810521019</v>
      </c>
      <c r="C3011" s="43">
        <v>128.43189533822192</v>
      </c>
      <c r="D3011" s="43">
        <v>129.5314709292042</v>
      </c>
      <c r="E3011" s="43">
        <v>130.47385982315956</v>
      </c>
      <c r="F3011" s="43">
        <v>131.26565566576164</v>
      </c>
      <c r="G3011" s="43">
        <v>131.91581014947388</v>
      </c>
      <c r="H3011" s="43">
        <v>132.4346173963051</v>
      </c>
      <c r="I3011" s="43">
        <v>132.83294292571429</v>
      </c>
    </row>
    <row r="3012" spans="1:9">
      <c r="A3012" s="19">
        <v>660.6</v>
      </c>
      <c r="B3012" s="43">
        <v>127.1898396086718</v>
      </c>
      <c r="C3012" s="43">
        <v>128.44980778229404</v>
      </c>
      <c r="D3012" s="43">
        <v>129.54962032773795</v>
      </c>
      <c r="E3012" s="43">
        <v>130.49226458231635</v>
      </c>
      <c r="F3012" s="43">
        <v>131.28432698359097</v>
      </c>
      <c r="G3012" s="43">
        <v>131.93475288649341</v>
      </c>
      <c r="H3012" s="43">
        <v>132.45383115057092</v>
      </c>
      <c r="I3012" s="43">
        <v>132.85242312683306</v>
      </c>
    </row>
    <row r="3013" spans="1:9">
      <c r="A3013" s="19">
        <v>660.7</v>
      </c>
      <c r="B3013" s="43">
        <v>127.20754089480769</v>
      </c>
      <c r="C3013" s="43">
        <v>128.46771993523708</v>
      </c>
      <c r="D3013" s="43">
        <v>129.56776936469862</v>
      </c>
      <c r="E3013" s="43">
        <v>130.5106689162514</v>
      </c>
      <c r="F3013" s="43">
        <v>131.30299782143283</v>
      </c>
      <c r="G3013" s="43">
        <v>131.95369509888616</v>
      </c>
      <c r="H3013" s="43">
        <v>132.47304434566206</v>
      </c>
      <c r="I3013" s="43">
        <v>132.87190274411512</v>
      </c>
    </row>
    <row r="3014" spans="1:9">
      <c r="A3014" s="19">
        <v>660.8</v>
      </c>
      <c r="B3014" s="43">
        <v>127.22524196397572</v>
      </c>
      <c r="C3014" s="43">
        <v>128.48563179744923</v>
      </c>
      <c r="D3014" s="43">
        <v>129.58591804049212</v>
      </c>
      <c r="E3014" s="43">
        <v>130.52907282532198</v>
      </c>
      <c r="F3014" s="43">
        <v>131.32166817971847</v>
      </c>
      <c r="G3014" s="43">
        <v>131.97263678691422</v>
      </c>
      <c r="H3014" s="43">
        <v>132.49225698185802</v>
      </c>
      <c r="I3014" s="43">
        <v>132.89138177776408</v>
      </c>
    </row>
    <row r="3015" spans="1:9">
      <c r="A3015" s="19">
        <v>660.9</v>
      </c>
      <c r="B3015" s="43">
        <v>127.24294281615443</v>
      </c>
      <c r="C3015" s="43">
        <v>128.50354336892968</v>
      </c>
      <c r="D3015" s="43">
        <v>129.60406635513289</v>
      </c>
      <c r="E3015" s="43">
        <v>130.54747630958485</v>
      </c>
      <c r="F3015" s="43">
        <v>131.34033805844581</v>
      </c>
      <c r="G3015" s="43">
        <v>131.99157795067953</v>
      </c>
      <c r="H3015" s="43">
        <v>132.51146905923429</v>
      </c>
      <c r="I3015" s="43">
        <v>132.91086022784606</v>
      </c>
    </row>
    <row r="3016" spans="1:9">
      <c r="A3016" s="19">
        <v>661</v>
      </c>
      <c r="B3016" s="43">
        <v>127.26064345152759</v>
      </c>
      <c r="C3016" s="43">
        <v>128.5214546498745</v>
      </c>
      <c r="D3016" s="43">
        <v>129.62221430882846</v>
      </c>
      <c r="E3016" s="43">
        <v>130.56587936924097</v>
      </c>
      <c r="F3016" s="43">
        <v>131.35900745783243</v>
      </c>
      <c r="G3016" s="43">
        <v>132.01051859032953</v>
      </c>
      <c r="H3016" s="43">
        <v>132.53068057796571</v>
      </c>
      <c r="I3016" s="43">
        <v>132.9303380945031</v>
      </c>
    </row>
    <row r="3017" spans="1:9">
      <c r="A3017" s="19">
        <v>661.1</v>
      </c>
      <c r="B3017" s="43">
        <v>127.27834387029404</v>
      </c>
      <c r="C3017" s="43">
        <v>128.53936564049297</v>
      </c>
      <c r="D3017" s="43">
        <v>129.64036190179928</v>
      </c>
      <c r="E3017" s="43">
        <v>130.5842820045267</v>
      </c>
      <c r="F3017" s="43">
        <v>131.37767637806525</v>
      </c>
      <c r="G3017" s="43">
        <v>132.02945870607573</v>
      </c>
      <c r="H3017" s="43">
        <v>132.54989153818525</v>
      </c>
      <c r="I3017" s="43">
        <v>132.94981537792057</v>
      </c>
    </row>
    <row r="3018" spans="1:9">
      <c r="A3018" s="19">
        <v>661.2</v>
      </c>
      <c r="B3018" s="43">
        <v>127.29604407241933</v>
      </c>
      <c r="C3018" s="43">
        <v>128.55727634080552</v>
      </c>
      <c r="D3018" s="43">
        <v>129.65850913408701</v>
      </c>
      <c r="E3018" s="43">
        <v>130.60268421546806</v>
      </c>
      <c r="F3018" s="43">
        <v>131.39634481925583</v>
      </c>
      <c r="G3018" s="43">
        <v>132.04839829800028</v>
      </c>
      <c r="H3018" s="43">
        <v>132.56910194002847</v>
      </c>
      <c r="I3018" s="43">
        <v>132.96929207817811</v>
      </c>
    </row>
    <row r="3019" spans="1:9">
      <c r="A3019" s="19">
        <v>661.3</v>
      </c>
      <c r="B3019" s="43">
        <v>127.31374405827651</v>
      </c>
      <c r="C3019" s="43">
        <v>128.57518675112823</v>
      </c>
      <c r="D3019" s="43">
        <v>129.67665600599139</v>
      </c>
      <c r="E3019" s="43">
        <v>130.6210860023773</v>
      </c>
      <c r="F3019" s="43">
        <v>131.41501278164048</v>
      </c>
      <c r="G3019" s="43">
        <v>132.06733736637915</v>
      </c>
      <c r="H3019" s="43">
        <v>132.58831178368308</v>
      </c>
      <c r="I3019" s="43">
        <v>132.98876819544074</v>
      </c>
    </row>
    <row r="3020" spans="1:9">
      <c r="A3020" s="19">
        <v>661.4</v>
      </c>
      <c r="B3020" s="43">
        <v>127.33144382774316</v>
      </c>
      <c r="C3020" s="43">
        <v>128.59309687146003</v>
      </c>
      <c r="D3020" s="43">
        <v>129.69480251755851</v>
      </c>
      <c r="E3020" s="43">
        <v>130.63948736532654</v>
      </c>
      <c r="F3020" s="43">
        <v>131.43368026531471</v>
      </c>
      <c r="G3020" s="43">
        <v>132.0862759112353</v>
      </c>
      <c r="H3020" s="43">
        <v>132.60752106923502</v>
      </c>
      <c r="I3020" s="43">
        <v>133.00824372979741</v>
      </c>
    </row>
    <row r="3021" spans="1:9">
      <c r="A3021" s="19">
        <v>661.5</v>
      </c>
      <c r="B3021" s="43">
        <v>127.34914338100384</v>
      </c>
      <c r="C3021" s="43">
        <v>128.61100670193576</v>
      </c>
      <c r="D3021" s="43">
        <v>129.71294866893481</v>
      </c>
      <c r="E3021" s="43">
        <v>130.65788830442489</v>
      </c>
      <c r="F3021" s="43">
        <v>131.45234727045778</v>
      </c>
      <c r="G3021" s="43">
        <v>132.1052139327503</v>
      </c>
      <c r="H3021" s="43">
        <v>132.62672979683515</v>
      </c>
      <c r="I3021" s="43">
        <v>133.02771868138092</v>
      </c>
    </row>
    <row r="3022" spans="1:9">
      <c r="A3022" s="19">
        <v>661.6</v>
      </c>
      <c r="B3022" s="43">
        <v>127.36684271850621</v>
      </c>
      <c r="C3022" s="43">
        <v>128.62891624302392</v>
      </c>
      <c r="D3022" s="43">
        <v>129.73109446055935</v>
      </c>
      <c r="E3022" s="43">
        <v>130.67628882013418</v>
      </c>
      <c r="F3022" s="43">
        <v>131.47101379740246</v>
      </c>
      <c r="G3022" s="43">
        <v>132.12415143128561</v>
      </c>
      <c r="H3022" s="43">
        <v>132.64593796678685</v>
      </c>
      <c r="I3022" s="43">
        <v>133.047193050445</v>
      </c>
    </row>
    <row r="3023" spans="1:9">
      <c r="A3023" s="19">
        <v>661.7</v>
      </c>
      <c r="B3023" s="43">
        <v>127.38454183996774</v>
      </c>
      <c r="C3023" s="43">
        <v>128.64682549450202</v>
      </c>
      <c r="D3023" s="43">
        <v>129.74923989227608</v>
      </c>
      <c r="E3023" s="43">
        <v>130.69468891232464</v>
      </c>
      <c r="F3023" s="43">
        <v>131.48967984605673</v>
      </c>
      <c r="G3023" s="43">
        <v>132.14308840674806</v>
      </c>
      <c r="H3023" s="43">
        <v>132.66514557904151</v>
      </c>
      <c r="I3023" s="43">
        <v>133.06666683698131</v>
      </c>
    </row>
    <row r="3024" spans="1:9">
      <c r="A3024" s="19">
        <v>661.8</v>
      </c>
      <c r="B3024" s="43">
        <v>127.40224074570665</v>
      </c>
      <c r="C3024" s="43">
        <v>128.6647344566864</v>
      </c>
      <c r="D3024" s="43">
        <v>129.7673849643524</v>
      </c>
      <c r="E3024" s="43">
        <v>130.71308858123132</v>
      </c>
      <c r="F3024" s="43">
        <v>131.50834541673817</v>
      </c>
      <c r="G3024" s="43">
        <v>132.16202485938243</v>
      </c>
      <c r="H3024" s="43">
        <v>132.68435263380661</v>
      </c>
      <c r="I3024" s="43">
        <v>133.08614004114622</v>
      </c>
    </row>
    <row r="3025" spans="1:9">
      <c r="A3025" s="19">
        <v>661.9</v>
      </c>
      <c r="B3025" s="43">
        <v>127.41993943586655</v>
      </c>
      <c r="C3025" s="43">
        <v>128.68264312973196</v>
      </c>
      <c r="D3025" s="43">
        <v>129.78552967698715</v>
      </c>
      <c r="E3025" s="43">
        <v>130.73148782708421</v>
      </c>
      <c r="F3025" s="43">
        <v>131.52701050956188</v>
      </c>
      <c r="G3025" s="43">
        <v>132.18096078937396</v>
      </c>
      <c r="H3025" s="43">
        <v>132.70355913125064</v>
      </c>
      <c r="I3025" s="43">
        <v>133.10561266311333</v>
      </c>
    </row>
    <row r="3026" spans="1:9">
      <c r="A3026" s="19">
        <v>662</v>
      </c>
      <c r="B3026" s="43">
        <v>127.43763791051731</v>
      </c>
      <c r="C3026" s="43">
        <v>128.70055151369604</v>
      </c>
      <c r="D3026" s="43">
        <v>129.80367403031414</v>
      </c>
      <c r="E3026" s="43">
        <v>130.74988664999893</v>
      </c>
      <c r="F3026" s="43">
        <v>131.54567512470976</v>
      </c>
      <c r="G3026" s="43">
        <v>132.19989619682849</v>
      </c>
      <c r="H3026" s="43">
        <v>132.72276507151173</v>
      </c>
      <c r="I3026" s="43">
        <v>133.12508470298542</v>
      </c>
    </row>
    <row r="3027" spans="1:9">
      <c r="A3027" s="19">
        <v>662.1</v>
      </c>
      <c r="B3027" s="43">
        <v>127.45533616976402</v>
      </c>
      <c r="C3027" s="43">
        <v>128.71845960880142</v>
      </c>
      <c r="D3027" s="43">
        <v>129.82181802444262</v>
      </c>
      <c r="E3027" s="43">
        <v>130.76828505014652</v>
      </c>
      <c r="F3027" s="43">
        <v>131.56433926228652</v>
      </c>
      <c r="G3027" s="43">
        <v>132.2188310819318</v>
      </c>
      <c r="H3027" s="43">
        <v>132.7419704546935</v>
      </c>
      <c r="I3027" s="43">
        <v>133.14455616086417</v>
      </c>
    </row>
    <row r="3028" spans="1:9">
      <c r="A3028" s="19">
        <v>662.2</v>
      </c>
      <c r="B3028" s="43">
        <v>127.47303421383546</v>
      </c>
      <c r="C3028" s="43">
        <v>128.73636741519471</v>
      </c>
      <c r="D3028" s="43">
        <v>129.83996165963617</v>
      </c>
      <c r="E3028" s="43">
        <v>130.78668302772309</v>
      </c>
      <c r="F3028" s="43">
        <v>131.58300292258349</v>
      </c>
      <c r="G3028" s="43">
        <v>132.23776544485872</v>
      </c>
      <c r="H3028" s="43">
        <v>132.76117528100627</v>
      </c>
      <c r="I3028" s="43">
        <v>133.16402703694234</v>
      </c>
    </row>
    <row r="3029" spans="1:9">
      <c r="A3029" s="19">
        <v>662.3</v>
      </c>
      <c r="B3029" s="43">
        <v>127.49073204286529</v>
      </c>
      <c r="C3029" s="43">
        <v>128.75427493308916</v>
      </c>
      <c r="D3029" s="43">
        <v>129.85810493604225</v>
      </c>
      <c r="E3029" s="43">
        <v>130.80508058290263</v>
      </c>
      <c r="F3029" s="43">
        <v>131.60166610571457</v>
      </c>
      <c r="G3029" s="43">
        <v>132.25669928578776</v>
      </c>
      <c r="H3029" s="43">
        <v>132.78037955060256</v>
      </c>
      <c r="I3029" s="43">
        <v>133.18349733137387</v>
      </c>
    </row>
    <row r="3030" spans="1:9">
      <c r="A3030" s="19">
        <v>662.4</v>
      </c>
      <c r="B3030" s="43">
        <v>127.50842965686326</v>
      </c>
      <c r="C3030" s="43">
        <v>128.77218216249628</v>
      </c>
      <c r="D3030" s="43">
        <v>129.87624785373907</v>
      </c>
      <c r="E3030" s="43">
        <v>130.82347771580396</v>
      </c>
      <c r="F3030" s="43">
        <v>131.62032881178527</v>
      </c>
      <c r="G3030" s="43">
        <v>132.27563260479877</v>
      </c>
      <c r="H3030" s="43">
        <v>132.79958326357308</v>
      </c>
      <c r="I3030" s="43">
        <v>133.20296704420127</v>
      </c>
    </row>
    <row r="3031" spans="1:9">
      <c r="A3031" s="19">
        <v>662.5</v>
      </c>
      <c r="B3031" s="43">
        <v>127.52612705597588</v>
      </c>
      <c r="C3031" s="43">
        <v>128.79008910358158</v>
      </c>
      <c r="D3031" s="43">
        <v>129.89439041292081</v>
      </c>
      <c r="E3031" s="43">
        <v>130.84187442657344</v>
      </c>
      <c r="F3031" s="43">
        <v>131.63899104097504</v>
      </c>
      <c r="G3031" s="43">
        <v>132.29456540205211</v>
      </c>
      <c r="H3031" s="43">
        <v>132.81878642003306</v>
      </c>
      <c r="I3031" s="43">
        <v>133.22243617556734</v>
      </c>
    </row>
    <row r="3032" spans="1:9">
      <c r="A3032" s="19">
        <v>662.6</v>
      </c>
      <c r="B3032" s="43">
        <v>127.54382424054177</v>
      </c>
      <c r="C3032" s="43">
        <v>128.80799575670022</v>
      </c>
      <c r="D3032" s="43">
        <v>129.91253261386265</v>
      </c>
      <c r="E3032" s="43">
        <v>130.86027071556032</v>
      </c>
      <c r="F3032" s="43">
        <v>131.65765279358953</v>
      </c>
      <c r="G3032" s="43">
        <v>132.31349767783956</v>
      </c>
      <c r="H3032" s="43">
        <v>132.83798902028201</v>
      </c>
      <c r="I3032" s="43">
        <v>133.24190472570154</v>
      </c>
    </row>
    <row r="3033" spans="1:9">
      <c r="A3033" s="19">
        <v>662.7</v>
      </c>
      <c r="B3033" s="43">
        <v>127.56152121043093</v>
      </c>
      <c r="C3033" s="43">
        <v>128.82590212174478</v>
      </c>
      <c r="D3033" s="43">
        <v>129.93067445658119</v>
      </c>
      <c r="E3033" s="43">
        <v>130.87866658269309</v>
      </c>
      <c r="F3033" s="43">
        <v>131.67631406958901</v>
      </c>
      <c r="G3033" s="43">
        <v>132.33242943218323</v>
      </c>
      <c r="H3033" s="43">
        <v>132.8571910642973</v>
      </c>
      <c r="I3033" s="43">
        <v>133.26137269462674</v>
      </c>
    </row>
    <row r="3034" spans="1:9">
      <c r="A3034" s="19">
        <v>662.8</v>
      </c>
      <c r="B3034" s="43">
        <v>127.57921796594988</v>
      </c>
      <c r="C3034" s="43">
        <v>128.84380819902623</v>
      </c>
      <c r="D3034" s="43">
        <v>129.94881594129748</v>
      </c>
      <c r="E3034" s="43">
        <v>130.89706202829291</v>
      </c>
      <c r="F3034" s="43">
        <v>131.69497486926434</v>
      </c>
      <c r="G3034" s="43">
        <v>132.35136066527792</v>
      </c>
      <c r="H3034" s="43">
        <v>132.87639255231829</v>
      </c>
      <c r="I3034" s="43">
        <v>133.28084008253046</v>
      </c>
    </row>
    <row r="3035" spans="1:9">
      <c r="A3035" s="19">
        <v>662.9</v>
      </c>
      <c r="B3035" s="43">
        <v>127.59691450710167</v>
      </c>
      <c r="C3035" s="43">
        <v>128.86171398861404</v>
      </c>
      <c r="D3035" s="43">
        <v>129.96695706816962</v>
      </c>
      <c r="E3035" s="43">
        <v>130.91545705245494</v>
      </c>
      <c r="F3035" s="43">
        <v>131.71363519272091</v>
      </c>
      <c r="G3035" s="43">
        <v>132.37029137728439</v>
      </c>
      <c r="H3035" s="43">
        <v>132.89559348448211</v>
      </c>
      <c r="I3035" s="43">
        <v>133.30030688953156</v>
      </c>
    </row>
    <row r="3036" spans="1:9">
      <c r="A3036" s="19">
        <v>663</v>
      </c>
      <c r="B3036" s="43">
        <v>127.61461083417922</v>
      </c>
      <c r="C3036" s="43">
        <v>128.87961949075839</v>
      </c>
      <c r="D3036" s="43">
        <v>129.9850978374181</v>
      </c>
      <c r="E3036" s="43">
        <v>130.93385165541758</v>
      </c>
      <c r="F3036" s="43">
        <v>131.732295040248</v>
      </c>
      <c r="G3036" s="43">
        <v>132.38922156842631</v>
      </c>
      <c r="H3036" s="43">
        <v>132.91479386093891</v>
      </c>
      <c r="I3036" s="43">
        <v>133.31977311579101</v>
      </c>
    </row>
    <row r="3037" spans="1:9">
      <c r="A3037" s="19">
        <v>663.1</v>
      </c>
      <c r="B3037" s="43">
        <v>127.63230694711294</v>
      </c>
      <c r="C3037" s="43">
        <v>128.89752470545471</v>
      </c>
      <c r="D3037" s="43">
        <v>130.00323824910078</v>
      </c>
      <c r="E3037" s="43">
        <v>130.95224583726446</v>
      </c>
      <c r="F3037" s="43">
        <v>131.75095441182464</v>
      </c>
      <c r="G3037" s="43">
        <v>132.40815123872238</v>
      </c>
      <c r="H3037" s="43">
        <v>132.93399368176728</v>
      </c>
      <c r="I3037" s="43">
        <v>133.33923876138397</v>
      </c>
    </row>
    <row r="3038" spans="1:9">
      <c r="A3038" s="19">
        <v>663.2</v>
      </c>
      <c r="B3038" s="43">
        <v>127.65000284613799</v>
      </c>
      <c r="C3038" s="43">
        <v>128.91542963296615</v>
      </c>
      <c r="D3038" s="43">
        <v>130.02137830339854</v>
      </c>
      <c r="E3038" s="43">
        <v>130.97063959819047</v>
      </c>
      <c r="F3038" s="43">
        <v>131.76961330774725</v>
      </c>
      <c r="G3038" s="43">
        <v>132.42708038844756</v>
      </c>
      <c r="H3038" s="43">
        <v>132.95319294719599</v>
      </c>
      <c r="I3038" s="43">
        <v>133.35870382646817</v>
      </c>
    </row>
    <row r="3039" spans="1:9">
      <c r="A3039" s="19">
        <v>663.3</v>
      </c>
      <c r="B3039" s="43">
        <v>127.66769853140391</v>
      </c>
      <c r="C3039" s="43">
        <v>128.93333427337012</v>
      </c>
      <c r="D3039" s="43">
        <v>130.03951800051613</v>
      </c>
      <c r="E3039" s="43">
        <v>130.98903293834661</v>
      </c>
      <c r="F3039" s="43">
        <v>131.78827172810276</v>
      </c>
      <c r="G3039" s="43">
        <v>132.44600901769144</v>
      </c>
      <c r="H3039" s="43">
        <v>132.97239165731889</v>
      </c>
      <c r="I3039" s="43">
        <v>133.37816831115339</v>
      </c>
    </row>
    <row r="3040" spans="1:9">
      <c r="A3040" s="19">
        <v>663.4</v>
      </c>
      <c r="B3040" s="43">
        <v>127.68539400300861</v>
      </c>
      <c r="C3040" s="43">
        <v>128.95123862687819</v>
      </c>
      <c r="D3040" s="43">
        <v>130.05765734060174</v>
      </c>
      <c r="E3040" s="43">
        <v>131.00742585795001</v>
      </c>
      <c r="F3040" s="43">
        <v>131.8069296731137</v>
      </c>
      <c r="G3040" s="43">
        <v>132.46493712665557</v>
      </c>
      <c r="H3040" s="43">
        <v>132.99158981232262</v>
      </c>
      <c r="I3040" s="43">
        <v>133.39763221562794</v>
      </c>
    </row>
    <row r="3041" spans="1:9">
      <c r="A3041" s="19">
        <v>663.5</v>
      </c>
      <c r="B3041" s="43">
        <v>127.70308926096016</v>
      </c>
      <c r="C3041" s="43">
        <v>128.96914269352271</v>
      </c>
      <c r="D3041" s="43">
        <v>130.07579632372142</v>
      </c>
      <c r="E3041" s="43">
        <v>131.02581835706059</v>
      </c>
      <c r="F3041" s="43">
        <v>131.82558714283471</v>
      </c>
      <c r="G3041" s="43">
        <v>132.48386471540016</v>
      </c>
      <c r="H3041" s="43">
        <v>133.0107874122557</v>
      </c>
      <c r="I3041" s="43">
        <v>133.41709553992968</v>
      </c>
    </row>
    <row r="3042" spans="1:9">
      <c r="A3042" s="19">
        <v>663.6</v>
      </c>
      <c r="B3042" s="43">
        <v>127.72078430573592</v>
      </c>
      <c r="C3042" s="43">
        <v>128.9870464737516</v>
      </c>
      <c r="D3042" s="43">
        <v>130.0939349503077</v>
      </c>
      <c r="E3042" s="43">
        <v>131.04421043605822</v>
      </c>
      <c r="F3042" s="43">
        <v>131.84424413769301</v>
      </c>
      <c r="G3042" s="43">
        <v>132.50279178428002</v>
      </c>
      <c r="H3042" s="43">
        <v>133.02998445745766</v>
      </c>
      <c r="I3042" s="43">
        <v>133.43655828431548</v>
      </c>
    </row>
    <row r="3043" spans="1:9">
      <c r="A3043" s="19">
        <v>663.7</v>
      </c>
      <c r="B3043" s="43">
        <v>127.73847913713837</v>
      </c>
      <c r="C3043" s="43">
        <v>129.0049499674023</v>
      </c>
      <c r="D3043" s="43">
        <v>130.1120732202574</v>
      </c>
      <c r="E3043" s="43">
        <v>131.06260209490125</v>
      </c>
      <c r="F3043" s="43">
        <v>131.86290065759908</v>
      </c>
      <c r="G3043" s="43">
        <v>132.52171833332989</v>
      </c>
      <c r="H3043" s="43">
        <v>133.04918094793055</v>
      </c>
      <c r="I3043" s="43">
        <v>133.45602044884959</v>
      </c>
    </row>
    <row r="3044" spans="1:9">
      <c r="A3044" s="19">
        <v>663.8</v>
      </c>
      <c r="B3044" s="43">
        <v>127.75617375545934</v>
      </c>
      <c r="C3044" s="43">
        <v>129.02285317476196</v>
      </c>
      <c r="D3044" s="43">
        <v>130.13021113386816</v>
      </c>
      <c r="E3044" s="43">
        <v>131.08099333389725</v>
      </c>
      <c r="F3044" s="43">
        <v>131.88155670282629</v>
      </c>
      <c r="G3044" s="43">
        <v>132.54064436268447</v>
      </c>
      <c r="H3044" s="43">
        <v>133.06837688383746</v>
      </c>
      <c r="I3044" s="43">
        <v>133.47548203366244</v>
      </c>
    </row>
    <row r="3045" spans="1:9">
      <c r="A3045" s="19">
        <v>663.9</v>
      </c>
      <c r="B3045" s="43">
        <v>127.77386816069938</v>
      </c>
      <c r="C3045" s="43">
        <v>129.0407560959153</v>
      </c>
      <c r="D3045" s="43">
        <v>130.14834869117919</v>
      </c>
      <c r="E3045" s="43">
        <v>131.09938415306561</v>
      </c>
      <c r="F3045" s="43">
        <v>131.90021227348996</v>
      </c>
      <c r="G3045" s="43">
        <v>132.55956987254569</v>
      </c>
      <c r="H3045" s="43">
        <v>133.08757226532566</v>
      </c>
      <c r="I3045" s="43">
        <v>133.49494303887229</v>
      </c>
    </row>
    <row r="3046" spans="1:9">
      <c r="A3046" s="19">
        <v>664</v>
      </c>
      <c r="B3046" s="43">
        <v>127.79156235313957</v>
      </c>
      <c r="C3046" s="43">
        <v>129.05865873106541</v>
      </c>
      <c r="D3046" s="43">
        <v>130.16648589249587</v>
      </c>
      <c r="E3046" s="43">
        <v>131.11777455268987</v>
      </c>
      <c r="F3046" s="43">
        <v>131.91886736977352</v>
      </c>
      <c r="G3046" s="43">
        <v>132.57849486305491</v>
      </c>
      <c r="H3046" s="43">
        <v>133.10676709256683</v>
      </c>
      <c r="I3046" s="43">
        <v>133.51440346463113</v>
      </c>
    </row>
    <row r="3047" spans="1:9">
      <c r="A3047" s="19">
        <v>664.1</v>
      </c>
      <c r="B3047" s="43">
        <v>127.80925633277448</v>
      </c>
      <c r="C3047" s="43">
        <v>129.07656108034809</v>
      </c>
      <c r="D3047" s="43">
        <v>130.18462273788998</v>
      </c>
      <c r="E3047" s="43">
        <v>131.13616453290877</v>
      </c>
      <c r="F3047" s="43">
        <v>131.93752199186122</v>
      </c>
      <c r="G3047" s="43">
        <v>132.59741933433895</v>
      </c>
      <c r="H3047" s="43">
        <v>133.12596136567049</v>
      </c>
      <c r="I3047" s="43">
        <v>133.53386331107316</v>
      </c>
    </row>
    <row r="3048" spans="1:9">
      <c r="A3048" s="19">
        <v>664.2</v>
      </c>
      <c r="B3048" s="43">
        <v>127.82695009981211</v>
      </c>
      <c r="C3048" s="43">
        <v>129.09446314393648</v>
      </c>
      <c r="D3048" s="43">
        <v>130.20275922753649</v>
      </c>
      <c r="E3048" s="43">
        <v>131.15455409388852</v>
      </c>
      <c r="F3048" s="43">
        <v>131.9561761399159</v>
      </c>
      <c r="G3048" s="43">
        <v>132.61634328664815</v>
      </c>
      <c r="H3048" s="43">
        <v>133.14515508483998</v>
      </c>
      <c r="I3048" s="43">
        <v>133.55332257831515</v>
      </c>
    </row>
    <row r="3049" spans="1:9">
      <c r="A3049" s="19">
        <v>664.3</v>
      </c>
      <c r="B3049" s="43">
        <v>127.84464365432231</v>
      </c>
      <c r="C3049" s="43">
        <v>129.11236492187498</v>
      </c>
      <c r="D3049" s="43">
        <v>130.22089536155613</v>
      </c>
      <c r="E3049" s="43">
        <v>131.17294323573242</v>
      </c>
      <c r="F3049" s="43">
        <v>131.97482981402993</v>
      </c>
      <c r="G3049" s="43">
        <v>132.63526671999682</v>
      </c>
      <c r="H3049" s="43">
        <v>133.1643482501367</v>
      </c>
      <c r="I3049" s="43">
        <v>133.57278126648157</v>
      </c>
    </row>
    <row r="3050" spans="1:9">
      <c r="A3050" s="19">
        <v>664.4</v>
      </c>
      <c r="B3050" s="43">
        <v>127.86233699653593</v>
      </c>
      <c r="C3050" s="43">
        <v>129.1302664144356</v>
      </c>
      <c r="D3050" s="43">
        <v>130.2390311402134</v>
      </c>
      <c r="E3050" s="43">
        <v>131.19133195872666</v>
      </c>
      <c r="F3050" s="43">
        <v>131.99348301449271</v>
      </c>
      <c r="G3050" s="43">
        <v>132.65418963468807</v>
      </c>
      <c r="H3050" s="43">
        <v>133.18354086182137</v>
      </c>
      <c r="I3050" s="43">
        <v>133.59223937575786</v>
      </c>
    </row>
    <row r="3051" spans="1:9">
      <c r="A3051" s="19">
        <v>664.5</v>
      </c>
      <c r="B3051" s="43">
        <v>127.88003012639734</v>
      </c>
      <c r="C3051" s="43">
        <v>129.14816762163002</v>
      </c>
      <c r="D3051" s="43">
        <v>130.25716656352796</v>
      </c>
      <c r="E3051" s="43">
        <v>131.20972026286609</v>
      </c>
      <c r="F3051" s="43">
        <v>132.01213574132441</v>
      </c>
      <c r="G3051" s="43">
        <v>132.67311203075724</v>
      </c>
      <c r="H3051" s="43">
        <v>133.20273291987786</v>
      </c>
      <c r="I3051" s="43">
        <v>133.611696906161</v>
      </c>
    </row>
    <row r="3052" spans="1:9">
      <c r="A3052" s="19">
        <v>664.6</v>
      </c>
      <c r="B3052" s="43">
        <v>127.89772304432657</v>
      </c>
      <c r="C3052" s="43">
        <v>129.16606854387055</v>
      </c>
      <c r="D3052" s="43">
        <v>130.27530163189539</v>
      </c>
      <c r="E3052" s="43">
        <v>131.22810814856115</v>
      </c>
      <c r="F3052" s="43">
        <v>132.03078799490652</v>
      </c>
      <c r="G3052" s="43">
        <v>132.69203390852289</v>
      </c>
      <c r="H3052" s="43">
        <v>133.22192442466036</v>
      </c>
      <c r="I3052" s="43">
        <v>133.63115385799796</v>
      </c>
    </row>
    <row r="3053" spans="1:9">
      <c r="A3053" s="19">
        <v>664.7</v>
      </c>
      <c r="B3053" s="43">
        <v>127.91541575022717</v>
      </c>
      <c r="C3053" s="43">
        <v>129.18396918106259</v>
      </c>
      <c r="D3053" s="43">
        <v>130.29343634525708</v>
      </c>
      <c r="E3053" s="43">
        <v>131.24649561578667</v>
      </c>
      <c r="F3053" s="43">
        <v>132.0494397751936</v>
      </c>
      <c r="G3053" s="43">
        <v>132.71095526799758</v>
      </c>
      <c r="H3053" s="43">
        <v>133.24111537614334</v>
      </c>
      <c r="I3053" s="43">
        <v>133.65061023127453</v>
      </c>
    </row>
    <row r="3054" spans="1:9">
      <c r="A3054" s="19">
        <v>664.8</v>
      </c>
      <c r="B3054" s="43">
        <v>127.93310824430259</v>
      </c>
      <c r="C3054" s="43">
        <v>129.20186953339885</v>
      </c>
      <c r="D3054" s="43">
        <v>130.31157070385763</v>
      </c>
      <c r="E3054" s="43">
        <v>131.26488266477816</v>
      </c>
      <c r="F3054" s="43">
        <v>132.0680910824276</v>
      </c>
      <c r="G3054" s="43">
        <v>132.72987610938043</v>
      </c>
      <c r="H3054" s="43">
        <v>133.26030577456822</v>
      </c>
      <c r="I3054" s="43">
        <v>133.67006602613628</v>
      </c>
    </row>
    <row r="3055" spans="1:9">
      <c r="A3055" s="19">
        <v>664.9</v>
      </c>
      <c r="B3055" s="43">
        <v>127.95080052660143</v>
      </c>
      <c r="C3055" s="43">
        <v>129.21976960103672</v>
      </c>
      <c r="D3055" s="43">
        <v>130.32970470780003</v>
      </c>
      <c r="E3055" s="43">
        <v>131.28326929562428</v>
      </c>
      <c r="F3055" s="43">
        <v>132.08674191673259</v>
      </c>
      <c r="G3055" s="43">
        <v>132.74879643279598</v>
      </c>
      <c r="H3055" s="43">
        <v>133.27949561998059</v>
      </c>
      <c r="I3055" s="43">
        <v>133.68952124271374</v>
      </c>
    </row>
    <row r="3056" spans="1:9">
      <c r="A3056" s="19">
        <v>665</v>
      </c>
      <c r="B3056" s="43">
        <v>127.96849259741259</v>
      </c>
      <c r="C3056" s="43">
        <v>129.23766938420636</v>
      </c>
      <c r="D3056" s="43">
        <v>130.34783835734424</v>
      </c>
      <c r="E3056" s="43">
        <v>131.30165550863421</v>
      </c>
      <c r="F3056" s="43">
        <v>132.10539227836853</v>
      </c>
      <c r="G3056" s="43">
        <v>132.76771623850055</v>
      </c>
      <c r="H3056" s="43">
        <v>133.29868491265898</v>
      </c>
      <c r="I3056" s="43">
        <v>133.7089758811876</v>
      </c>
    </row>
    <row r="3057" spans="1:9">
      <c r="A3057" s="19">
        <v>665.1</v>
      </c>
      <c r="B3057" s="43">
        <v>127.98618445665906</v>
      </c>
      <c r="C3057" s="43">
        <v>129.25556888291095</v>
      </c>
      <c r="D3057" s="43">
        <v>130.3659716525292</v>
      </c>
      <c r="E3057" s="43">
        <v>131.32004130383604</v>
      </c>
      <c r="F3057" s="43">
        <v>132.12404216738815</v>
      </c>
      <c r="G3057" s="43">
        <v>132.78663552653228</v>
      </c>
      <c r="H3057" s="43">
        <v>133.31787365263818</v>
      </c>
      <c r="I3057" s="43">
        <v>133.72842994160902</v>
      </c>
    </row>
    <row r="3058" spans="1:9">
      <c r="A3058" s="19">
        <v>665.2</v>
      </c>
      <c r="B3058" s="43">
        <v>128.00387610472904</v>
      </c>
      <c r="C3058" s="43">
        <v>129.27346809749167</v>
      </c>
      <c r="D3058" s="43">
        <v>130.38410459369044</v>
      </c>
      <c r="E3058" s="43">
        <v>131.33842668152278</v>
      </c>
      <c r="F3058" s="43">
        <v>132.14269158408808</v>
      </c>
      <c r="G3058" s="43">
        <v>132.8055542971623</v>
      </c>
      <c r="H3058" s="43">
        <v>133.33706184017763</v>
      </c>
      <c r="I3058" s="43">
        <v>133.74788342422625</v>
      </c>
    </row>
    <row r="3059" spans="1:9">
      <c r="A3059" s="19">
        <v>665.3</v>
      </c>
      <c r="B3059" s="43">
        <v>128.02156754150081</v>
      </c>
      <c r="C3059" s="43">
        <v>129.29136702791561</v>
      </c>
      <c r="D3059" s="43">
        <v>130.40223718084678</v>
      </c>
      <c r="E3059" s="43">
        <v>131.356811641707</v>
      </c>
      <c r="F3059" s="43">
        <v>132.16134052850134</v>
      </c>
      <c r="G3059" s="43">
        <v>132.82447255043843</v>
      </c>
      <c r="H3059" s="43">
        <v>133.35624947531488</v>
      </c>
      <c r="I3059" s="43">
        <v>133.7673363290516</v>
      </c>
    </row>
    <row r="3060" spans="1:9">
      <c r="A3060" s="19">
        <v>665.4</v>
      </c>
      <c r="B3060" s="43">
        <v>128.03925876716579</v>
      </c>
      <c r="C3060" s="43">
        <v>129.30926567436319</v>
      </c>
      <c r="D3060" s="43">
        <v>130.4203694141296</v>
      </c>
      <c r="E3060" s="43">
        <v>131.37519618468025</v>
      </c>
      <c r="F3060" s="43">
        <v>132.17998900081267</v>
      </c>
      <c r="G3060" s="43">
        <v>132.84339028659582</v>
      </c>
      <c r="H3060" s="43">
        <v>133.37543655822213</v>
      </c>
      <c r="I3060" s="43">
        <v>133.78678865626426</v>
      </c>
    </row>
    <row r="3061" spans="1:9">
      <c r="A3061" s="19">
        <v>665.5</v>
      </c>
      <c r="B3061" s="43">
        <v>128.05694978190689</v>
      </c>
      <c r="C3061" s="43">
        <v>129.32716403703131</v>
      </c>
      <c r="D3061" s="43">
        <v>130.43850129375261</v>
      </c>
      <c r="E3061" s="43">
        <v>131.39358031050836</v>
      </c>
      <c r="F3061" s="43">
        <v>132.19863700121493</v>
      </c>
      <c r="G3061" s="43">
        <v>132.86230750571377</v>
      </c>
      <c r="H3061" s="43">
        <v>133.39462308901295</v>
      </c>
      <c r="I3061" s="43">
        <v>133.8062404059811</v>
      </c>
    </row>
    <row r="3062" spans="1:9">
      <c r="A3062" s="19">
        <v>665.6</v>
      </c>
      <c r="B3062" s="43">
        <v>128.07464058595411</v>
      </c>
      <c r="C3062" s="43">
        <v>129.34506211614297</v>
      </c>
      <c r="D3062" s="43">
        <v>130.45663282003881</v>
      </c>
      <c r="E3062" s="43">
        <v>131.41196401952521</v>
      </c>
      <c r="F3062" s="43">
        <v>132.21728452998002</v>
      </c>
      <c r="G3062" s="43">
        <v>132.88122420811231</v>
      </c>
      <c r="H3062" s="43">
        <v>133.41380906799719</v>
      </c>
      <c r="I3062" s="43">
        <v>133.82569157840368</v>
      </c>
    </row>
    <row r="3063" spans="1:9">
      <c r="A3063" s="19">
        <v>665.7</v>
      </c>
      <c r="B3063" s="43">
        <v>128.09233117922452</v>
      </c>
      <c r="C3063" s="43">
        <v>129.36295991169521</v>
      </c>
      <c r="D3063" s="43">
        <v>130.47476399288701</v>
      </c>
      <c r="E3063" s="43">
        <v>131.4303473116866</v>
      </c>
      <c r="F3063" s="43">
        <v>132.23593158706797</v>
      </c>
      <c r="G3063" s="43">
        <v>132.90014039372056</v>
      </c>
      <c r="H3063" s="43">
        <v>133.43299449511369</v>
      </c>
      <c r="I3063" s="43">
        <v>133.84514217356366</v>
      </c>
    </row>
    <row r="3064" spans="1:9">
      <c r="A3064" s="19">
        <v>665.8</v>
      </c>
      <c r="B3064" s="43">
        <v>128.11002156201346</v>
      </c>
      <c r="C3064" s="43">
        <v>129.3808574239626</v>
      </c>
      <c r="D3064" s="43">
        <v>130.49289481261019</v>
      </c>
      <c r="E3064" s="43">
        <v>131.44873018731846</v>
      </c>
      <c r="F3064" s="43">
        <v>132.25457817280125</v>
      </c>
      <c r="G3064" s="43">
        <v>132.91905606290419</v>
      </c>
      <c r="H3064" s="43">
        <v>133.45217937064854</v>
      </c>
      <c r="I3064" s="43">
        <v>133.86459219168466</v>
      </c>
    </row>
    <row r="3065" spans="1:9">
      <c r="A3065" s="19">
        <v>665.9</v>
      </c>
      <c r="B3065" s="43">
        <v>128.1277117343069</v>
      </c>
      <c r="C3065" s="43">
        <v>129.39875465295052</v>
      </c>
      <c r="D3065" s="43">
        <v>130.51102527932011</v>
      </c>
      <c r="E3065" s="43">
        <v>131.46711264650236</v>
      </c>
      <c r="F3065" s="43">
        <v>132.2732242872604</v>
      </c>
      <c r="G3065" s="43">
        <v>132.93797121569116</v>
      </c>
      <c r="H3065" s="43">
        <v>133.47136369467285</v>
      </c>
      <c r="I3065" s="43">
        <v>133.88404163282024</v>
      </c>
    </row>
    <row r="3066" spans="1:9">
      <c r="A3066" s="19">
        <v>666</v>
      </c>
      <c r="B3066" s="43">
        <v>128.14540169634512</v>
      </c>
      <c r="C3066" s="43">
        <v>129.41665159894251</v>
      </c>
      <c r="D3066" s="43">
        <v>130.5291553931948</v>
      </c>
      <c r="E3066" s="43">
        <v>131.4854946894261</v>
      </c>
      <c r="F3066" s="43">
        <v>132.29186993065179</v>
      </c>
      <c r="G3066" s="43">
        <v>132.95688585227407</v>
      </c>
      <c r="H3066" s="43">
        <v>133.49054746738358</v>
      </c>
      <c r="I3066" s="43">
        <v>133.90349049714524</v>
      </c>
    </row>
    <row r="3067" spans="1:9">
      <c r="A3067" s="19">
        <v>666.1</v>
      </c>
      <c r="B3067" s="43">
        <v>128.16309144814898</v>
      </c>
      <c r="C3067" s="43">
        <v>129.4345482619749</v>
      </c>
      <c r="D3067" s="43">
        <v>130.54728515432339</v>
      </c>
      <c r="E3067" s="43">
        <v>131.50387631624722</v>
      </c>
      <c r="F3067" s="43">
        <v>132.31051510306787</v>
      </c>
      <c r="G3067" s="43">
        <v>132.9757999727928</v>
      </c>
      <c r="H3067" s="43">
        <v>133.50973068883803</v>
      </c>
      <c r="I3067" s="43">
        <v>133.92293878475795</v>
      </c>
    </row>
    <row r="3068" spans="1:9">
      <c r="A3068" s="19">
        <v>666.2</v>
      </c>
      <c r="B3068" s="43">
        <v>128.18078099006283</v>
      </c>
      <c r="C3068" s="43">
        <v>129.4524446423348</v>
      </c>
      <c r="D3068" s="43">
        <v>130.56541456300431</v>
      </c>
      <c r="E3068" s="43">
        <v>131.52225752717112</v>
      </c>
      <c r="F3068" s="43">
        <v>132.32915980480277</v>
      </c>
      <c r="G3068" s="43">
        <v>132.99471357746972</v>
      </c>
      <c r="H3068" s="43">
        <v>133.52891335931162</v>
      </c>
      <c r="I3068" s="43">
        <v>133.94238649584048</v>
      </c>
    </row>
    <row r="3069" spans="1:9">
      <c r="A3069" s="19">
        <v>666.3</v>
      </c>
      <c r="B3069" s="43">
        <v>128.19847032189989</v>
      </c>
      <c r="C3069" s="43">
        <v>129.47034073998572</v>
      </c>
      <c r="D3069" s="43">
        <v>130.58354361924546</v>
      </c>
      <c r="E3069" s="43">
        <v>131.54063832229269</v>
      </c>
      <c r="F3069" s="43">
        <v>132.34780403586552</v>
      </c>
      <c r="G3069" s="43">
        <v>133.01362666637021</v>
      </c>
      <c r="H3069" s="43">
        <v>133.54809547882695</v>
      </c>
      <c r="I3069" s="43">
        <v>133.96183363048397</v>
      </c>
    </row>
    <row r="3070" spans="1:9">
      <c r="A3070" s="19">
        <v>666.4</v>
      </c>
      <c r="B3070" s="43">
        <v>128.21615944403101</v>
      </c>
      <c r="C3070" s="43">
        <v>129.48823655526132</v>
      </c>
      <c r="D3070" s="43">
        <v>130.60167232332913</v>
      </c>
      <c r="E3070" s="43">
        <v>131.55901870182259</v>
      </c>
      <c r="F3070" s="43">
        <v>132.36644779654819</v>
      </c>
      <c r="G3070" s="43">
        <v>133.03253923971187</v>
      </c>
      <c r="H3070" s="43">
        <v>133.56727704760056</v>
      </c>
      <c r="I3070" s="43">
        <v>133.98128018881465</v>
      </c>
    </row>
    <row r="3071" spans="1:9">
      <c r="A3071" s="19">
        <v>666.5</v>
      </c>
      <c r="B3071" s="43">
        <v>128.23384835640917</v>
      </c>
      <c r="C3071" s="43">
        <v>129.50613208812439</v>
      </c>
      <c r="D3071" s="43">
        <v>130.6198006752843</v>
      </c>
      <c r="E3071" s="43">
        <v>131.57739866587735</v>
      </c>
      <c r="F3071" s="43">
        <v>132.38509108690715</v>
      </c>
      <c r="G3071" s="43">
        <v>133.05145129757614</v>
      </c>
      <c r="H3071" s="43">
        <v>133.5864580657252</v>
      </c>
      <c r="I3071" s="43">
        <v>134.00072617096521</v>
      </c>
    </row>
    <row r="3072" spans="1:9">
      <c r="A3072" s="19">
        <v>666.6</v>
      </c>
      <c r="B3072" s="43">
        <v>128.25153705946218</v>
      </c>
      <c r="C3072" s="43">
        <v>129.52402733899368</v>
      </c>
      <c r="D3072" s="43">
        <v>130.63792867553292</v>
      </c>
      <c r="E3072" s="43">
        <v>131.59577821479616</v>
      </c>
      <c r="F3072" s="43">
        <v>132.40373390726882</v>
      </c>
      <c r="G3072" s="43">
        <v>133.07036284032068</v>
      </c>
      <c r="H3072" s="43">
        <v>133.6056385335084</v>
      </c>
      <c r="I3072" s="43">
        <v>134.02017157718365</v>
      </c>
    </row>
    <row r="3073" spans="1:9">
      <c r="A3073" s="19">
        <v>666.7</v>
      </c>
      <c r="B3073" s="43">
        <v>128.26922555304719</v>
      </c>
      <c r="C3073" s="43">
        <v>129.54192230775305</v>
      </c>
      <c r="D3073" s="43">
        <v>130.65605632397455</v>
      </c>
      <c r="E3073" s="43">
        <v>131.61415734854558</v>
      </c>
      <c r="F3073" s="43">
        <v>132.42237625766086</v>
      </c>
      <c r="G3073" s="43">
        <v>133.0892738679035</v>
      </c>
      <c r="H3073" s="43">
        <v>133.62481845088575</v>
      </c>
      <c r="I3073" s="43">
        <v>134.03961640742892</v>
      </c>
    </row>
    <row r="3074" spans="1:9">
      <c r="A3074" s="19">
        <v>666.8</v>
      </c>
      <c r="B3074" s="43">
        <v>128.28691383731319</v>
      </c>
      <c r="C3074" s="43">
        <v>129.55981699464081</v>
      </c>
      <c r="D3074" s="43">
        <v>130.67418362084027</v>
      </c>
      <c r="E3074" s="43">
        <v>131.63253606737203</v>
      </c>
      <c r="F3074" s="43">
        <v>132.44101813825819</v>
      </c>
      <c r="G3074" s="43">
        <v>133.10818438055077</v>
      </c>
      <c r="H3074" s="43">
        <v>133.64399781811733</v>
      </c>
      <c r="I3074" s="43">
        <v>134.05906066193097</v>
      </c>
    </row>
    <row r="3075" spans="1:9">
      <c r="A3075" s="19">
        <v>666.9</v>
      </c>
      <c r="B3075" s="43">
        <v>128.30460191250734</v>
      </c>
      <c r="C3075" s="43">
        <v>129.57771139983385</v>
      </c>
      <c r="D3075" s="43">
        <v>130.69231056632822</v>
      </c>
      <c r="E3075" s="43">
        <v>131.65091437141751</v>
      </c>
      <c r="F3075" s="43">
        <v>132.45965954926265</v>
      </c>
      <c r="G3075" s="43">
        <v>133.12709437838907</v>
      </c>
      <c r="H3075" s="43">
        <v>133.66317663531561</v>
      </c>
      <c r="I3075" s="43">
        <v>134.07850434079251</v>
      </c>
    </row>
    <row r="3076" spans="1:9">
      <c r="A3076" s="19">
        <v>667</v>
      </c>
      <c r="B3076" s="43">
        <v>128.32228977861837</v>
      </c>
      <c r="C3076" s="43">
        <v>129.59560552343146</v>
      </c>
      <c r="D3076" s="43">
        <v>130.71043716054106</v>
      </c>
      <c r="E3076" s="43">
        <v>131.66929226083698</v>
      </c>
      <c r="F3076" s="43">
        <v>132.4783004908237</v>
      </c>
      <c r="G3076" s="43">
        <v>133.14600386159185</v>
      </c>
      <c r="H3076" s="43">
        <v>133.68235490262566</v>
      </c>
      <c r="I3076" s="43">
        <v>134.09794744413318</v>
      </c>
    </row>
    <row r="3077" spans="1:9">
      <c r="A3077" s="19">
        <v>667.1</v>
      </c>
      <c r="B3077" s="43">
        <v>128.33997743583785</v>
      </c>
      <c r="C3077" s="43">
        <v>129.6134993655744</v>
      </c>
      <c r="D3077" s="43">
        <v>130.72856340365439</v>
      </c>
      <c r="E3077" s="43">
        <v>131.68766973580273</v>
      </c>
      <c r="F3077" s="43">
        <v>132.49694096304717</v>
      </c>
      <c r="G3077" s="43">
        <v>133.16491283028932</v>
      </c>
      <c r="H3077" s="43">
        <v>133.7015326201622</v>
      </c>
      <c r="I3077" s="43">
        <v>134.11738997209306</v>
      </c>
    </row>
    <row r="3078" spans="1:9">
      <c r="A3078" s="19">
        <v>667.2</v>
      </c>
      <c r="B3078" s="43">
        <v>128.35766488436735</v>
      </c>
      <c r="C3078" s="43">
        <v>129.63139292647179</v>
      </c>
      <c r="D3078" s="43">
        <v>130.74668929589785</v>
      </c>
      <c r="E3078" s="43">
        <v>131.70604679650597</v>
      </c>
      <c r="F3078" s="43">
        <v>132.51558096620687</v>
      </c>
      <c r="G3078" s="43">
        <v>133.18382128473456</v>
      </c>
      <c r="H3078" s="43">
        <v>133.72070978817402</v>
      </c>
      <c r="I3078" s="43">
        <v>134.13683192482989</v>
      </c>
    </row>
    <row r="3079" spans="1:9">
      <c r="A3079" s="19">
        <v>667.3</v>
      </c>
      <c r="B3079" s="43">
        <v>128.37535212426224</v>
      </c>
      <c r="C3079" s="43">
        <v>129.64928620628257</v>
      </c>
      <c r="D3079" s="43">
        <v>130.76481483739269</v>
      </c>
      <c r="E3079" s="43">
        <v>131.72442344315249</v>
      </c>
      <c r="F3079" s="43">
        <v>132.53422050043099</v>
      </c>
      <c r="G3079" s="43">
        <v>133.20272922502755</v>
      </c>
      <c r="H3079" s="43">
        <v>133.73988640672593</v>
      </c>
      <c r="I3079" s="43">
        <v>134.1562733024906</v>
      </c>
    </row>
    <row r="3080" spans="1:9">
      <c r="A3080" s="19">
        <v>667.4</v>
      </c>
      <c r="B3080" s="43">
        <v>128.39303915562959</v>
      </c>
      <c r="C3080" s="43">
        <v>129.66717920508319</v>
      </c>
      <c r="D3080" s="43">
        <v>130.78294002824259</v>
      </c>
      <c r="E3080" s="43">
        <v>131.74279967583726</v>
      </c>
      <c r="F3080" s="43">
        <v>132.55285956584885</v>
      </c>
      <c r="G3080" s="43">
        <v>133.22163665129784</v>
      </c>
      <c r="H3080" s="43">
        <v>133.75906247598078</v>
      </c>
      <c r="I3080" s="43">
        <v>134.17571410513597</v>
      </c>
    </row>
    <row r="3081" spans="1:9">
      <c r="A3081" s="19">
        <v>667.5</v>
      </c>
      <c r="B3081" s="43">
        <v>128.41072597851291</v>
      </c>
      <c r="C3081" s="43">
        <v>129.68507192292958</v>
      </c>
      <c r="D3081" s="43">
        <v>130.80106486855817</v>
      </c>
      <c r="E3081" s="43">
        <v>131.76117549464885</v>
      </c>
      <c r="F3081" s="43">
        <v>132.57149816255151</v>
      </c>
      <c r="G3081" s="43">
        <v>133.2405435636349</v>
      </c>
      <c r="H3081" s="43">
        <v>133.77823799601691</v>
      </c>
      <c r="I3081" s="43">
        <v>134.19515433289547</v>
      </c>
    </row>
    <row r="3082" spans="1:9">
      <c r="A3082" s="19">
        <v>667.6</v>
      </c>
      <c r="B3082" s="43">
        <v>128.42841259330481</v>
      </c>
      <c r="C3082" s="43">
        <v>129.7029643602105</v>
      </c>
      <c r="D3082" s="43">
        <v>130.81918935872108</v>
      </c>
      <c r="E3082" s="43">
        <v>131.77955089992713</v>
      </c>
      <c r="F3082" s="43">
        <v>132.59013629091476</v>
      </c>
      <c r="G3082" s="43">
        <v>133.25944996237934</v>
      </c>
      <c r="H3082" s="43">
        <v>133.79741296712831</v>
      </c>
      <c r="I3082" s="43">
        <v>134.21459398601712</v>
      </c>
    </row>
    <row r="3083" spans="1:9">
      <c r="A3083" s="19">
        <v>667.7</v>
      </c>
      <c r="B3083" s="43">
        <v>128.44609899994038</v>
      </c>
      <c r="C3083" s="43">
        <v>129.720856516943</v>
      </c>
      <c r="D3083" s="43">
        <v>130.83731349871312</v>
      </c>
      <c r="E3083" s="43">
        <v>131.79792589174974</v>
      </c>
      <c r="F3083" s="43">
        <v>132.60877395092183</v>
      </c>
      <c r="G3083" s="43">
        <v>133.27835584757372</v>
      </c>
      <c r="H3083" s="43">
        <v>133.81658738934993</v>
      </c>
      <c r="I3083" s="43">
        <v>134.23403306449984</v>
      </c>
    </row>
    <row r="3084" spans="1:9">
      <c r="A3084" s="19">
        <v>667.8</v>
      </c>
      <c r="B3084" s="43">
        <v>128.46378519854693</v>
      </c>
      <c r="C3084" s="43">
        <v>129.73874839323736</v>
      </c>
      <c r="D3084" s="43">
        <v>130.85543728871323</v>
      </c>
      <c r="E3084" s="43">
        <v>131.81630047024396</v>
      </c>
      <c r="F3084" s="43">
        <v>132.62741114278242</v>
      </c>
      <c r="G3084" s="43">
        <v>133.29726121935988</v>
      </c>
      <c r="H3084" s="43">
        <v>133.83576126285027</v>
      </c>
      <c r="I3084" s="43">
        <v>134.25347156854809</v>
      </c>
    </row>
    <row r="3085" spans="1:9">
      <c r="A3085" s="19">
        <v>667.9</v>
      </c>
      <c r="B3085" s="43">
        <v>128.48147118931746</v>
      </c>
      <c r="C3085" s="43">
        <v>129.75663998931429</v>
      </c>
      <c r="D3085" s="43">
        <v>130.87356072895005</v>
      </c>
      <c r="E3085" s="43">
        <v>131.83467463567035</v>
      </c>
      <c r="F3085" s="43">
        <v>132.6460478667193</v>
      </c>
      <c r="G3085" s="43">
        <v>133.31616607795041</v>
      </c>
      <c r="H3085" s="43">
        <v>133.85493458777745</v>
      </c>
      <c r="I3085" s="43">
        <v>134.2729094982908</v>
      </c>
    </row>
    <row r="3086" spans="1:9">
      <c r="A3086" s="19">
        <v>668</v>
      </c>
      <c r="B3086" s="43">
        <v>128.49915697237884</v>
      </c>
      <c r="C3086" s="43">
        <v>129.77453130529898</v>
      </c>
      <c r="D3086" s="43">
        <v>130.89168381953277</v>
      </c>
      <c r="E3086" s="43">
        <v>131.85304838812311</v>
      </c>
      <c r="F3086" s="43">
        <v>132.66468412279681</v>
      </c>
      <c r="G3086" s="43">
        <v>133.33507042349765</v>
      </c>
      <c r="H3086" s="43">
        <v>133.87410736431087</v>
      </c>
      <c r="I3086" s="43">
        <v>134.29234685385893</v>
      </c>
    </row>
    <row r="3087" spans="1:9">
      <c r="A3087" s="19">
        <v>668.1</v>
      </c>
      <c r="B3087" s="43">
        <v>128.51684254780969</v>
      </c>
      <c r="C3087" s="43">
        <v>129.79242234130487</v>
      </c>
      <c r="D3087" s="43">
        <v>130.90980656063959</v>
      </c>
      <c r="E3087" s="43">
        <v>131.87142172777521</v>
      </c>
      <c r="F3087" s="43">
        <v>132.68331991126445</v>
      </c>
      <c r="G3087" s="43">
        <v>133.35397425611615</v>
      </c>
      <c r="H3087" s="43">
        <v>133.89327959256764</v>
      </c>
      <c r="I3087" s="43">
        <v>134.31178363534173</v>
      </c>
    </row>
    <row r="3088" spans="1:9">
      <c r="A3088" s="19">
        <v>668.2</v>
      </c>
      <c r="B3088" s="43">
        <v>128.53452791571101</v>
      </c>
      <c r="C3088" s="43">
        <v>129.81031309745777</v>
      </c>
      <c r="D3088" s="43">
        <v>130.92792895237835</v>
      </c>
      <c r="E3088" s="43">
        <v>131.88979465481248</v>
      </c>
      <c r="F3088" s="43">
        <v>132.7019552322019</v>
      </c>
      <c r="G3088" s="43">
        <v>133.37287757599023</v>
      </c>
      <c r="H3088" s="43">
        <v>133.91245127267382</v>
      </c>
      <c r="I3088" s="43">
        <v>134.33121984290398</v>
      </c>
    </row>
    <row r="3089" spans="1:9">
      <c r="A3089" s="19">
        <v>668.3</v>
      </c>
      <c r="B3089" s="43">
        <v>128.55221307626039</v>
      </c>
      <c r="C3089" s="43">
        <v>129.82820357397935</v>
      </c>
      <c r="D3089" s="43">
        <v>130.94605099494163</v>
      </c>
      <c r="E3089" s="43">
        <v>131.90816716934751</v>
      </c>
      <c r="F3089" s="43">
        <v>132.72059008585092</v>
      </c>
      <c r="G3089" s="43">
        <v>133.39178038323956</v>
      </c>
      <c r="H3089" s="43">
        <v>133.93162240477346</v>
      </c>
      <c r="I3089" s="43">
        <v>134.35065547666528</v>
      </c>
    </row>
    <row r="3090" spans="1:9">
      <c r="A3090" s="19">
        <v>668.4</v>
      </c>
      <c r="B3090" s="43">
        <v>128.56989802962943</v>
      </c>
      <c r="C3090" s="43">
        <v>129.84609377099929</v>
      </c>
      <c r="D3090" s="43">
        <v>130.96417268851542</v>
      </c>
      <c r="E3090" s="43">
        <v>131.92653927161672</v>
      </c>
      <c r="F3090" s="43">
        <v>132.73922447234798</v>
      </c>
      <c r="G3090" s="43">
        <v>133.41068267809487</v>
      </c>
      <c r="H3090" s="43">
        <v>133.95079298904415</v>
      </c>
      <c r="I3090" s="43">
        <v>134.37009053676883</v>
      </c>
    </row>
    <row r="3091" spans="1:9">
      <c r="A3091" s="19">
        <v>668.5</v>
      </c>
      <c r="B3091" s="43">
        <v>128.5875827757539</v>
      </c>
      <c r="C3091" s="43">
        <v>129.86398368852741</v>
      </c>
      <c r="D3091" s="43">
        <v>130.98229403313474</v>
      </c>
      <c r="E3091" s="43">
        <v>131.94491096165285</v>
      </c>
      <c r="F3091" s="43">
        <v>132.75785839175091</v>
      </c>
      <c r="G3091" s="43">
        <v>133.4295844605607</v>
      </c>
      <c r="H3091" s="43">
        <v>133.96996302555078</v>
      </c>
      <c r="I3091" s="43">
        <v>134.38952502329971</v>
      </c>
    </row>
    <row r="3092" spans="1:9">
      <c r="A3092" s="19">
        <v>668.6</v>
      </c>
      <c r="B3092" s="43">
        <v>128.6052673150752</v>
      </c>
      <c r="C3092" s="43">
        <v>129.88187332702495</v>
      </c>
      <c r="D3092" s="43">
        <v>131.00041502922909</v>
      </c>
      <c r="E3092" s="43">
        <v>131.96328223987399</v>
      </c>
      <c r="F3092" s="43">
        <v>132.77649184446449</v>
      </c>
      <c r="G3092" s="43">
        <v>133.44848573106094</v>
      </c>
      <c r="H3092" s="43">
        <v>133.98913251462909</v>
      </c>
      <c r="I3092" s="43">
        <v>134.40895893653033</v>
      </c>
    </row>
    <row r="3093" spans="1:9">
      <c r="A3093" s="19">
        <v>668.7</v>
      </c>
      <c r="B3093" s="43">
        <v>128.62295164752607</v>
      </c>
      <c r="C3093" s="43">
        <v>129.89976268634837</v>
      </c>
      <c r="D3093" s="43">
        <v>131.0185356767355</v>
      </c>
      <c r="E3093" s="43">
        <v>131.98165310621641</v>
      </c>
      <c r="F3093" s="43">
        <v>132.79512483047716</v>
      </c>
      <c r="G3093" s="43">
        <v>133.46738648952038</v>
      </c>
      <c r="H3093" s="43">
        <v>134.00830145624258</v>
      </c>
      <c r="I3093" s="43">
        <v>134.42839227643753</v>
      </c>
    </row>
    <row r="3094" spans="1:9">
      <c r="A3094" s="19">
        <v>668.8</v>
      </c>
      <c r="B3094" s="43">
        <v>128.64063577321815</v>
      </c>
      <c r="C3094" s="43">
        <v>129.91765176677148</v>
      </c>
      <c r="D3094" s="43">
        <v>131.03665597583904</v>
      </c>
      <c r="E3094" s="43">
        <v>132.00002356094961</v>
      </c>
      <c r="F3094" s="43">
        <v>132.81375734999</v>
      </c>
      <c r="G3094" s="43">
        <v>133.48628673619277</v>
      </c>
      <c r="H3094" s="43">
        <v>134.0274698506384</v>
      </c>
      <c r="I3094" s="43">
        <v>134.44782504322092</v>
      </c>
    </row>
    <row r="3095" spans="1:9">
      <c r="A3095" s="19">
        <v>668.9</v>
      </c>
      <c r="B3095" s="43">
        <v>128.65831969231033</v>
      </c>
      <c r="C3095" s="43">
        <v>129.9355405683969</v>
      </c>
      <c r="D3095" s="43">
        <v>131.05477592674521</v>
      </c>
      <c r="E3095" s="43">
        <v>132.01839360415295</v>
      </c>
      <c r="F3095" s="43">
        <v>132.83238940314453</v>
      </c>
      <c r="G3095" s="43">
        <v>133.50518647119407</v>
      </c>
      <c r="H3095" s="43">
        <v>134.0466376978905</v>
      </c>
      <c r="I3095" s="43">
        <v>134.46725723700342</v>
      </c>
    </row>
    <row r="3096" spans="1:9">
      <c r="A3096" s="19">
        <v>669</v>
      </c>
      <c r="B3096" s="43">
        <v>128.67600340495346</v>
      </c>
      <c r="C3096" s="43">
        <v>129.95342909136866</v>
      </c>
      <c r="D3096" s="43">
        <v>131.07289552957235</v>
      </c>
      <c r="E3096" s="43">
        <v>132.03676323606697</v>
      </c>
      <c r="F3096" s="43">
        <v>132.85102099010237</v>
      </c>
      <c r="G3096" s="43">
        <v>133.52408569469014</v>
      </c>
      <c r="H3096" s="43">
        <v>134.0658049981817</v>
      </c>
      <c r="I3096" s="43">
        <v>134.48668885789283</v>
      </c>
    </row>
    <row r="3097" spans="1:9">
      <c r="A3097" s="19">
        <v>669.1</v>
      </c>
      <c r="B3097" s="43">
        <v>128.69368691123935</v>
      </c>
      <c r="C3097" s="43">
        <v>129.97131733584604</v>
      </c>
      <c r="D3097" s="43">
        <v>131.09101478452726</v>
      </c>
      <c r="E3097" s="43">
        <v>132.055132456845</v>
      </c>
      <c r="F3097" s="43">
        <v>132.86965211108117</v>
      </c>
      <c r="G3097" s="43">
        <v>133.54298440685972</v>
      </c>
      <c r="H3097" s="43">
        <v>134.08497175164575</v>
      </c>
      <c r="I3097" s="43">
        <v>134.50611990607558</v>
      </c>
    </row>
    <row r="3098" spans="1:9">
      <c r="A3098" s="19">
        <v>669.2</v>
      </c>
      <c r="B3098" s="43">
        <v>128.71137021131472</v>
      </c>
      <c r="C3098" s="43">
        <v>129.98920530198274</v>
      </c>
      <c r="D3098" s="43">
        <v>131.10913369169538</v>
      </c>
      <c r="E3098" s="43">
        <v>132.0735012665881</v>
      </c>
      <c r="F3098" s="43">
        <v>132.8882827661738</v>
      </c>
      <c r="G3098" s="43">
        <v>133.56188260781238</v>
      </c>
      <c r="H3098" s="43">
        <v>134.1041379584114</v>
      </c>
      <c r="I3098" s="43">
        <v>134.5255503816141</v>
      </c>
    </row>
    <row r="3099" spans="1:9">
      <c r="A3099" s="19">
        <v>669.3</v>
      </c>
      <c r="B3099" s="43">
        <v>128.72905330524367</v>
      </c>
      <c r="C3099" s="43">
        <v>130.00709298987948</v>
      </c>
      <c r="D3099" s="43">
        <v>131.1272522512765</v>
      </c>
      <c r="E3099" s="43">
        <v>132.09186966554188</v>
      </c>
      <c r="F3099" s="43">
        <v>132.90691295557212</v>
      </c>
      <c r="G3099" s="43">
        <v>133.58078029774862</v>
      </c>
      <c r="H3099" s="43">
        <v>134.12330361864878</v>
      </c>
      <c r="I3099" s="43">
        <v>134.54498028468026</v>
      </c>
    </row>
    <row r="3100" spans="1:9">
      <c r="A3100" s="19">
        <v>669.4</v>
      </c>
      <c r="B3100" s="43">
        <v>128.7467361933239</v>
      </c>
      <c r="C3100" s="43">
        <v>130.02498039979838</v>
      </c>
      <c r="D3100" s="43">
        <v>131.14537046351211</v>
      </c>
      <c r="E3100" s="43">
        <v>132.11023765386415</v>
      </c>
      <c r="F3100" s="43">
        <v>132.92554267946736</v>
      </c>
      <c r="G3100" s="43">
        <v>133.59967747685027</v>
      </c>
      <c r="H3100" s="43">
        <v>134.14246873254234</v>
      </c>
      <c r="I3100" s="43">
        <v>134.56440961543728</v>
      </c>
    </row>
    <row r="3101" spans="1:9">
      <c r="A3101" s="19">
        <v>669.5</v>
      </c>
      <c r="B3101" s="43">
        <v>128.76441887537914</v>
      </c>
      <c r="C3101" s="43">
        <v>130.04286753165695</v>
      </c>
      <c r="D3101" s="43">
        <v>131.16348832834046</v>
      </c>
      <c r="E3101" s="43">
        <v>132.12860523157912</v>
      </c>
      <c r="F3101" s="43">
        <v>132.94417193794271</v>
      </c>
      <c r="G3101" s="43">
        <v>133.61857414515435</v>
      </c>
      <c r="H3101" s="43">
        <v>134.1616333001229</v>
      </c>
      <c r="I3101" s="43">
        <v>134.58383837390915</v>
      </c>
    </row>
    <row r="3102" spans="1:9">
      <c r="A3102" s="19">
        <v>669.6</v>
      </c>
      <c r="B3102" s="43">
        <v>128.78210135194746</v>
      </c>
      <c r="C3102" s="43">
        <v>130.06075438595258</v>
      </c>
      <c r="D3102" s="43">
        <v>131.1816058462237</v>
      </c>
      <c r="E3102" s="43">
        <v>132.14697239912908</v>
      </c>
      <c r="F3102" s="43">
        <v>132.96280073132272</v>
      </c>
      <c r="G3102" s="43">
        <v>133.63747030300846</v>
      </c>
      <c r="H3102" s="43">
        <v>134.18079732171697</v>
      </c>
      <c r="I3102" s="43">
        <v>134.60326656038728</v>
      </c>
    </row>
    <row r="3103" spans="1:9">
      <c r="A3103" s="19">
        <v>669.7</v>
      </c>
      <c r="B3103" s="43">
        <v>128.79978362284197</v>
      </c>
      <c r="C3103" s="43">
        <v>130.07864096252587</v>
      </c>
      <c r="D3103" s="43">
        <v>131.19972301708134</v>
      </c>
      <c r="E3103" s="43">
        <v>132.16533915643572</v>
      </c>
      <c r="F3103" s="43">
        <v>132.98142905961021</v>
      </c>
      <c r="G3103" s="43">
        <v>133.65636595037944</v>
      </c>
      <c r="H3103" s="43">
        <v>134.19996079728946</v>
      </c>
      <c r="I3103" s="43">
        <v>134.62269417487164</v>
      </c>
    </row>
    <row r="3104" spans="1:9">
      <c r="A3104" s="19">
        <v>669.8</v>
      </c>
      <c r="B3104" s="43">
        <v>128.81746568826622</v>
      </c>
      <c r="C3104" s="43">
        <v>130.09652726164916</v>
      </c>
      <c r="D3104" s="43">
        <v>131.21783984115757</v>
      </c>
      <c r="E3104" s="43">
        <v>132.18370550373419</v>
      </c>
      <c r="F3104" s="43">
        <v>133.0000569230196</v>
      </c>
      <c r="G3104" s="43">
        <v>133.67526108752151</v>
      </c>
      <c r="H3104" s="43">
        <v>134.21912372708596</v>
      </c>
      <c r="I3104" s="43">
        <v>134.64212121754093</v>
      </c>
    </row>
    <row r="3105" spans="1:9">
      <c r="A3105" s="19">
        <v>669.9</v>
      </c>
      <c r="B3105" s="43">
        <v>128.83514754834198</v>
      </c>
      <c r="C3105" s="43">
        <v>130.11441328339259</v>
      </c>
      <c r="D3105" s="43">
        <v>131.23595631858308</v>
      </c>
      <c r="E3105" s="43">
        <v>132.20207144118979</v>
      </c>
      <c r="F3105" s="43">
        <v>133.01868432170113</v>
      </c>
      <c r="G3105" s="43">
        <v>133.69415571456852</v>
      </c>
      <c r="H3105" s="43">
        <v>134.23828611118802</v>
      </c>
      <c r="I3105" s="43">
        <v>134.6615476885097</v>
      </c>
    </row>
    <row r="3106" spans="1:9">
      <c r="A3106" s="19">
        <v>670</v>
      </c>
      <c r="B3106" s="43">
        <v>128.83609480806439</v>
      </c>
      <c r="C3106" s="43">
        <v>130.11639913705056</v>
      </c>
      <c r="D3106" s="43">
        <v>131.23907961502545</v>
      </c>
      <c r="E3106" s="43">
        <v>132.20641084017774</v>
      </c>
      <c r="F3106" s="43">
        <v>133.02429938380709</v>
      </c>
      <c r="G3106" s="43">
        <v>133.70108892212585</v>
      </c>
      <c r="H3106" s="43">
        <v>134.24656529442365</v>
      </c>
      <c r="I3106" s="43">
        <v>134.67118848803455</v>
      </c>
    </row>
    <row r="3107" spans="1:9">
      <c r="A3107" s="19">
        <v>670.1</v>
      </c>
      <c r="B3107" s="43">
        <v>128.83702213663133</v>
      </c>
      <c r="C3107" s="43">
        <v>130.11836480742045</v>
      </c>
      <c r="D3107" s="43">
        <v>131.24218247602226</v>
      </c>
      <c r="E3107" s="43">
        <v>132.21072957416737</v>
      </c>
      <c r="F3107" s="43">
        <v>133.02989358806553</v>
      </c>
      <c r="G3107" s="43">
        <v>133.70800112310758</v>
      </c>
      <c r="H3107" s="43">
        <v>134.25482336815634</v>
      </c>
      <c r="I3107" s="43">
        <v>134.6808081190058</v>
      </c>
    </row>
    <row r="3108" spans="1:9">
      <c r="A3108" s="19">
        <v>670.2</v>
      </c>
      <c r="B3108" s="43">
        <v>128.85468883810637</v>
      </c>
      <c r="C3108" s="43">
        <v>130.1362349129061</v>
      </c>
      <c r="D3108" s="43">
        <v>131.26028223151593</v>
      </c>
      <c r="E3108" s="43">
        <v>132.22907796833192</v>
      </c>
      <c r="F3108" s="43">
        <v>133.04850263192509</v>
      </c>
      <c r="G3108" s="43">
        <v>133.72687661231271</v>
      </c>
      <c r="H3108" s="43">
        <v>134.27396587269152</v>
      </c>
      <c r="I3108" s="43">
        <v>134.70021401795663</v>
      </c>
    </row>
    <row r="3109" spans="1:9">
      <c r="A3109" s="19">
        <v>670.3</v>
      </c>
      <c r="B3109" s="43">
        <v>128.87235533281103</v>
      </c>
      <c r="C3109" s="43">
        <v>130.15410473997241</v>
      </c>
      <c r="D3109" s="43">
        <v>131.27838163950861</v>
      </c>
      <c r="E3109" s="43">
        <v>132.2474259519114</v>
      </c>
      <c r="F3109" s="43">
        <v>133.06711121045709</v>
      </c>
      <c r="G3109" s="43">
        <v>133.74575159082258</v>
      </c>
      <c r="H3109" s="43">
        <v>134.2931078308726</v>
      </c>
      <c r="I3109" s="43">
        <v>134.71961934443897</v>
      </c>
    </row>
    <row r="3110" spans="1:9">
      <c r="A3110" s="19">
        <v>670.4</v>
      </c>
      <c r="B3110" s="43">
        <v>128.89002162090895</v>
      </c>
      <c r="C3110" s="43">
        <v>130.17197428870622</v>
      </c>
      <c r="D3110" s="43">
        <v>131.29648070010012</v>
      </c>
      <c r="E3110" s="43">
        <v>132.26577352511879</v>
      </c>
      <c r="F3110" s="43">
        <v>133.08571932376549</v>
      </c>
      <c r="G3110" s="43">
        <v>133.76462605872803</v>
      </c>
      <c r="H3110" s="43">
        <v>134.31224924287125</v>
      </c>
      <c r="I3110" s="43">
        <v>134.73902409855356</v>
      </c>
    </row>
    <row r="3111" spans="1:9">
      <c r="A3111" s="19">
        <v>670.5</v>
      </c>
      <c r="B3111" s="43">
        <v>128.90768770238816</v>
      </c>
      <c r="C3111" s="43">
        <v>130.18984355923033</v>
      </c>
      <c r="D3111" s="43">
        <v>131.3145794134669</v>
      </c>
      <c r="E3111" s="43">
        <v>132.28412068799645</v>
      </c>
      <c r="F3111" s="43">
        <v>133.10432697200872</v>
      </c>
      <c r="G3111" s="43">
        <v>133.78350001617156</v>
      </c>
      <c r="H3111" s="43">
        <v>134.33139010876641</v>
      </c>
      <c r="I3111" s="43">
        <v>134.75842828042556</v>
      </c>
    </row>
    <row r="3112" spans="1:9">
      <c r="A3112" s="19">
        <v>670.6</v>
      </c>
      <c r="B3112" s="43">
        <v>128.92535357748011</v>
      </c>
      <c r="C3112" s="43">
        <v>130.20771255168421</v>
      </c>
      <c r="D3112" s="43">
        <v>131.33267777972901</v>
      </c>
      <c r="E3112" s="43">
        <v>132.3024674408116</v>
      </c>
      <c r="F3112" s="43">
        <v>133.12293415534737</v>
      </c>
      <c r="G3112" s="43">
        <v>133.80237346336236</v>
      </c>
      <c r="H3112" s="43">
        <v>134.35053042874171</v>
      </c>
      <c r="I3112" s="43">
        <v>134.77783189016799</v>
      </c>
    </row>
    <row r="3113" spans="1:9">
      <c r="A3113" s="19">
        <v>670.7</v>
      </c>
      <c r="B3113" s="43">
        <v>128.94301924626853</v>
      </c>
      <c r="C3113" s="43">
        <v>130.22558126625614</v>
      </c>
      <c r="D3113" s="43">
        <v>131.35077579906471</v>
      </c>
      <c r="E3113" s="43">
        <v>132.32081378363034</v>
      </c>
      <c r="F3113" s="43">
        <v>133.14154087394132</v>
      </c>
      <c r="G3113" s="43">
        <v>133.82124640039768</v>
      </c>
      <c r="H3113" s="43">
        <v>134.36967020287614</v>
      </c>
      <c r="I3113" s="43">
        <v>134.79723492791516</v>
      </c>
    </row>
    <row r="3114" spans="1:9">
      <c r="A3114" s="19">
        <v>670.8</v>
      </c>
      <c r="B3114" s="43">
        <v>128.96068470885035</v>
      </c>
      <c r="C3114" s="43">
        <v>130.24344970304065</v>
      </c>
      <c r="D3114" s="43">
        <v>131.36887347164799</v>
      </c>
      <c r="E3114" s="43">
        <v>132.33915971668807</v>
      </c>
      <c r="F3114" s="43">
        <v>133.16014712795629</v>
      </c>
      <c r="G3114" s="43">
        <v>133.84011882747734</v>
      </c>
      <c r="H3114" s="43">
        <v>134.38880943140225</v>
      </c>
      <c r="I3114" s="43">
        <v>134.81663739383333</v>
      </c>
    </row>
    <row r="3115" spans="1:9">
      <c r="A3115" s="19">
        <v>670.9</v>
      </c>
      <c r="B3115" s="43">
        <v>128.97834996541798</v>
      </c>
      <c r="C3115" s="43">
        <v>130.26131786220452</v>
      </c>
      <c r="D3115" s="43">
        <v>131.38697079762454</v>
      </c>
      <c r="E3115" s="43">
        <v>132.35750524014173</v>
      </c>
      <c r="F3115" s="43">
        <v>133.1787529175798</v>
      </c>
      <c r="G3115" s="43">
        <v>133.85899074474105</v>
      </c>
      <c r="H3115" s="43">
        <v>134.40794811442998</v>
      </c>
      <c r="I3115" s="43">
        <v>134.83603928805132</v>
      </c>
    </row>
    <row r="3116" spans="1:9">
      <c r="A3116" s="19">
        <v>671</v>
      </c>
      <c r="B3116" s="43">
        <v>128.99601501607833</v>
      </c>
      <c r="C3116" s="43">
        <v>130.27918574391805</v>
      </c>
      <c r="D3116" s="43">
        <v>131.40506777713853</v>
      </c>
      <c r="E3116" s="43">
        <v>132.37585035414918</v>
      </c>
      <c r="F3116" s="43">
        <v>133.19735824295822</v>
      </c>
      <c r="G3116" s="43">
        <v>133.8778621523627</v>
      </c>
      <c r="H3116" s="43">
        <v>134.42708625211407</v>
      </c>
      <c r="I3116" s="43">
        <v>134.85544061066776</v>
      </c>
    </row>
    <row r="3117" spans="1:9">
      <c r="A3117" s="19">
        <v>671.1</v>
      </c>
      <c r="B3117" s="43">
        <v>129.01367986093072</v>
      </c>
      <c r="C3117" s="43">
        <v>130.29705334830999</v>
      </c>
      <c r="D3117" s="43">
        <v>131.42316441039247</v>
      </c>
      <c r="E3117" s="43">
        <v>132.39419505887918</v>
      </c>
      <c r="F3117" s="43">
        <v>133.21596310427748</v>
      </c>
      <c r="G3117" s="43">
        <v>133.89673305048689</v>
      </c>
      <c r="H3117" s="43">
        <v>134.44622384463889</v>
      </c>
      <c r="I3117" s="43">
        <v>134.87484136185799</v>
      </c>
    </row>
    <row r="3118" spans="1:9">
      <c r="A3118" s="19">
        <v>671.2</v>
      </c>
      <c r="B3118" s="43">
        <v>129.03134450011299</v>
      </c>
      <c r="C3118" s="43">
        <v>130.31492067550442</v>
      </c>
      <c r="D3118" s="43">
        <v>131.44126069746414</v>
      </c>
      <c r="E3118" s="43">
        <v>132.41253935445508</v>
      </c>
      <c r="F3118" s="43">
        <v>133.23456750161063</v>
      </c>
      <c r="G3118" s="43">
        <v>133.91560343920725</v>
      </c>
      <c r="H3118" s="43">
        <v>134.46536089200555</v>
      </c>
      <c r="I3118" s="43">
        <v>134.89424154168142</v>
      </c>
    </row>
    <row r="3119" spans="1:9">
      <c r="A3119" s="19">
        <v>671.3</v>
      </c>
      <c r="B3119" s="43">
        <v>129.04900893375736</v>
      </c>
      <c r="C3119" s="43">
        <v>130.33278772566922</v>
      </c>
      <c r="D3119" s="43">
        <v>131.4593566386028</v>
      </c>
      <c r="E3119" s="43">
        <v>132.43088324106952</v>
      </c>
      <c r="F3119" s="43">
        <v>133.25317143521204</v>
      </c>
      <c r="G3119" s="43">
        <v>133.93447331878559</v>
      </c>
      <c r="H3119" s="43">
        <v>134.48449739452309</v>
      </c>
      <c r="I3119" s="43">
        <v>134.91364115035287</v>
      </c>
    </row>
    <row r="3120" spans="1:9">
      <c r="A3120" s="19">
        <v>671.4</v>
      </c>
      <c r="B3120" s="43">
        <v>129.06667316192562</v>
      </c>
      <c r="C3120" s="43">
        <v>130.3506544988935</v>
      </c>
      <c r="D3120" s="43">
        <v>131.47745223387744</v>
      </c>
      <c r="E3120" s="43">
        <v>132.44922671884797</v>
      </c>
      <c r="F3120" s="43">
        <v>133.27177490521251</v>
      </c>
      <c r="G3120" s="43">
        <v>133.95334268930475</v>
      </c>
      <c r="H3120" s="43">
        <v>134.50363335222852</v>
      </c>
      <c r="I3120" s="43">
        <v>134.93304018793407</v>
      </c>
    </row>
    <row r="3121" spans="1:9">
      <c r="A3121" s="19">
        <v>671.5</v>
      </c>
      <c r="B3121" s="43">
        <v>129.08433718483292</v>
      </c>
      <c r="C3121" s="43">
        <v>130.36852099536537</v>
      </c>
      <c r="D3121" s="43">
        <v>131.49554748349885</v>
      </c>
      <c r="E3121" s="43">
        <v>132.46756978801199</v>
      </c>
      <c r="F3121" s="43">
        <v>133.29037791176557</v>
      </c>
      <c r="G3121" s="43">
        <v>133.97221155095974</v>
      </c>
      <c r="H3121" s="43">
        <v>134.52276876533199</v>
      </c>
      <c r="I3121" s="43">
        <v>134.95243865462476</v>
      </c>
    </row>
    <row r="3122" spans="1:9">
      <c r="A3122" s="19">
        <v>671.6</v>
      </c>
      <c r="B3122" s="43">
        <v>129.10200100258743</v>
      </c>
      <c r="C3122" s="43">
        <v>130.38638721529799</v>
      </c>
      <c r="D3122" s="43">
        <v>131.51364238763637</v>
      </c>
      <c r="E3122" s="43">
        <v>132.48591244872097</v>
      </c>
      <c r="F3122" s="43">
        <v>133.30898045503784</v>
      </c>
      <c r="G3122" s="43">
        <v>133.99107990388262</v>
      </c>
      <c r="H3122" s="43">
        <v>134.54190363396054</v>
      </c>
      <c r="I3122" s="43">
        <v>134.97183655050469</v>
      </c>
    </row>
    <row r="3123" spans="1:9">
      <c r="A3123" s="19">
        <v>671.7</v>
      </c>
      <c r="B3123" s="43">
        <v>129.11966461521689</v>
      </c>
      <c r="C3123" s="43">
        <v>130.4042531586897</v>
      </c>
      <c r="D3123" s="43">
        <v>131.53173694636621</v>
      </c>
      <c r="E3123" s="43">
        <v>132.50425470105768</v>
      </c>
      <c r="F3123" s="43">
        <v>133.32758253519393</v>
      </c>
      <c r="G3123" s="43">
        <v>134.00994774822584</v>
      </c>
      <c r="H3123" s="43">
        <v>134.56103795824157</v>
      </c>
      <c r="I3123" s="43">
        <v>134.99123387573047</v>
      </c>
    </row>
    <row r="3124" spans="1:9">
      <c r="A3124" s="19">
        <v>671.8</v>
      </c>
      <c r="B3124" s="43">
        <v>129.13732802293799</v>
      </c>
      <c r="C3124" s="43">
        <v>130.42211882574571</v>
      </c>
      <c r="D3124" s="43">
        <v>131.54983115989944</v>
      </c>
      <c r="E3124" s="43">
        <v>132.52259654525881</v>
      </c>
      <c r="F3124" s="43">
        <v>133.34618415239015</v>
      </c>
      <c r="G3124" s="43">
        <v>134.02881508412059</v>
      </c>
      <c r="H3124" s="43">
        <v>134.58017173829427</v>
      </c>
      <c r="I3124" s="43">
        <v>135.01063063038555</v>
      </c>
    </row>
    <row r="3125" spans="1:9">
      <c r="A3125" s="19">
        <v>671.9</v>
      </c>
      <c r="B3125" s="43">
        <v>129.15499122587471</v>
      </c>
      <c r="C3125" s="43">
        <v>130.43998421664202</v>
      </c>
      <c r="D3125" s="43">
        <v>131.56792502841012</v>
      </c>
      <c r="E3125" s="43">
        <v>132.54093798145044</v>
      </c>
      <c r="F3125" s="43">
        <v>133.36478530678414</v>
      </c>
      <c r="G3125" s="43">
        <v>134.04768191180199</v>
      </c>
      <c r="H3125" s="43">
        <v>134.59930497435363</v>
      </c>
      <c r="I3125" s="43">
        <v>135.03002681467291</v>
      </c>
    </row>
    <row r="3126" spans="1:9">
      <c r="A3126" s="19">
        <v>672</v>
      </c>
      <c r="B3126" s="43">
        <v>129.17265422413521</v>
      </c>
      <c r="C3126" s="43">
        <v>130.45784933153516</v>
      </c>
      <c r="D3126" s="43">
        <v>131.58601855205194</v>
      </c>
      <c r="E3126" s="43">
        <v>132.55927900984943</v>
      </c>
      <c r="F3126" s="43">
        <v>133.38338599856831</v>
      </c>
      <c r="G3126" s="43">
        <v>134.0665482313546</v>
      </c>
      <c r="H3126" s="43">
        <v>134.61843766648354</v>
      </c>
      <c r="I3126" s="43">
        <v>135.04942242868714</v>
      </c>
    </row>
    <row r="3127" spans="1:9">
      <c r="A3127" s="19">
        <v>672.1</v>
      </c>
      <c r="B3127" s="43">
        <v>129.19031701784314</v>
      </c>
      <c r="C3127" s="43">
        <v>130.47571417049227</v>
      </c>
      <c r="D3127" s="43">
        <v>131.60411173092359</v>
      </c>
      <c r="E3127" s="43">
        <v>132.57761963054645</v>
      </c>
      <c r="F3127" s="43">
        <v>133.40198622785618</v>
      </c>
      <c r="G3127" s="43">
        <v>134.08541404297523</v>
      </c>
      <c r="H3127" s="43">
        <v>134.63756981486483</v>
      </c>
      <c r="I3127" s="43">
        <v>135.06881747255312</v>
      </c>
    </row>
    <row r="3128" spans="1:9">
      <c r="A3128" s="19">
        <v>672.2</v>
      </c>
      <c r="B3128" s="43">
        <v>129.20797960712702</v>
      </c>
      <c r="C3128" s="43">
        <v>130.49357873374709</v>
      </c>
      <c r="D3128" s="43">
        <v>131.62220456528291</v>
      </c>
      <c r="E3128" s="43">
        <v>132.59595984378382</v>
      </c>
      <c r="F3128" s="43">
        <v>133.42058599485603</v>
      </c>
      <c r="G3128" s="43">
        <v>134.10427934681934</v>
      </c>
      <c r="H3128" s="43">
        <v>134.65670141965609</v>
      </c>
      <c r="I3128" s="43">
        <v>135.08821194643753</v>
      </c>
    </row>
    <row r="3129" spans="1:9">
      <c r="A3129" s="19">
        <v>672.3</v>
      </c>
      <c r="B3129" s="43">
        <v>129.22564199210467</v>
      </c>
      <c r="C3129" s="43">
        <v>130.51144302139511</v>
      </c>
      <c r="D3129" s="43">
        <v>131.64029705518948</v>
      </c>
      <c r="E3129" s="43">
        <v>132.6142996496402</v>
      </c>
      <c r="F3129" s="43">
        <v>133.43918529971313</v>
      </c>
      <c r="G3129" s="43">
        <v>134.12314414301085</v>
      </c>
      <c r="H3129" s="43">
        <v>134.67583248096793</v>
      </c>
      <c r="I3129" s="43">
        <v>135.10760585043192</v>
      </c>
    </row>
    <row r="3130" spans="1:9">
      <c r="A3130" s="19">
        <v>672.4</v>
      </c>
      <c r="B3130" s="43">
        <v>129.24330417284756</v>
      </c>
      <c r="C3130" s="43">
        <v>130.52930703351586</v>
      </c>
      <c r="D3130" s="43">
        <v>131.65838920079284</v>
      </c>
      <c r="E3130" s="43">
        <v>132.63263904825652</v>
      </c>
      <c r="F3130" s="43">
        <v>133.45778414253311</v>
      </c>
      <c r="G3130" s="43">
        <v>134.14200843166458</v>
      </c>
      <c r="H3130" s="43">
        <v>134.69496299890812</v>
      </c>
      <c r="I3130" s="43">
        <v>135.12699918464756</v>
      </c>
    </row>
    <row r="3131" spans="1:9">
      <c r="A3131" s="19">
        <v>672.5</v>
      </c>
      <c r="B3131" s="43">
        <v>129.26096614953263</v>
      </c>
      <c r="C3131" s="43">
        <v>130.54717077033922</v>
      </c>
      <c r="D3131" s="43">
        <v>131.67648100233578</v>
      </c>
      <c r="E3131" s="43">
        <v>132.65097803991671</v>
      </c>
      <c r="F3131" s="43">
        <v>133.47638252352749</v>
      </c>
      <c r="G3131" s="43">
        <v>134.16087221302456</v>
      </c>
      <c r="H3131" s="43">
        <v>134.71409297369775</v>
      </c>
      <c r="I3131" s="43">
        <v>135.14639194930146</v>
      </c>
    </row>
    <row r="3132" spans="1:9">
      <c r="A3132" s="19">
        <v>672.6</v>
      </c>
      <c r="B3132" s="43">
        <v>129.27862792228365</v>
      </c>
      <c r="C3132" s="43">
        <v>130.5650342319588</v>
      </c>
      <c r="D3132" s="43">
        <v>131.69457245987996</v>
      </c>
      <c r="E3132" s="43">
        <v>132.66931662466408</v>
      </c>
      <c r="F3132" s="43">
        <v>133.49498044286798</v>
      </c>
      <c r="G3132" s="43">
        <v>134.17973548719704</v>
      </c>
      <c r="H3132" s="43">
        <v>134.7332224054569</v>
      </c>
      <c r="I3132" s="43">
        <v>135.16578414443768</v>
      </c>
    </row>
    <row r="3133" spans="1:9">
      <c r="A3133" s="19">
        <v>672.7</v>
      </c>
      <c r="B3133" s="43">
        <v>129.29628949128522</v>
      </c>
      <c r="C3133" s="43">
        <v>130.58289741861324</v>
      </c>
      <c r="D3133" s="43">
        <v>131.71266357370212</v>
      </c>
      <c r="E3133" s="43">
        <v>132.68765480280678</v>
      </c>
      <c r="F3133" s="43">
        <v>133.51357790076366</v>
      </c>
      <c r="G3133" s="43">
        <v>134.19859825438346</v>
      </c>
      <c r="H3133" s="43">
        <v>134.75235129435384</v>
      </c>
      <c r="I3133" s="43">
        <v>135.18517577026057</v>
      </c>
    </row>
    <row r="3134" spans="1:9">
      <c r="A3134" s="19">
        <v>672.8</v>
      </c>
      <c r="B3134" s="43">
        <v>129.31395085656214</v>
      </c>
      <c r="C3134" s="43">
        <v>130.60076033034466</v>
      </c>
      <c r="D3134" s="43">
        <v>131.7307543438742</v>
      </c>
      <c r="E3134" s="43">
        <v>132.70599257435401</v>
      </c>
      <c r="F3134" s="43">
        <v>133.53217489727245</v>
      </c>
      <c r="G3134" s="43">
        <v>134.21746051470819</v>
      </c>
      <c r="H3134" s="43">
        <v>134.77147964051056</v>
      </c>
      <c r="I3134" s="43">
        <v>135.20456682686336</v>
      </c>
    </row>
    <row r="3135" spans="1:9">
      <c r="A3135" s="19">
        <v>672.9</v>
      </c>
      <c r="B3135" s="43">
        <v>129.3316120182364</v>
      </c>
      <c r="C3135" s="43">
        <v>130.61862296730914</v>
      </c>
      <c r="D3135" s="43">
        <v>131.74884477053013</v>
      </c>
      <c r="E3135" s="43">
        <v>132.72432993947916</v>
      </c>
      <c r="F3135" s="43">
        <v>133.55077143256045</v>
      </c>
      <c r="G3135" s="43">
        <v>134.23632226826936</v>
      </c>
      <c r="H3135" s="43">
        <v>134.79060744401966</v>
      </c>
      <c r="I3135" s="43">
        <v>135.22395731435211</v>
      </c>
    </row>
    <row r="3136" spans="1:9">
      <c r="A3136" s="19">
        <v>673</v>
      </c>
      <c r="B3136" s="43">
        <v>129.34927297649779</v>
      </c>
      <c r="C3136" s="43">
        <v>130.63648532968438</v>
      </c>
      <c r="D3136" s="43">
        <v>131.76693485387199</v>
      </c>
      <c r="E3136" s="43">
        <v>132.74266689844234</v>
      </c>
      <c r="F3136" s="43">
        <v>133.56936750687476</v>
      </c>
      <c r="G3136" s="43">
        <v>134.25518351530178</v>
      </c>
      <c r="H3136" s="43">
        <v>134.80973470509986</v>
      </c>
      <c r="I3136" s="43">
        <v>135.24334723287581</v>
      </c>
    </row>
    <row r="3137" spans="1:9">
      <c r="A3137" s="19">
        <v>673.1</v>
      </c>
      <c r="B3137" s="43">
        <v>129.36693373139644</v>
      </c>
      <c r="C3137" s="43">
        <v>130.65434741753012</v>
      </c>
      <c r="D3137" s="43">
        <v>131.78502459402989</v>
      </c>
      <c r="E3137" s="43">
        <v>132.76100345132511</v>
      </c>
      <c r="F3137" s="43">
        <v>133.5879631202875</v>
      </c>
      <c r="G3137" s="43">
        <v>134.27404425596035</v>
      </c>
      <c r="H3137" s="43">
        <v>134.82886142385638</v>
      </c>
      <c r="I3137" s="43">
        <v>135.26273658261186</v>
      </c>
    </row>
    <row r="3138" spans="1:9">
      <c r="A3138" s="19">
        <v>673.2</v>
      </c>
      <c r="B3138" s="43">
        <v>129.38459428311074</v>
      </c>
      <c r="C3138" s="43">
        <v>130.67220923113206</v>
      </c>
      <c r="D3138" s="43">
        <v>131.80311399117329</v>
      </c>
      <c r="E3138" s="43">
        <v>132.77933959832006</v>
      </c>
      <c r="F3138" s="43">
        <v>133.60655827301161</v>
      </c>
      <c r="G3138" s="43">
        <v>134.29290449032641</v>
      </c>
      <c r="H3138" s="43">
        <v>134.84798760044379</v>
      </c>
      <c r="I3138" s="43">
        <v>135.28212536362156</v>
      </c>
    </row>
    <row r="3139" spans="1:9">
      <c r="A3139" s="19">
        <v>673.3</v>
      </c>
      <c r="B3139" s="43">
        <v>129.402254631809</v>
      </c>
      <c r="C3139" s="43">
        <v>130.69007077054863</v>
      </c>
      <c r="D3139" s="43">
        <v>131.82120304548124</v>
      </c>
      <c r="E3139" s="43">
        <v>132.79767533962024</v>
      </c>
      <c r="F3139" s="43">
        <v>133.62515296523719</v>
      </c>
      <c r="G3139" s="43">
        <v>134.31176421866456</v>
      </c>
      <c r="H3139" s="43">
        <v>134.86711323504869</v>
      </c>
      <c r="I3139" s="43">
        <v>135.30151357611021</v>
      </c>
    </row>
    <row r="3140" spans="1:9">
      <c r="A3140" s="19">
        <v>673.4</v>
      </c>
      <c r="B3140" s="43">
        <v>129.41991477748178</v>
      </c>
      <c r="C3140" s="43">
        <v>130.7079320358913</v>
      </c>
      <c r="D3140" s="43">
        <v>131.83929175705305</v>
      </c>
      <c r="E3140" s="43">
        <v>132.81601067531204</v>
      </c>
      <c r="F3140" s="43">
        <v>133.64374719705631</v>
      </c>
      <c r="G3140" s="43">
        <v>134.33062344101899</v>
      </c>
      <c r="H3140" s="43">
        <v>134.88623832775687</v>
      </c>
      <c r="I3140" s="43">
        <v>135.32090122013665</v>
      </c>
    </row>
    <row r="3141" spans="1:9">
      <c r="A3141" s="19">
        <v>673.5</v>
      </c>
      <c r="B3141" s="43">
        <v>129.43757472033883</v>
      </c>
      <c r="C3141" s="43">
        <v>130.72579302735761</v>
      </c>
      <c r="D3141" s="43">
        <v>131.85738012606407</v>
      </c>
      <c r="E3141" s="43">
        <v>132.83434560556702</v>
      </c>
      <c r="F3141" s="43">
        <v>133.66234096862246</v>
      </c>
      <c r="G3141" s="43">
        <v>134.3494821575822</v>
      </c>
      <c r="H3141" s="43">
        <v>134.90536287871225</v>
      </c>
      <c r="I3141" s="43">
        <v>135.34028829586254</v>
      </c>
    </row>
    <row r="3142" spans="1:9">
      <c r="A3142" s="19">
        <v>673.6</v>
      </c>
      <c r="B3142" s="43">
        <v>129.45523446048179</v>
      </c>
      <c r="C3142" s="43">
        <v>130.74365374507471</v>
      </c>
      <c r="D3142" s="43">
        <v>131.8754681527227</v>
      </c>
      <c r="E3142" s="43">
        <v>132.85268013064155</v>
      </c>
      <c r="F3142" s="43">
        <v>133.68093428016692</v>
      </c>
      <c r="G3142" s="43">
        <v>134.36834036853799</v>
      </c>
      <c r="H3142" s="43">
        <v>134.92448688812948</v>
      </c>
      <c r="I3142" s="43">
        <v>135.35967480343811</v>
      </c>
    </row>
    <row r="3143" spans="1:9">
      <c r="A3143" s="19">
        <v>673.7</v>
      </c>
      <c r="B3143" s="43">
        <v>129.47289399810887</v>
      </c>
      <c r="C3143" s="43">
        <v>130.76151418915589</v>
      </c>
      <c r="D3143" s="43">
        <v>131.89355583710881</v>
      </c>
      <c r="E3143" s="43">
        <v>132.87101425059456</v>
      </c>
      <c r="F3143" s="43">
        <v>133.69952713179833</v>
      </c>
      <c r="G3143" s="43">
        <v>134.3871980740347</v>
      </c>
      <c r="H3143" s="43">
        <v>134.94361035606977</v>
      </c>
      <c r="I3143" s="43">
        <v>135.3790607429662</v>
      </c>
    </row>
    <row r="3144" spans="1:9">
      <c r="A3144" s="19">
        <v>673.8</v>
      </c>
      <c r="B3144" s="43">
        <v>129.49055333315903</v>
      </c>
      <c r="C3144" s="43">
        <v>130.77937435976531</v>
      </c>
      <c r="D3144" s="43">
        <v>131.91164317938069</v>
      </c>
      <c r="E3144" s="43">
        <v>132.88934796560943</v>
      </c>
      <c r="F3144" s="43">
        <v>133.71811952367386</v>
      </c>
      <c r="G3144" s="43">
        <v>134.40605527418353</v>
      </c>
      <c r="H3144" s="43">
        <v>134.96273328271167</v>
      </c>
      <c r="I3144" s="43">
        <v>135.39844611456232</v>
      </c>
    </row>
    <row r="3145" spans="1:9">
      <c r="A3145" s="19">
        <v>673.9</v>
      </c>
      <c r="B3145" s="43">
        <v>129.50821246596871</v>
      </c>
      <c r="C3145" s="43">
        <v>130.79723425711234</v>
      </c>
      <c r="D3145" s="43">
        <v>131.92973017980256</v>
      </c>
      <c r="E3145" s="43">
        <v>132.90768127592281</v>
      </c>
      <c r="F3145" s="43">
        <v>133.73671145603805</v>
      </c>
      <c r="G3145" s="43">
        <v>134.42491196921623</v>
      </c>
      <c r="H3145" s="43">
        <v>134.9818556682398</v>
      </c>
      <c r="I3145" s="43">
        <v>135.41783091844655</v>
      </c>
    </row>
    <row r="3146" spans="1:9">
      <c r="A3146" s="19">
        <v>674</v>
      </c>
      <c r="B3146" s="43">
        <v>129.52587139651331</v>
      </c>
      <c r="C3146" s="43">
        <v>130.8150938812006</v>
      </c>
      <c r="D3146" s="43">
        <v>131.94781683837681</v>
      </c>
      <c r="E3146" s="43">
        <v>132.92601418154391</v>
      </c>
      <c r="F3146" s="43">
        <v>133.75530292891858</v>
      </c>
      <c r="G3146" s="43">
        <v>134.44376815919151</v>
      </c>
      <c r="H3146" s="43">
        <v>135.00097751269772</v>
      </c>
      <c r="I3146" s="43">
        <v>135.43721515465273</v>
      </c>
    </row>
    <row r="3147" spans="1:9">
      <c r="A3147" s="19">
        <v>674.1</v>
      </c>
      <c r="B3147" s="43">
        <v>129.54353012488434</v>
      </c>
      <c r="C3147" s="43">
        <v>130.83295323221745</v>
      </c>
      <c r="D3147" s="43">
        <v>131.96590315530119</v>
      </c>
      <c r="E3147" s="43">
        <v>132.94434668267888</v>
      </c>
      <c r="F3147" s="43">
        <v>133.77389394250292</v>
      </c>
      <c r="G3147" s="43">
        <v>134.46262384429127</v>
      </c>
      <c r="H3147" s="43">
        <v>135.0200988162722</v>
      </c>
      <c r="I3147" s="43">
        <v>135.4565988233216</v>
      </c>
    </row>
    <row r="3148" spans="1:9">
      <c r="A3148" s="19">
        <v>674.2</v>
      </c>
      <c r="B3148" s="43">
        <v>129.56118865141747</v>
      </c>
      <c r="C3148" s="43">
        <v>130.85081231048184</v>
      </c>
      <c r="D3148" s="43">
        <v>131.98398913086697</v>
      </c>
      <c r="E3148" s="43">
        <v>132.96267877968478</v>
      </c>
      <c r="F3148" s="43">
        <v>133.79248449709542</v>
      </c>
      <c r="G3148" s="43">
        <v>134.48147902479036</v>
      </c>
      <c r="H3148" s="43">
        <v>135.03921957922364</v>
      </c>
      <c r="I3148" s="43">
        <v>135.47598192467728</v>
      </c>
    </row>
    <row r="3149" spans="1:9">
      <c r="A3149" s="19">
        <v>674.3</v>
      </c>
      <c r="B3149" s="43">
        <v>129.57884697610285</v>
      </c>
      <c r="C3149" s="43">
        <v>130.86867111591783</v>
      </c>
      <c r="D3149" s="43">
        <v>132.00207476509701</v>
      </c>
      <c r="E3149" s="43">
        <v>132.9810104725305</v>
      </c>
      <c r="F3149" s="43">
        <v>133.81107459276103</v>
      </c>
      <c r="G3149" s="43">
        <v>134.50033370069747</v>
      </c>
      <c r="H3149" s="43">
        <v>135.05833980156729</v>
      </c>
      <c r="I3149" s="43">
        <v>135.4953644587593</v>
      </c>
    </row>
    <row r="3150" spans="1:9">
      <c r="A3150" s="19">
        <v>674.4</v>
      </c>
      <c r="B3150" s="43">
        <v>129.59650509905879</v>
      </c>
      <c r="C3150" s="43">
        <v>130.88652964872909</v>
      </c>
      <c r="D3150" s="43">
        <v>132.02016005816057</v>
      </c>
      <c r="E3150" s="43">
        <v>132.99934176143358</v>
      </c>
      <c r="F3150" s="43">
        <v>133.82966422963347</v>
      </c>
      <c r="G3150" s="43">
        <v>134.51918787224383</v>
      </c>
      <c r="H3150" s="43">
        <v>135.07745948348366</v>
      </c>
      <c r="I3150" s="43">
        <v>135.51474642574118</v>
      </c>
    </row>
    <row r="3151" spans="1:9">
      <c r="A3151" s="19">
        <v>674.5</v>
      </c>
      <c r="B3151" s="43">
        <v>129.61416302035548</v>
      </c>
      <c r="C3151" s="43">
        <v>130.90438790908462</v>
      </c>
      <c r="D3151" s="43">
        <v>132.03824501021347</v>
      </c>
      <c r="E3151" s="43">
        <v>133.01767264646662</v>
      </c>
      <c r="F3151" s="43">
        <v>133.84825340787273</v>
      </c>
      <c r="G3151" s="43">
        <v>134.5380415395399</v>
      </c>
      <c r="H3151" s="43">
        <v>135.09657862512165</v>
      </c>
      <c r="I3151" s="43">
        <v>135.53412782572559</v>
      </c>
    </row>
    <row r="3152" spans="1:9">
      <c r="A3152" s="19">
        <v>674.6</v>
      </c>
      <c r="B3152" s="43">
        <v>129.6318207402004</v>
      </c>
      <c r="C3152" s="43">
        <v>130.92224589708263</v>
      </c>
      <c r="D3152" s="43">
        <v>132.05632962143721</v>
      </c>
      <c r="E3152" s="43">
        <v>133.03600312790479</v>
      </c>
      <c r="F3152" s="43">
        <v>133.86684212766261</v>
      </c>
      <c r="G3152" s="43">
        <v>134.55689470272938</v>
      </c>
      <c r="H3152" s="43">
        <v>135.11569722658089</v>
      </c>
      <c r="I3152" s="43">
        <v>135.55350865882684</v>
      </c>
    </row>
    <row r="3153" spans="1:9">
      <c r="A3153" s="19">
        <v>674.7</v>
      </c>
      <c r="B3153" s="43">
        <v>129.64947825869342</v>
      </c>
      <c r="C3153" s="43">
        <v>130.94010361290816</v>
      </c>
      <c r="D3153" s="43">
        <v>132.07441389193229</v>
      </c>
      <c r="E3153" s="43">
        <v>133.0543332058557</v>
      </c>
      <c r="F3153" s="43">
        <v>133.8854303891564</v>
      </c>
      <c r="G3153" s="43">
        <v>134.57574736201656</v>
      </c>
      <c r="H3153" s="43">
        <v>135.13481528806619</v>
      </c>
      <c r="I3153" s="43">
        <v>135.57288892523013</v>
      </c>
    </row>
    <row r="3154" spans="1:9">
      <c r="A3154" s="19">
        <v>674.8</v>
      </c>
      <c r="B3154" s="43">
        <v>129.66713557589901</v>
      </c>
      <c r="C3154" s="43">
        <v>130.95796105667847</v>
      </c>
      <c r="D3154" s="43">
        <v>132.09249782191199</v>
      </c>
      <c r="E3154" s="43">
        <v>133.0726628804747</v>
      </c>
      <c r="F3154" s="43">
        <v>133.9040181924957</v>
      </c>
      <c r="G3154" s="43">
        <v>134.59459951751472</v>
      </c>
      <c r="H3154" s="43">
        <v>135.15393280967379</v>
      </c>
      <c r="I3154" s="43">
        <v>135.59226862503715</v>
      </c>
    </row>
    <row r="3155" spans="1:9">
      <c r="A3155" s="19">
        <v>674.9</v>
      </c>
      <c r="B3155" s="43">
        <v>129.68479269202885</v>
      </c>
      <c r="C3155" s="43">
        <v>130.97581822855147</v>
      </c>
      <c r="D3155" s="43">
        <v>132.11058141152012</v>
      </c>
      <c r="E3155" s="43">
        <v>133.0909921519447</v>
      </c>
      <c r="F3155" s="43">
        <v>133.9226055378864</v>
      </c>
      <c r="G3155" s="43">
        <v>134.61345116939913</v>
      </c>
      <c r="H3155" s="43">
        <v>135.17304979160389</v>
      </c>
      <c r="I3155" s="43">
        <v>135.61164775838597</v>
      </c>
    </row>
    <row r="3156" spans="1:9">
      <c r="A3156" s="19">
        <v>675</v>
      </c>
      <c r="B3156" s="43">
        <v>129.70244960708254</v>
      </c>
      <c r="C3156" s="43">
        <v>130.99367512856594</v>
      </c>
      <c r="D3156" s="43">
        <v>132.12866466081425</v>
      </c>
      <c r="E3156" s="43">
        <v>133.10932102038669</v>
      </c>
      <c r="F3156" s="43">
        <v>133.9411924254112</v>
      </c>
      <c r="G3156" s="43">
        <v>134.63230231781051</v>
      </c>
      <c r="H3156" s="43">
        <v>135.19216623393692</v>
      </c>
      <c r="I3156" s="43">
        <v>135.63102632539113</v>
      </c>
    </row>
    <row r="3157" spans="1:9">
      <c r="A3157" s="19">
        <v>675.1</v>
      </c>
      <c r="B3157" s="43">
        <v>129.7201063213829</v>
      </c>
      <c r="C3157" s="43">
        <v>131.01153175707708</v>
      </c>
      <c r="D3157" s="43">
        <v>132.1467475701437</v>
      </c>
      <c r="E3157" s="43">
        <v>133.12764948605849</v>
      </c>
      <c r="F3157" s="43">
        <v>133.9597788553537</v>
      </c>
      <c r="G3157" s="43">
        <v>134.65115296296119</v>
      </c>
      <c r="H3157" s="43">
        <v>135.21128213689326</v>
      </c>
      <c r="I3157" s="43">
        <v>135.6504043262288</v>
      </c>
    </row>
    <row r="3158" spans="1:9">
      <c r="A3158" s="19">
        <v>675.2</v>
      </c>
      <c r="B3158" s="43">
        <v>129.73776283492811</v>
      </c>
      <c r="C3158" s="43">
        <v>131.02938811409012</v>
      </c>
      <c r="D3158" s="43">
        <v>132.16483013954917</v>
      </c>
      <c r="E3158" s="43">
        <v>133.1459775490269</v>
      </c>
      <c r="F3158" s="43">
        <v>133.97836482780377</v>
      </c>
      <c r="G3158" s="43">
        <v>134.67000310494171</v>
      </c>
      <c r="H3158" s="43">
        <v>135.23039750057347</v>
      </c>
      <c r="I3158" s="43">
        <v>135.66978176098098</v>
      </c>
    </row>
    <row r="3159" spans="1:9">
      <c r="A3159" s="19">
        <v>675.3</v>
      </c>
      <c r="B3159" s="43">
        <v>129.75541914782963</v>
      </c>
      <c r="C3159" s="43">
        <v>131.04724419973917</v>
      </c>
      <c r="D3159" s="43">
        <v>132.1829123691748</v>
      </c>
      <c r="E3159" s="43">
        <v>133.16430520947824</v>
      </c>
      <c r="F3159" s="43">
        <v>133.99695034290733</v>
      </c>
      <c r="G3159" s="43">
        <v>134.68885274394745</v>
      </c>
      <c r="H3159" s="43">
        <v>135.24951232511296</v>
      </c>
      <c r="I3159" s="43">
        <v>135.68915862982414</v>
      </c>
    </row>
    <row r="3160" spans="1:9">
      <c r="A3160" s="19">
        <v>675.4</v>
      </c>
      <c r="B3160" s="43">
        <v>129.77307526018342</v>
      </c>
      <c r="C3160" s="43">
        <v>131.06510001417621</v>
      </c>
      <c r="D3160" s="43">
        <v>132.20099425914628</v>
      </c>
      <c r="E3160" s="43">
        <v>133.18263246758056</v>
      </c>
      <c r="F3160" s="43">
        <v>134.01553540083086</v>
      </c>
      <c r="G3160" s="43">
        <v>134.7077018800565</v>
      </c>
      <c r="H3160" s="43">
        <v>135.2686266106511</v>
      </c>
      <c r="I3160" s="43">
        <v>135.70853493283317</v>
      </c>
    </row>
    <row r="3161" spans="1:9">
      <c r="A3161" s="19">
        <v>675.5</v>
      </c>
      <c r="B3161" s="43">
        <v>129.79073117218093</v>
      </c>
      <c r="C3161" s="43">
        <v>131.08295555756405</v>
      </c>
      <c r="D3161" s="43">
        <v>132.21907580969417</v>
      </c>
      <c r="E3161" s="43">
        <v>133.2009593234784</v>
      </c>
      <c r="F3161" s="43">
        <v>134.03412000174893</v>
      </c>
      <c r="G3161" s="43">
        <v>134.72655051349636</v>
      </c>
      <c r="H3161" s="43">
        <v>135.28774035737314</v>
      </c>
      <c r="I3161" s="43">
        <v>135.72791067019847</v>
      </c>
    </row>
    <row r="3162" spans="1:9">
      <c r="A3162" s="19">
        <v>675.6</v>
      </c>
      <c r="B3162" s="43">
        <v>129.80838688394368</v>
      </c>
      <c r="C3162" s="43">
        <v>131.10081083007179</v>
      </c>
      <c r="D3162" s="43">
        <v>132.2371570209836</v>
      </c>
      <c r="E3162" s="43">
        <v>133.21928577737987</v>
      </c>
      <c r="F3162" s="43">
        <v>134.05270414583879</v>
      </c>
      <c r="G3162" s="43">
        <v>134.74539864441289</v>
      </c>
      <c r="H3162" s="43">
        <v>135.30685356539624</v>
      </c>
      <c r="I3162" s="43">
        <v>135.74728584202239</v>
      </c>
    </row>
    <row r="3163" spans="1:9">
      <c r="A3163" s="19">
        <v>675.7</v>
      </c>
      <c r="B3163" s="43">
        <v>129.82604239551426</v>
      </c>
      <c r="C3163" s="43">
        <v>131.11866583175669</v>
      </c>
      <c r="D3163" s="43">
        <v>132.25523789302611</v>
      </c>
      <c r="E3163" s="43">
        <v>133.2376118293522</v>
      </c>
      <c r="F3163" s="43">
        <v>134.07128783318228</v>
      </c>
      <c r="G3163" s="43">
        <v>134.76424627292761</v>
      </c>
      <c r="H3163" s="43">
        <v>135.32596623485841</v>
      </c>
      <c r="I3163" s="43">
        <v>135.76666044839612</v>
      </c>
    </row>
    <row r="3164" spans="1:9">
      <c r="A3164" s="19">
        <v>675.8</v>
      </c>
      <c r="B3164" s="43">
        <v>129.84369770704944</v>
      </c>
      <c r="C3164" s="43">
        <v>131.13652056279307</v>
      </c>
      <c r="D3164" s="43">
        <v>132.27331842613717</v>
      </c>
      <c r="E3164" s="43">
        <v>133.25593747963421</v>
      </c>
      <c r="F3164" s="43">
        <v>134.0898710639969</v>
      </c>
      <c r="G3164" s="43">
        <v>134.78309339920423</v>
      </c>
      <c r="H3164" s="43">
        <v>135.34507836589404</v>
      </c>
      <c r="I3164" s="43">
        <v>135.78603448952214</v>
      </c>
    </row>
    <row r="3165" spans="1:9">
      <c r="A3165" s="19">
        <v>675.9</v>
      </c>
      <c r="B3165" s="43">
        <v>129.86135281861095</v>
      </c>
      <c r="C3165" s="43">
        <v>131.15437502323465</v>
      </c>
      <c r="D3165" s="43">
        <v>132.29139862030559</v>
      </c>
      <c r="E3165" s="43">
        <v>133.27426272827387</v>
      </c>
      <c r="F3165" s="43">
        <v>134.10845383838409</v>
      </c>
      <c r="G3165" s="43">
        <v>134.80194002337288</v>
      </c>
      <c r="H3165" s="43">
        <v>135.36418995861402</v>
      </c>
      <c r="I3165" s="43">
        <v>135.80540796544392</v>
      </c>
    </row>
    <row r="3166" spans="1:9">
      <c r="A3166" s="19">
        <v>676</v>
      </c>
      <c r="B3166" s="43">
        <v>129.87900773060693</v>
      </c>
      <c r="C3166" s="43">
        <v>131.17222921353385</v>
      </c>
      <c r="D3166" s="43">
        <v>132.30947847595894</v>
      </c>
      <c r="E3166" s="43">
        <v>133.29258757569886</v>
      </c>
      <c r="F3166" s="43">
        <v>134.12703615672007</v>
      </c>
      <c r="G3166" s="43">
        <v>134.82078614574823</v>
      </c>
      <c r="H3166" s="43">
        <v>135.38330101332514</v>
      </c>
      <c r="I3166" s="43">
        <v>135.82478087644546</v>
      </c>
    </row>
    <row r="3167" spans="1:9">
      <c r="A3167" s="19">
        <v>676.1</v>
      </c>
      <c r="B3167" s="43">
        <v>129.89666244286326</v>
      </c>
      <c r="C3167" s="43">
        <v>131.19008313356738</v>
      </c>
      <c r="D3167" s="43">
        <v>132.32755799304084</v>
      </c>
      <c r="E3167" s="43">
        <v>133.31091202180011</v>
      </c>
      <c r="F3167" s="43">
        <v>134.14561801893967</v>
      </c>
      <c r="G3167" s="43">
        <v>134.83963176629373</v>
      </c>
      <c r="H3167" s="43">
        <v>135.40241153005616</v>
      </c>
      <c r="I3167" s="43">
        <v>135.84415322255609</v>
      </c>
    </row>
    <row r="3168" spans="1:9">
      <c r="A3168" s="19">
        <v>676.2</v>
      </c>
      <c r="B3168" s="43">
        <v>129.91431695560283</v>
      </c>
      <c r="C3168" s="43">
        <v>131.20793678349452</v>
      </c>
      <c r="D3168" s="43">
        <v>132.34563717169442</v>
      </c>
      <c r="E3168" s="43">
        <v>133.32923606685659</v>
      </c>
      <c r="F3168" s="43">
        <v>134.16419942525533</v>
      </c>
      <c r="G3168" s="43">
        <v>134.85847688522756</v>
      </c>
      <c r="H3168" s="43">
        <v>135.42152150890644</v>
      </c>
      <c r="I3168" s="43">
        <v>135.86352500386749</v>
      </c>
    </row>
    <row r="3169" spans="1:9">
      <c r="A3169" s="19">
        <v>676.3</v>
      </c>
      <c r="B3169" s="43">
        <v>129.9319712688777</v>
      </c>
      <c r="C3169" s="43">
        <v>131.22579016347601</v>
      </c>
      <c r="D3169" s="43">
        <v>132.36371601209754</v>
      </c>
      <c r="E3169" s="43">
        <v>133.34755971093966</v>
      </c>
      <c r="F3169" s="43">
        <v>134.18278037581297</v>
      </c>
      <c r="G3169" s="43">
        <v>134.87732150267107</v>
      </c>
      <c r="H3169" s="43">
        <v>135.44063095007846</v>
      </c>
      <c r="I3169" s="43">
        <v>135.88289622056374</v>
      </c>
    </row>
    <row r="3170" spans="1:9">
      <c r="A3170" s="19">
        <v>676.4</v>
      </c>
      <c r="B3170" s="43">
        <v>129.94962538293282</v>
      </c>
      <c r="C3170" s="43">
        <v>131.2436432737357</v>
      </c>
      <c r="D3170" s="43">
        <v>132.38179451451299</v>
      </c>
      <c r="E3170" s="43">
        <v>133.36588295433893</v>
      </c>
      <c r="F3170" s="43">
        <v>134.20136087085217</v>
      </c>
      <c r="G3170" s="43">
        <v>134.89616561889108</v>
      </c>
      <c r="H3170" s="43">
        <v>135.45973985372734</v>
      </c>
      <c r="I3170" s="43">
        <v>135.90226687278459</v>
      </c>
    </row>
    <row r="3171" spans="1:9">
      <c r="A3171" s="19">
        <v>676.5</v>
      </c>
      <c r="B3171" s="43">
        <v>129.96727929772658</v>
      </c>
      <c r="C3171" s="43">
        <v>131.26149611425916</v>
      </c>
      <c r="D3171" s="43">
        <v>132.39987267892786</v>
      </c>
      <c r="E3171" s="43">
        <v>133.38420579707565</v>
      </c>
      <c r="F3171" s="43">
        <v>134.21994091038044</v>
      </c>
      <c r="G3171" s="43">
        <v>134.91500923387991</v>
      </c>
      <c r="H3171" s="43">
        <v>135.47884821993642</v>
      </c>
      <c r="I3171" s="43">
        <v>135.92163696064517</v>
      </c>
    </row>
    <row r="3172" spans="1:9">
      <c r="A3172" s="19">
        <v>676.6</v>
      </c>
      <c r="B3172" s="43">
        <v>129.98493301351647</v>
      </c>
      <c r="C3172" s="43">
        <v>131.27934868529633</v>
      </c>
      <c r="D3172" s="43">
        <v>132.41795050563161</v>
      </c>
      <c r="E3172" s="43">
        <v>133.4025282394357</v>
      </c>
      <c r="F3172" s="43">
        <v>134.23852049476216</v>
      </c>
      <c r="G3172" s="43">
        <v>134.93385234792873</v>
      </c>
      <c r="H3172" s="43">
        <v>135.49795604894973</v>
      </c>
      <c r="I3172" s="43">
        <v>135.94100648429406</v>
      </c>
    </row>
    <row r="3173" spans="1:9">
      <c r="A3173" s="19">
        <v>676.7</v>
      </c>
      <c r="B3173" s="43">
        <v>130.00258653041169</v>
      </c>
      <c r="C3173" s="43">
        <v>131.29720098700085</v>
      </c>
      <c r="D3173" s="43">
        <v>132.43602799472632</v>
      </c>
      <c r="E3173" s="43">
        <v>133.42085028152462</v>
      </c>
      <c r="F3173" s="43">
        <v>134.25709962400947</v>
      </c>
      <c r="G3173" s="43">
        <v>134.95269496110234</v>
      </c>
      <c r="H3173" s="43">
        <v>135.51706334082826</v>
      </c>
      <c r="I3173" s="43">
        <v>135.96037544382352</v>
      </c>
    </row>
    <row r="3174" spans="1:9">
      <c r="A3174" s="19">
        <v>676.8</v>
      </c>
      <c r="B3174" s="43">
        <v>130.0202398483907</v>
      </c>
      <c r="C3174" s="43">
        <v>131.31505301937449</v>
      </c>
      <c r="D3174" s="43">
        <v>132.45410514628298</v>
      </c>
      <c r="E3174" s="43">
        <v>133.43917192337085</v>
      </c>
      <c r="F3174" s="43">
        <v>134.27567829825529</v>
      </c>
      <c r="G3174" s="43">
        <v>134.97153707357148</v>
      </c>
      <c r="H3174" s="43">
        <v>135.53617009570127</v>
      </c>
      <c r="I3174" s="43">
        <v>135.9797438393586</v>
      </c>
    </row>
    <row r="3175" spans="1:9">
      <c r="A3175" s="19">
        <v>676.9</v>
      </c>
      <c r="B3175" s="43">
        <v>130.03789296777899</v>
      </c>
      <c r="C3175" s="43">
        <v>131.3329047827682</v>
      </c>
      <c r="D3175" s="43">
        <v>132.47218196060766</v>
      </c>
      <c r="E3175" s="43">
        <v>133.45749316540298</v>
      </c>
      <c r="F3175" s="43">
        <v>134.29425651778922</v>
      </c>
      <c r="G3175" s="43">
        <v>134.99037868554308</v>
      </c>
      <c r="H3175" s="43">
        <v>135.5552763137776</v>
      </c>
      <c r="I3175" s="43">
        <v>135.99911167109747</v>
      </c>
    </row>
    <row r="3176" spans="1:9">
      <c r="A3176" s="19">
        <v>677</v>
      </c>
      <c r="B3176" s="43">
        <v>130.05554588861463</v>
      </c>
      <c r="C3176" s="43">
        <v>131.350756277171</v>
      </c>
      <c r="D3176" s="43">
        <v>132.49025843778168</v>
      </c>
      <c r="E3176" s="43">
        <v>133.47581400759134</v>
      </c>
      <c r="F3176" s="43">
        <v>134.31283428271541</v>
      </c>
      <c r="G3176" s="43">
        <v>135.00921979715383</v>
      </c>
      <c r="H3176" s="43">
        <v>135.574381995198</v>
      </c>
      <c r="I3176" s="43">
        <v>136.01847893913401</v>
      </c>
    </row>
    <row r="3177" spans="1:9">
      <c r="A3177" s="19">
        <v>677.1</v>
      </c>
      <c r="B3177" s="43">
        <v>130.07319861093669</v>
      </c>
      <c r="C3177" s="43">
        <v>131.36860750276873</v>
      </c>
      <c r="D3177" s="43">
        <v>132.50833457792874</v>
      </c>
      <c r="E3177" s="43">
        <v>133.49413445014187</v>
      </c>
      <c r="F3177" s="43">
        <v>134.33141159313845</v>
      </c>
      <c r="G3177" s="43">
        <v>135.02806040850271</v>
      </c>
      <c r="H3177" s="43">
        <v>135.59348714005745</v>
      </c>
      <c r="I3177" s="43">
        <v>136.03784564358011</v>
      </c>
    </row>
    <row r="3178" spans="1:9">
      <c r="A3178" s="19">
        <v>677.2</v>
      </c>
      <c r="B3178" s="43">
        <v>130.09085113499617</v>
      </c>
      <c r="C3178" s="43">
        <v>131.38645845973059</v>
      </c>
      <c r="D3178" s="43">
        <v>132.52641038129923</v>
      </c>
      <c r="E3178" s="43">
        <v>133.5124544932458</v>
      </c>
      <c r="F3178" s="43">
        <v>134.34998844933466</v>
      </c>
      <c r="G3178" s="43">
        <v>135.04690051981561</v>
      </c>
      <c r="H3178" s="43">
        <v>135.6125917485781</v>
      </c>
      <c r="I3178" s="43">
        <v>136.0572117846329</v>
      </c>
    </row>
    <row r="3179" spans="1:9">
      <c r="A3179" s="19">
        <v>677.3</v>
      </c>
      <c r="B3179" s="43">
        <v>130.10850346086409</v>
      </c>
      <c r="C3179" s="43">
        <v>131.4043091481758</v>
      </c>
      <c r="D3179" s="43">
        <v>132.54448584796461</v>
      </c>
      <c r="E3179" s="43">
        <v>133.53077413701641</v>
      </c>
      <c r="F3179" s="43">
        <v>134.36856485133831</v>
      </c>
      <c r="G3179" s="43">
        <v>135.06574013120928</v>
      </c>
      <c r="H3179" s="43">
        <v>135.63169582082003</v>
      </c>
      <c r="I3179" s="43">
        <v>136.07657736234898</v>
      </c>
    </row>
    <row r="3180" spans="1:9">
      <c r="A3180" s="19">
        <v>677.4</v>
      </c>
      <c r="B3180" s="43">
        <v>130.12615558860648</v>
      </c>
      <c r="C3180" s="43">
        <v>131.42215956816767</v>
      </c>
      <c r="D3180" s="43">
        <v>132.56256097804476</v>
      </c>
      <c r="E3180" s="43">
        <v>133.54909338161968</v>
      </c>
      <c r="F3180" s="43">
        <v>134.38714079936051</v>
      </c>
      <c r="G3180" s="43">
        <v>135.08457924279082</v>
      </c>
      <c r="H3180" s="43">
        <v>135.65079935693416</v>
      </c>
      <c r="I3180" s="43">
        <v>136.09594237686287</v>
      </c>
    </row>
    <row r="3181" spans="1:9">
      <c r="A3181" s="19">
        <v>677.5</v>
      </c>
      <c r="B3181" s="43">
        <v>130.1438075183587</v>
      </c>
      <c r="C3181" s="43">
        <v>131.44000971991528</v>
      </c>
      <c r="D3181" s="43">
        <v>132.58063577170935</v>
      </c>
      <c r="E3181" s="43">
        <v>133.56741222719273</v>
      </c>
      <c r="F3181" s="43">
        <v>134.40571629356492</v>
      </c>
      <c r="G3181" s="43">
        <v>135.10341785476868</v>
      </c>
      <c r="H3181" s="43">
        <v>135.66990235709983</v>
      </c>
      <c r="I3181" s="43">
        <v>136.11530682835644</v>
      </c>
    </row>
    <row r="3182" spans="1:9">
      <c r="A3182" s="19">
        <v>677.6</v>
      </c>
      <c r="B3182" s="43">
        <v>130.16145925033925</v>
      </c>
      <c r="C3182" s="43">
        <v>131.45785960360627</v>
      </c>
      <c r="D3182" s="43">
        <v>132.59871022920379</v>
      </c>
      <c r="E3182" s="43">
        <v>133.58573067398316</v>
      </c>
      <c r="F3182" s="43">
        <v>134.42429133414589</v>
      </c>
      <c r="G3182" s="43">
        <v>135.12225596734828</v>
      </c>
      <c r="H3182" s="43">
        <v>135.68900482147762</v>
      </c>
      <c r="I3182" s="43">
        <v>136.13467071692571</v>
      </c>
    </row>
    <row r="3183" spans="1:9">
      <c r="A3183" s="19">
        <v>677.7</v>
      </c>
      <c r="B3183" s="43">
        <v>130.17911078455376</v>
      </c>
      <c r="C3183" s="43">
        <v>131.47570921932271</v>
      </c>
      <c r="D3183" s="43">
        <v>132.61678435061287</v>
      </c>
      <c r="E3183" s="43">
        <v>133.60404872206936</v>
      </c>
      <c r="F3183" s="43">
        <v>134.44286592118698</v>
      </c>
      <c r="G3183" s="43">
        <v>135.14109358059636</v>
      </c>
      <c r="H3183" s="43">
        <v>135.70810675019021</v>
      </c>
      <c r="I3183" s="43">
        <v>136.15403404272547</v>
      </c>
    </row>
    <row r="3184" spans="1:9">
      <c r="A3184" s="19">
        <v>677.8</v>
      </c>
      <c r="B3184" s="43">
        <v>130.19676212121169</v>
      </c>
      <c r="C3184" s="43">
        <v>131.49355856719143</v>
      </c>
      <c r="D3184" s="43">
        <v>132.63485813611203</v>
      </c>
      <c r="E3184" s="43">
        <v>133.62236637166291</v>
      </c>
      <c r="F3184" s="43">
        <v>134.46144005489884</v>
      </c>
      <c r="G3184" s="43">
        <v>135.15993069471847</v>
      </c>
      <c r="H3184" s="43">
        <v>135.7272081433772</v>
      </c>
      <c r="I3184" s="43">
        <v>136.1733968058868</v>
      </c>
    </row>
    <row r="3185" spans="1:9">
      <c r="A3185" s="19">
        <v>677.9</v>
      </c>
      <c r="B3185" s="43">
        <v>130.21441326032624</v>
      </c>
      <c r="C3185" s="43">
        <v>131.51140764735771</v>
      </c>
      <c r="D3185" s="43">
        <v>132.65293158579846</v>
      </c>
      <c r="E3185" s="43">
        <v>133.64068362287105</v>
      </c>
      <c r="F3185" s="43">
        <v>134.48001373542223</v>
      </c>
      <c r="G3185" s="43">
        <v>135.17876730979356</v>
      </c>
      <c r="H3185" s="43">
        <v>135.74630900113726</v>
      </c>
      <c r="I3185" s="43">
        <v>136.19275900648825</v>
      </c>
    </row>
    <row r="3186" spans="1:9">
      <c r="A3186" s="19">
        <v>678</v>
      </c>
      <c r="B3186" s="43">
        <v>130.23206420211392</v>
      </c>
      <c r="C3186" s="43">
        <v>131.52925645997965</v>
      </c>
      <c r="D3186" s="43">
        <v>132.67100469987423</v>
      </c>
      <c r="E3186" s="43">
        <v>133.65900047583847</v>
      </c>
      <c r="F3186" s="43">
        <v>134.4985869629084</v>
      </c>
      <c r="G3186" s="43">
        <v>135.19760342603496</v>
      </c>
      <c r="H3186" s="43">
        <v>135.76540932370671</v>
      </c>
      <c r="I3186" s="43">
        <v>136.21212064469609</v>
      </c>
    </row>
    <row r="3187" spans="1:9">
      <c r="A3187" s="19">
        <v>678.1</v>
      </c>
      <c r="B3187" s="43">
        <v>130.24971494668512</v>
      </c>
      <c r="C3187" s="43">
        <v>131.54710500522032</v>
      </c>
      <c r="D3187" s="43">
        <v>132.68907747849403</v>
      </c>
      <c r="E3187" s="43">
        <v>133.67731693078485</v>
      </c>
      <c r="F3187" s="43">
        <v>134.51715973754528</v>
      </c>
      <c r="G3187" s="43">
        <v>135.21643904359934</v>
      </c>
      <c r="H3187" s="43">
        <v>135.78450911116198</v>
      </c>
      <c r="I3187" s="43">
        <v>136.23148172066692</v>
      </c>
    </row>
    <row r="3188" spans="1:9">
      <c r="A3188" s="19">
        <v>678.2</v>
      </c>
      <c r="B3188" s="43">
        <v>130.26736549408679</v>
      </c>
      <c r="C3188" s="43">
        <v>131.56495328316942</v>
      </c>
      <c r="D3188" s="43">
        <v>132.70714992178779</v>
      </c>
      <c r="E3188" s="43">
        <v>133.69563298784897</v>
      </c>
      <c r="F3188" s="43">
        <v>134.53573205947862</v>
      </c>
      <c r="G3188" s="43">
        <v>135.23527416265364</v>
      </c>
      <c r="H3188" s="43">
        <v>135.80360836367436</v>
      </c>
      <c r="I3188" s="43">
        <v>136.25084223449079</v>
      </c>
    </row>
    <row r="3189" spans="1:9">
      <c r="A3189" s="19">
        <v>678.3</v>
      </c>
      <c r="B3189" s="43">
        <v>130.28501584451868</v>
      </c>
      <c r="C3189" s="43">
        <v>131.58280129400379</v>
      </c>
      <c r="D3189" s="43">
        <v>132.72522202992957</v>
      </c>
      <c r="E3189" s="43">
        <v>133.71394864719929</v>
      </c>
      <c r="F3189" s="43">
        <v>134.55430392886404</v>
      </c>
      <c r="G3189" s="43">
        <v>135.25410878331496</v>
      </c>
      <c r="H3189" s="43">
        <v>135.82270708137696</v>
      </c>
      <c r="I3189" s="43">
        <v>136.27020218636238</v>
      </c>
    </row>
    <row r="3190" spans="1:9">
      <c r="A3190" s="19">
        <v>678.4</v>
      </c>
      <c r="B3190" s="43">
        <v>130.30266599810687</v>
      </c>
      <c r="C3190" s="43">
        <v>131.60064903788856</v>
      </c>
      <c r="D3190" s="43">
        <v>132.74329380306352</v>
      </c>
      <c r="E3190" s="43">
        <v>133.73226390900078</v>
      </c>
      <c r="F3190" s="43">
        <v>134.57287534587238</v>
      </c>
      <c r="G3190" s="43">
        <v>135.27294290576361</v>
      </c>
      <c r="H3190" s="43">
        <v>135.84180526445874</v>
      </c>
      <c r="I3190" s="43">
        <v>136.28956157634281</v>
      </c>
    </row>
    <row r="3191" spans="1:9">
      <c r="A3191" s="19">
        <v>678.5</v>
      </c>
      <c r="B3191" s="43">
        <v>130.32031595480663</v>
      </c>
      <c r="C3191" s="43">
        <v>131.61849651480884</v>
      </c>
      <c r="D3191" s="43">
        <v>132.7613652413109</v>
      </c>
      <c r="E3191" s="43">
        <v>133.75057877332807</v>
      </c>
      <c r="F3191" s="43">
        <v>134.59144631060042</v>
      </c>
      <c r="G3191" s="43">
        <v>135.29177653007622</v>
      </c>
      <c r="H3191" s="43">
        <v>135.8609029129467</v>
      </c>
      <c r="I3191" s="43">
        <v>136.30892040454557</v>
      </c>
    </row>
    <row r="3192" spans="1:9">
      <c r="A3192" s="19">
        <v>678.6</v>
      </c>
      <c r="B3192" s="43">
        <v>130.33796571498232</v>
      </c>
      <c r="C3192" s="43">
        <v>131.63634372509085</v>
      </c>
      <c r="D3192" s="43">
        <v>132.77943634487133</v>
      </c>
      <c r="E3192" s="43">
        <v>133.7688932404572</v>
      </c>
      <c r="F3192" s="43">
        <v>134.61001682328839</v>
      </c>
      <c r="G3192" s="43">
        <v>135.31060965652108</v>
      </c>
      <c r="H3192" s="43">
        <v>135.88000002711652</v>
      </c>
      <c r="I3192" s="43">
        <v>136.32827867120483</v>
      </c>
    </row>
    <row r="3193" spans="1:9">
      <c r="A3193" s="19">
        <v>678.7</v>
      </c>
      <c r="B3193" s="43">
        <v>130.35561527865252</v>
      </c>
      <c r="C3193" s="43">
        <v>131.65419066883987</v>
      </c>
      <c r="D3193" s="43">
        <v>132.79750711391284</v>
      </c>
      <c r="E3193" s="43">
        <v>133.78720731050026</v>
      </c>
      <c r="F3193" s="43">
        <v>134.62858688407255</v>
      </c>
      <c r="G3193" s="43">
        <v>135.32944228519841</v>
      </c>
      <c r="H3193" s="43">
        <v>135.89909660705723</v>
      </c>
      <c r="I3193" s="43">
        <v>136.34763637638224</v>
      </c>
    </row>
    <row r="3194" spans="1:9">
      <c r="A3194" s="19">
        <v>678.8</v>
      </c>
      <c r="B3194" s="43">
        <v>130.37326464584379</v>
      </c>
      <c r="C3194" s="43">
        <v>131.67203734608631</v>
      </c>
      <c r="D3194" s="43">
        <v>132.81557754851923</v>
      </c>
      <c r="E3194" s="43">
        <v>133.8055209835598</v>
      </c>
      <c r="F3194" s="43">
        <v>134.64715649309215</v>
      </c>
      <c r="G3194" s="43">
        <v>135.34827441625271</v>
      </c>
      <c r="H3194" s="43">
        <v>135.91819265287342</v>
      </c>
      <c r="I3194" s="43">
        <v>136.36699352020457</v>
      </c>
    </row>
    <row r="3195" spans="1:9">
      <c r="A3195" s="19">
        <v>678.9</v>
      </c>
      <c r="B3195" s="43">
        <v>130.39091381680987</v>
      </c>
      <c r="C3195" s="43">
        <v>131.6898837570759</v>
      </c>
      <c r="D3195" s="43">
        <v>132.83364764889996</v>
      </c>
      <c r="E3195" s="43">
        <v>133.82383425994743</v>
      </c>
      <c r="F3195" s="43">
        <v>134.66572565054014</v>
      </c>
      <c r="G3195" s="43">
        <v>135.36710604986195</v>
      </c>
      <c r="H3195" s="43">
        <v>135.93728816479614</v>
      </c>
      <c r="I3195" s="43">
        <v>136.386350102834</v>
      </c>
    </row>
    <row r="3196" spans="1:9">
      <c r="A3196" s="19">
        <v>679</v>
      </c>
      <c r="B3196" s="43">
        <v>130.40856279164979</v>
      </c>
      <c r="C3196" s="43">
        <v>131.70772990193893</v>
      </c>
      <c r="D3196" s="43">
        <v>132.85171741517951</v>
      </c>
      <c r="E3196" s="43">
        <v>133.8421471396565</v>
      </c>
      <c r="F3196" s="43">
        <v>134.68429435654139</v>
      </c>
      <c r="G3196" s="43">
        <v>135.38593718616795</v>
      </c>
      <c r="H3196" s="43">
        <v>135.95638314289289</v>
      </c>
      <c r="I3196" s="43">
        <v>136.40570612437853</v>
      </c>
    </row>
    <row r="3197" spans="1:9">
      <c r="A3197" s="19">
        <v>679.1</v>
      </c>
      <c r="B3197" s="43">
        <v>130.4262115703508</v>
      </c>
      <c r="C3197" s="43">
        <v>131.72557578070479</v>
      </c>
      <c r="D3197" s="43">
        <v>132.8697868474714</v>
      </c>
      <c r="E3197" s="43">
        <v>133.86045962287648</v>
      </c>
      <c r="F3197" s="43">
        <v>134.70286261122732</v>
      </c>
      <c r="G3197" s="43">
        <v>135.40476782527014</v>
      </c>
      <c r="H3197" s="43">
        <v>135.97547758733265</v>
      </c>
      <c r="I3197" s="43">
        <v>136.42506158496553</v>
      </c>
    </row>
    <row r="3198" spans="1:9">
      <c r="A3198" s="19">
        <v>679.2</v>
      </c>
      <c r="B3198" s="43">
        <v>130.44386015315661</v>
      </c>
      <c r="C3198" s="43">
        <v>131.7434213936013</v>
      </c>
      <c r="D3198" s="43">
        <v>132.88785594600455</v>
      </c>
      <c r="E3198" s="43">
        <v>133.87877170981488</v>
      </c>
      <c r="F3198" s="43">
        <v>134.72143041479677</v>
      </c>
      <c r="G3198" s="43">
        <v>135.42359796740641</v>
      </c>
      <c r="H3198" s="43">
        <v>135.99457149825218</v>
      </c>
      <c r="I3198" s="43">
        <v>136.44441648473162</v>
      </c>
    </row>
    <row r="3199" spans="1:9">
      <c r="A3199" s="19">
        <v>679.3</v>
      </c>
      <c r="B3199" s="43">
        <v>130.46150854021664</v>
      </c>
      <c r="C3199" s="43">
        <v>131.76126674086134</v>
      </c>
      <c r="D3199" s="43">
        <v>132.9059247109272</v>
      </c>
      <c r="E3199" s="43">
        <v>133.89708340067693</v>
      </c>
      <c r="F3199" s="43">
        <v>134.7399977674736</v>
      </c>
      <c r="G3199" s="43">
        <v>135.44242761271687</v>
      </c>
      <c r="H3199" s="43">
        <v>136.01366487584642</v>
      </c>
      <c r="I3199" s="43">
        <v>136.4637708238273</v>
      </c>
    </row>
    <row r="3200" spans="1:9">
      <c r="A3200" s="19">
        <v>679.4</v>
      </c>
      <c r="B3200" s="43">
        <v>130.47915673157524</v>
      </c>
      <c r="C3200" s="43">
        <v>131.77911182245458</v>
      </c>
      <c r="D3200" s="43">
        <v>132.92399314236178</v>
      </c>
      <c r="E3200" s="43">
        <v>133.91539469552782</v>
      </c>
      <c r="F3200" s="43">
        <v>134.75856466931253</v>
      </c>
      <c r="G3200" s="43">
        <v>135.46125676134284</v>
      </c>
      <c r="H3200" s="43">
        <v>136.03275772021681</v>
      </c>
      <c r="I3200" s="43">
        <v>136.48312460240453</v>
      </c>
    </row>
    <row r="3201" spans="1:9">
      <c r="A3201" s="19">
        <v>679.5</v>
      </c>
      <c r="B3201" s="43">
        <v>130.49680472732604</v>
      </c>
      <c r="C3201" s="43">
        <v>131.79695663855682</v>
      </c>
      <c r="D3201" s="43">
        <v>132.94206124039079</v>
      </c>
      <c r="E3201" s="43">
        <v>133.93370559449835</v>
      </c>
      <c r="F3201" s="43">
        <v>134.77713112049088</v>
      </c>
      <c r="G3201" s="43">
        <v>135.48008541337606</v>
      </c>
      <c r="H3201" s="43">
        <v>136.0518500314455</v>
      </c>
      <c r="I3201" s="43">
        <v>136.50247782049638</v>
      </c>
    </row>
    <row r="3202" spans="1:9">
      <c r="A3202" s="19">
        <v>679.6</v>
      </c>
      <c r="B3202" s="43">
        <v>130.51445252769872</v>
      </c>
      <c r="C3202" s="43">
        <v>131.81480118939066</v>
      </c>
      <c r="D3202" s="43">
        <v>132.96012900530616</v>
      </c>
      <c r="E3202" s="43">
        <v>133.9520160978692</v>
      </c>
      <c r="F3202" s="43">
        <v>134.79569712118803</v>
      </c>
      <c r="G3202" s="43">
        <v>135.49891356904232</v>
      </c>
      <c r="H3202" s="43">
        <v>136.07094180979487</v>
      </c>
      <c r="I3202" s="43">
        <v>136.52183047832403</v>
      </c>
    </row>
    <row r="3203" spans="1:9">
      <c r="A3203" s="19">
        <v>679.7</v>
      </c>
      <c r="B3203" s="43">
        <v>130.53210013266221</v>
      </c>
      <c r="C3203" s="43">
        <v>131.83264547499982</v>
      </c>
      <c r="D3203" s="43">
        <v>132.97819643716019</v>
      </c>
      <c r="E3203" s="43">
        <v>133.97032620566063</v>
      </c>
      <c r="F3203" s="43">
        <v>134.81426267153694</v>
      </c>
      <c r="G3203" s="43">
        <v>135.51774122845762</v>
      </c>
      <c r="H3203" s="43">
        <v>136.09003305531746</v>
      </c>
      <c r="I3203" s="43">
        <v>136.54118257598623</v>
      </c>
    </row>
    <row r="3204" spans="1:9">
      <c r="A3204" s="19">
        <v>679.8</v>
      </c>
      <c r="B3204" s="43">
        <v>130.54974754248695</v>
      </c>
      <c r="C3204" s="43">
        <v>131.85048949560979</v>
      </c>
      <c r="D3204" s="43">
        <v>132.9962635361436</v>
      </c>
      <c r="E3204" s="43">
        <v>133.98863591817553</v>
      </c>
      <c r="F3204" s="43">
        <v>134.83282777175111</v>
      </c>
      <c r="G3204" s="43">
        <v>135.53656839183577</v>
      </c>
      <c r="H3204" s="43">
        <v>136.10912376824018</v>
      </c>
      <c r="I3204" s="43">
        <v>136.56053411363195</v>
      </c>
    </row>
    <row r="3205" spans="1:9">
      <c r="A3205" s="19">
        <v>679.9</v>
      </c>
      <c r="B3205" s="43">
        <v>130.56739475717484</v>
      </c>
      <c r="C3205" s="43">
        <v>131.86833325126133</v>
      </c>
      <c r="D3205" s="43">
        <v>133.01433030237683</v>
      </c>
      <c r="E3205" s="43">
        <v>134.00694523546264</v>
      </c>
      <c r="F3205" s="43">
        <v>134.8513924219352</v>
      </c>
      <c r="G3205" s="43">
        <v>135.55539505926788</v>
      </c>
      <c r="H3205" s="43">
        <v>136.12821394859645</v>
      </c>
      <c r="I3205" s="43">
        <v>136.57988509136305</v>
      </c>
    </row>
    <row r="3206" spans="1:9">
      <c r="A3206" s="19">
        <v>680</v>
      </c>
      <c r="B3206" s="43">
        <v>130.57703256372014</v>
      </c>
      <c r="C3206" s="43">
        <v>131.87832872353619</v>
      </c>
      <c r="D3206" s="43">
        <v>133.02477518038376</v>
      </c>
      <c r="E3206" s="43">
        <v>134.01792223297883</v>
      </c>
      <c r="F3206" s="43">
        <v>134.86297328773799</v>
      </c>
      <c r="G3206" s="43">
        <v>135.56763999667959</v>
      </c>
      <c r="H3206" s="43">
        <v>136.14117196029832</v>
      </c>
      <c r="I3206" s="43">
        <v>136.59359486881016</v>
      </c>
    </row>
    <row r="3207" spans="1:9">
      <c r="A3207" s="19">
        <v>680.1</v>
      </c>
      <c r="B3207" s="43">
        <v>130.58665419783637</v>
      </c>
      <c r="C3207" s="43">
        <v>131.88830754432189</v>
      </c>
      <c r="D3207" s="43">
        <v>133.035202887423</v>
      </c>
      <c r="E3207" s="43">
        <v>134.02888153229725</v>
      </c>
      <c r="F3207" s="43">
        <v>134.8745359465654</v>
      </c>
      <c r="G3207" s="43">
        <v>135.57986625614444</v>
      </c>
      <c r="H3207" s="43">
        <v>136.15411087351197</v>
      </c>
      <c r="I3207" s="43">
        <v>136.60728518503231</v>
      </c>
    </row>
    <row r="3208" spans="1:9">
      <c r="A3208" s="19">
        <v>680.2</v>
      </c>
      <c r="B3208" s="43">
        <v>130.60428792251201</v>
      </c>
      <c r="C3208" s="43">
        <v>131.90613708646595</v>
      </c>
      <c r="D3208" s="43">
        <v>133.05325462073966</v>
      </c>
      <c r="E3208" s="43">
        <v>134.047174939103</v>
      </c>
      <c r="F3208" s="43">
        <v>134.89308378325848</v>
      </c>
      <c r="G3208" s="43">
        <v>135.5986752080608</v>
      </c>
      <c r="H3208" s="43">
        <v>136.17318245741399</v>
      </c>
      <c r="I3208" s="43">
        <v>136.62661672067441</v>
      </c>
    </row>
    <row r="3209" spans="1:9">
      <c r="A3209" s="19">
        <v>680.3</v>
      </c>
      <c r="B3209" s="43">
        <v>130.62192145018577</v>
      </c>
      <c r="C3209" s="43">
        <v>131.92396636222486</v>
      </c>
      <c r="D3209" s="43">
        <v>133.07130602015678</v>
      </c>
      <c r="E3209" s="43">
        <v>134.06546794972456</v>
      </c>
      <c r="F3209" s="43">
        <v>134.91163116912594</v>
      </c>
      <c r="G3209" s="43">
        <v>135.61748366333569</v>
      </c>
      <c r="H3209" s="43">
        <v>136.19225350807341</v>
      </c>
      <c r="I3209" s="43">
        <v>136.64594769563155</v>
      </c>
    </row>
    <row r="3210" spans="1:9">
      <c r="A3210" s="19">
        <v>680.4</v>
      </c>
      <c r="B3210" s="43">
        <v>130.6395547810007</v>
      </c>
      <c r="C3210" s="43">
        <v>131.94179537165547</v>
      </c>
      <c r="D3210" s="43">
        <v>133.08935708574296</v>
      </c>
      <c r="E3210" s="43">
        <v>134.08376056435236</v>
      </c>
      <c r="F3210" s="43">
        <v>134.93017810433662</v>
      </c>
      <c r="G3210" s="43">
        <v>135.63629162208412</v>
      </c>
      <c r="H3210" s="43">
        <v>136.21132402563211</v>
      </c>
      <c r="I3210" s="43">
        <v>136.66527810997718</v>
      </c>
    </row>
    <row r="3211" spans="1:9">
      <c r="A3211" s="19">
        <v>680.5</v>
      </c>
      <c r="B3211" s="43">
        <v>130.65718791497954</v>
      </c>
      <c r="C3211" s="43">
        <v>131.95962411489444</v>
      </c>
      <c r="D3211" s="43">
        <v>133.10740781767015</v>
      </c>
      <c r="E3211" s="43">
        <v>134.10205278311213</v>
      </c>
      <c r="F3211" s="43">
        <v>134.94872458899289</v>
      </c>
      <c r="G3211" s="43">
        <v>135.65509908444989</v>
      </c>
      <c r="H3211" s="43">
        <v>136.2303940102114</v>
      </c>
      <c r="I3211" s="43">
        <v>136.68460796387137</v>
      </c>
    </row>
    <row r="3212" spans="1:9">
      <c r="A3212" s="19">
        <v>680.6</v>
      </c>
      <c r="B3212" s="43">
        <v>130.67482085243205</v>
      </c>
      <c r="C3212" s="43">
        <v>131.97745259217152</v>
      </c>
      <c r="D3212" s="43">
        <v>133.12545821615765</v>
      </c>
      <c r="E3212" s="43">
        <v>134.12034460621572</v>
      </c>
      <c r="F3212" s="43">
        <v>134.96727062333355</v>
      </c>
      <c r="G3212" s="43">
        <v>135.67390605062371</v>
      </c>
      <c r="H3212" s="43">
        <v>136.24946346198982</v>
      </c>
      <c r="I3212" s="43">
        <v>136.7039372574817</v>
      </c>
    </row>
    <row r="3213" spans="1:9">
      <c r="A3213" s="19">
        <v>680.7</v>
      </c>
      <c r="B3213" s="43">
        <v>130.69245359327249</v>
      </c>
      <c r="C3213" s="43">
        <v>131.99528080349666</v>
      </c>
      <c r="D3213" s="43">
        <v>133.14350828125964</v>
      </c>
      <c r="E3213" s="43">
        <v>134.13863603373585</v>
      </c>
      <c r="F3213" s="43">
        <v>134.98581620746211</v>
      </c>
      <c r="G3213" s="43">
        <v>135.69271252072582</v>
      </c>
      <c r="H3213" s="43">
        <v>136.26853238107486</v>
      </c>
      <c r="I3213" s="43">
        <v>136.72326599086568</v>
      </c>
    </row>
    <row r="3214" spans="1:9">
      <c r="A3214" s="19">
        <v>680.8</v>
      </c>
      <c r="B3214" s="43">
        <v>130.71008613779156</v>
      </c>
      <c r="C3214" s="43">
        <v>132.01310874918073</v>
      </c>
      <c r="D3214" s="43">
        <v>133.16155801324709</v>
      </c>
      <c r="E3214" s="43">
        <v>134.15692706595792</v>
      </c>
      <c r="F3214" s="43">
        <v>135.0043613415906</v>
      </c>
      <c r="G3214" s="43">
        <v>135.71151849493157</v>
      </c>
      <c r="H3214" s="43">
        <v>136.287600767664</v>
      </c>
      <c r="I3214" s="43">
        <v>136.74259416422626</v>
      </c>
    </row>
    <row r="3215" spans="1:9">
      <c r="A3215" s="19">
        <v>680.9</v>
      </c>
      <c r="B3215" s="43">
        <v>130.72771848593999</v>
      </c>
      <c r="C3215" s="43">
        <v>132.03093642913421</v>
      </c>
      <c r="D3215" s="43">
        <v>133.17960741214029</v>
      </c>
      <c r="E3215" s="43">
        <v>134.17521770289108</v>
      </c>
      <c r="F3215" s="43">
        <v>135.0229060257937</v>
      </c>
      <c r="G3215" s="43">
        <v>135.73032397339114</v>
      </c>
      <c r="H3215" s="43">
        <v>136.30666862183966</v>
      </c>
      <c r="I3215" s="43">
        <v>136.7619217776595</v>
      </c>
    </row>
    <row r="3216" spans="1:9">
      <c r="A3216" s="19">
        <v>681</v>
      </c>
      <c r="B3216" s="43">
        <v>130.74535063798339</v>
      </c>
      <c r="C3216" s="43">
        <v>132.04876384375086</v>
      </c>
      <c r="D3216" s="43">
        <v>133.19765647821168</v>
      </c>
      <c r="E3216" s="43">
        <v>134.19350794485513</v>
      </c>
      <c r="F3216" s="43">
        <v>135.0414502603175</v>
      </c>
      <c r="G3216" s="43">
        <v>135.74912895625579</v>
      </c>
      <c r="H3216" s="43">
        <v>136.32573594381716</v>
      </c>
      <c r="I3216" s="43">
        <v>136.7812488313275</v>
      </c>
    </row>
    <row r="3217" spans="1:9">
      <c r="A3217" s="19">
        <v>681.1</v>
      </c>
      <c r="B3217" s="43">
        <v>130.76298259393428</v>
      </c>
      <c r="C3217" s="43">
        <v>132.06659099294274</v>
      </c>
      <c r="D3217" s="43">
        <v>133.21570521151386</v>
      </c>
      <c r="E3217" s="43">
        <v>134.21179779183086</v>
      </c>
      <c r="F3217" s="43">
        <v>135.05999404524533</v>
      </c>
      <c r="G3217" s="43">
        <v>135.76793344366604</v>
      </c>
      <c r="H3217" s="43">
        <v>136.34480273366569</v>
      </c>
      <c r="I3217" s="43">
        <v>136.80057532530685</v>
      </c>
    </row>
    <row r="3218" spans="1:9">
      <c r="A3218" s="19">
        <v>681.2</v>
      </c>
      <c r="B3218" s="43">
        <v>130.78061435396279</v>
      </c>
      <c r="C3218" s="43">
        <v>132.08441787692607</v>
      </c>
      <c r="D3218" s="43">
        <v>133.23375361217984</v>
      </c>
      <c r="E3218" s="43">
        <v>134.23008724406554</v>
      </c>
      <c r="F3218" s="43">
        <v>135.0785373807912</v>
      </c>
      <c r="G3218" s="43">
        <v>135.78673743579787</v>
      </c>
      <c r="H3218" s="43">
        <v>136.36386899154587</v>
      </c>
      <c r="I3218" s="43">
        <v>136.81990125976313</v>
      </c>
    </row>
    <row r="3219" spans="1:9">
      <c r="A3219" s="19">
        <v>681.3</v>
      </c>
      <c r="B3219" s="43">
        <v>130.7982459181668</v>
      </c>
      <c r="C3219" s="43">
        <v>132.10224449583791</v>
      </c>
      <c r="D3219" s="43">
        <v>133.25180168046916</v>
      </c>
      <c r="E3219" s="43">
        <v>134.24837630174068</v>
      </c>
      <c r="F3219" s="43">
        <v>135.09708026703584</v>
      </c>
      <c r="G3219" s="43">
        <v>135.80554093271513</v>
      </c>
      <c r="H3219" s="43">
        <v>136.38293471760596</v>
      </c>
      <c r="I3219" s="43">
        <v>136.83922663480172</v>
      </c>
    </row>
    <row r="3220" spans="1:9">
      <c r="A3220" s="19">
        <v>681.4</v>
      </c>
      <c r="B3220" s="43">
        <v>130.81587728665551</v>
      </c>
      <c r="C3220" s="43">
        <v>132.12007084984651</v>
      </c>
      <c r="D3220" s="43">
        <v>133.26984941645168</v>
      </c>
      <c r="E3220" s="43">
        <v>134.26666496493976</v>
      </c>
      <c r="F3220" s="43">
        <v>135.11562270419728</v>
      </c>
      <c r="G3220" s="43">
        <v>135.82434393467156</v>
      </c>
      <c r="H3220" s="43">
        <v>136.40199991198824</v>
      </c>
      <c r="I3220" s="43">
        <v>136.8585514505707</v>
      </c>
    </row>
    <row r="3221" spans="1:9">
      <c r="A3221" s="19">
        <v>681.5</v>
      </c>
      <c r="B3221" s="43">
        <v>130.83350845959063</v>
      </c>
      <c r="C3221" s="43">
        <v>132.13789693910621</v>
      </c>
      <c r="D3221" s="43">
        <v>133.28789682031959</v>
      </c>
      <c r="E3221" s="43">
        <v>134.28495323387409</v>
      </c>
      <c r="F3221" s="43">
        <v>135.13416469245288</v>
      </c>
      <c r="G3221" s="43">
        <v>135.84314644180392</v>
      </c>
      <c r="H3221" s="43">
        <v>136.42106457487694</v>
      </c>
      <c r="I3221" s="43">
        <v>136.87787570724458</v>
      </c>
    </row>
    <row r="3222" spans="1:9">
      <c r="A3222" s="19">
        <v>681.6</v>
      </c>
      <c r="B3222" s="43">
        <v>130.85113943709996</v>
      </c>
      <c r="C3222" s="43">
        <v>132.15572276371648</v>
      </c>
      <c r="D3222" s="43">
        <v>133.30594389222904</v>
      </c>
      <c r="E3222" s="43">
        <v>134.30324110874005</v>
      </c>
      <c r="F3222" s="43">
        <v>135.15270623193334</v>
      </c>
      <c r="G3222" s="43">
        <v>135.86194845428969</v>
      </c>
      <c r="H3222" s="43">
        <v>136.44012870637812</v>
      </c>
      <c r="I3222" s="43">
        <v>136.89719940489897</v>
      </c>
    </row>
    <row r="3223" spans="1:9">
      <c r="A3223" s="19">
        <v>681.7</v>
      </c>
      <c r="B3223" s="43">
        <v>130.86877021922078</v>
      </c>
      <c r="C3223" s="43">
        <v>132.17354832380443</v>
      </c>
      <c r="D3223" s="43">
        <v>133.32399063227638</v>
      </c>
      <c r="E3223" s="43">
        <v>134.32152858964457</v>
      </c>
      <c r="F3223" s="43">
        <v>135.17124732280627</v>
      </c>
      <c r="G3223" s="43">
        <v>135.88074997221958</v>
      </c>
      <c r="H3223" s="43">
        <v>136.45919230666067</v>
      </c>
      <c r="I3223" s="43">
        <v>136.91652254369569</v>
      </c>
    </row>
    <row r="3224" spans="1:9">
      <c r="A3224" s="19">
        <v>681.8</v>
      </c>
      <c r="B3224" s="43">
        <v>130.88640080611452</v>
      </c>
      <c r="C3224" s="43">
        <v>132.19137361950226</v>
      </c>
      <c r="D3224" s="43">
        <v>133.3420370406472</v>
      </c>
      <c r="E3224" s="43">
        <v>134.33981567670037</v>
      </c>
      <c r="F3224" s="43">
        <v>135.1897879651803</v>
      </c>
      <c r="G3224" s="43">
        <v>135.89955099575474</v>
      </c>
      <c r="H3224" s="43">
        <v>136.47825537581082</v>
      </c>
      <c r="I3224" s="43">
        <v>136.93584512372911</v>
      </c>
    </row>
    <row r="3225" spans="1:9">
      <c r="A3225" s="19">
        <v>681.9</v>
      </c>
      <c r="B3225" s="43">
        <v>130.9040311978539</v>
      </c>
      <c r="C3225" s="43">
        <v>132.20919865092827</v>
      </c>
      <c r="D3225" s="43">
        <v>133.36008311745928</v>
      </c>
      <c r="E3225" s="43">
        <v>134.35810237009798</v>
      </c>
      <c r="F3225" s="43">
        <v>135.20832815921761</v>
      </c>
      <c r="G3225" s="43">
        <v>135.91835152503421</v>
      </c>
      <c r="H3225" s="43">
        <v>136.49731791399216</v>
      </c>
      <c r="I3225" s="43">
        <v>136.95516714512098</v>
      </c>
    </row>
    <row r="3226" spans="1:9">
      <c r="A3226" s="19">
        <v>682</v>
      </c>
      <c r="B3226" s="43">
        <v>130.92166139465792</v>
      </c>
      <c r="C3226" s="43">
        <v>132.22702341826539</v>
      </c>
      <c r="D3226" s="43">
        <v>133.37812886289964</v>
      </c>
      <c r="E3226" s="43">
        <v>134.37638867004353</v>
      </c>
      <c r="F3226" s="43">
        <v>135.22686790514484</v>
      </c>
      <c r="G3226" s="43">
        <v>135.93715156025735</v>
      </c>
      <c r="H3226" s="43">
        <v>136.51637992137779</v>
      </c>
      <c r="I3226" s="43">
        <v>136.97448860806992</v>
      </c>
    </row>
    <row r="3227" spans="1:9">
      <c r="A3227" s="19">
        <v>682.1</v>
      </c>
      <c r="B3227" s="43">
        <v>130.93929139651266</v>
      </c>
      <c r="C3227" s="43">
        <v>132.24484792162758</v>
      </c>
      <c r="D3227" s="43">
        <v>133.39617427708481</v>
      </c>
      <c r="E3227" s="43">
        <v>134.39467457660737</v>
      </c>
      <c r="F3227" s="43">
        <v>135.24540720306356</v>
      </c>
      <c r="G3227" s="43">
        <v>135.95595110153357</v>
      </c>
      <c r="H3227" s="43">
        <v>136.53544139809878</v>
      </c>
      <c r="I3227" s="43">
        <v>136.99380951265022</v>
      </c>
    </row>
    <row r="3228" spans="1:9">
      <c r="A3228" s="19">
        <v>682.2</v>
      </c>
      <c r="B3228" s="43">
        <v>130.95692120367664</v>
      </c>
      <c r="C3228" s="43">
        <v>132.26267216118435</v>
      </c>
      <c r="D3228" s="43">
        <v>133.41421936021999</v>
      </c>
      <c r="E3228" s="43">
        <v>134.41296009000212</v>
      </c>
      <c r="F3228" s="43">
        <v>135.26394605316125</v>
      </c>
      <c r="G3228" s="43">
        <v>135.97475014906695</v>
      </c>
      <c r="H3228" s="43">
        <v>136.55450234430549</v>
      </c>
      <c r="I3228" s="43">
        <v>137.01312985902644</v>
      </c>
    </row>
    <row r="3229" spans="1:9">
      <c r="A3229" s="19">
        <v>682.3</v>
      </c>
      <c r="B3229" s="43">
        <v>130.97455081617255</v>
      </c>
      <c r="C3229" s="43">
        <v>132.28049613707361</v>
      </c>
      <c r="D3229" s="43">
        <v>133.43226411242443</v>
      </c>
      <c r="E3229" s="43">
        <v>134.4312452103992</v>
      </c>
      <c r="F3229" s="43">
        <v>135.28248445558864</v>
      </c>
      <c r="G3229" s="43">
        <v>135.99354870298981</v>
      </c>
      <c r="H3229" s="43">
        <v>136.5735627601241</v>
      </c>
      <c r="I3229" s="43">
        <v>137.03244964731869</v>
      </c>
    </row>
    <row r="3230" spans="1:9">
      <c r="A3230" s="19">
        <v>682.4</v>
      </c>
      <c r="B3230" s="43">
        <v>130.99218023414903</v>
      </c>
      <c r="C3230" s="43">
        <v>132.29831984932139</v>
      </c>
      <c r="D3230" s="43">
        <v>133.45030853383167</v>
      </c>
      <c r="E3230" s="43">
        <v>134.44952993790434</v>
      </c>
      <c r="F3230" s="43">
        <v>135.30102241044887</v>
      </c>
      <c r="G3230" s="43">
        <v>136.01234676341284</v>
      </c>
      <c r="H3230" s="43">
        <v>136.59262264570657</v>
      </c>
      <c r="I3230" s="43">
        <v>137.05176887764185</v>
      </c>
    </row>
    <row r="3231" spans="1:9">
      <c r="A3231" s="19">
        <v>682.5</v>
      </c>
      <c r="B3231" s="43">
        <v>131.00980945770476</v>
      </c>
      <c r="C3231" s="43">
        <v>132.3161432981982</v>
      </c>
      <c r="D3231" s="43">
        <v>133.46835262460615</v>
      </c>
      <c r="E3231" s="43">
        <v>134.4678142727052</v>
      </c>
      <c r="F3231" s="43">
        <v>135.31955991799026</v>
      </c>
      <c r="G3231" s="43">
        <v>136.03114433055134</v>
      </c>
      <c r="H3231" s="43">
        <v>136.61168200120477</v>
      </c>
      <c r="I3231" s="43">
        <v>137.07108755017231</v>
      </c>
    </row>
    <row r="3232" spans="1:9">
      <c r="A3232" s="19">
        <v>682.6</v>
      </c>
      <c r="B3232" s="43">
        <v>131.0274384869648</v>
      </c>
      <c r="C3232" s="43">
        <v>132.33396648381193</v>
      </c>
      <c r="D3232" s="43">
        <v>133.48639638488834</v>
      </c>
      <c r="E3232" s="43">
        <v>134.48609821496376</v>
      </c>
      <c r="F3232" s="43">
        <v>135.33809697829867</v>
      </c>
      <c r="G3232" s="43">
        <v>136.0499414044973</v>
      </c>
      <c r="H3232" s="43">
        <v>136.63074082674342</v>
      </c>
      <c r="I3232" s="43">
        <v>137.09040566497077</v>
      </c>
    </row>
    <row r="3233" spans="1:9">
      <c r="A3233" s="19">
        <v>682.7</v>
      </c>
      <c r="B3233" s="43">
        <v>131.04506732216373</v>
      </c>
      <c r="C3233" s="43">
        <v>132.35178940634643</v>
      </c>
      <c r="D3233" s="43">
        <v>133.50443981490781</v>
      </c>
      <c r="E3233" s="43">
        <v>134.50438176486233</v>
      </c>
      <c r="F3233" s="43">
        <v>135.3566335916052</v>
      </c>
      <c r="G3233" s="43">
        <v>136.0687379854898</v>
      </c>
      <c r="H3233" s="43">
        <v>136.64979912248037</v>
      </c>
      <c r="I3233" s="43">
        <v>137.10972322223108</v>
      </c>
    </row>
    <row r="3234" spans="1:9">
      <c r="A3234" s="19">
        <v>682.8</v>
      </c>
      <c r="B3234" s="43">
        <v>131.06269596304827</v>
      </c>
      <c r="C3234" s="43">
        <v>132.36961206565002</v>
      </c>
      <c r="D3234" s="43">
        <v>133.52248291456431</v>
      </c>
      <c r="E3234" s="43">
        <v>134.52266492239374</v>
      </c>
      <c r="F3234" s="43">
        <v>135.37516975787963</v>
      </c>
      <c r="G3234" s="43">
        <v>136.08753407349468</v>
      </c>
      <c r="H3234" s="43">
        <v>136.66885688849135</v>
      </c>
      <c r="I3234" s="43">
        <v>137.12904022198626</v>
      </c>
    </row>
    <row r="3235" spans="1:9">
      <c r="A3235" s="19">
        <v>682.9</v>
      </c>
      <c r="B3235" s="43">
        <v>131.08032441016582</v>
      </c>
      <c r="C3235" s="43">
        <v>132.38743446219058</v>
      </c>
      <c r="D3235" s="43">
        <v>133.54052568432644</v>
      </c>
      <c r="E3235" s="43">
        <v>134.54094768792515</v>
      </c>
      <c r="F3235" s="43">
        <v>135.39370547751707</v>
      </c>
      <c r="G3235" s="43">
        <v>136.10632966887653</v>
      </c>
      <c r="H3235" s="43">
        <v>136.68791412501696</v>
      </c>
      <c r="I3235" s="43">
        <v>137.14835666452092</v>
      </c>
    </row>
    <row r="3236" spans="1:9">
      <c r="A3236" s="19">
        <v>683</v>
      </c>
      <c r="B3236" s="43">
        <v>131.09795266344247</v>
      </c>
      <c r="C3236" s="43">
        <v>132.40525659602378</v>
      </c>
      <c r="D3236" s="43">
        <v>133.55856812414333</v>
      </c>
      <c r="E3236" s="43">
        <v>134.55923006151289</v>
      </c>
      <c r="F3236" s="43">
        <v>135.41224075056908</v>
      </c>
      <c r="G3236" s="43">
        <v>136.125124771694</v>
      </c>
      <c r="H3236" s="43">
        <v>136.70697083220432</v>
      </c>
      <c r="I3236" s="43">
        <v>137.16767254986974</v>
      </c>
    </row>
    <row r="3237" spans="1:9">
      <c r="A3237" s="19">
        <v>683.1</v>
      </c>
      <c r="B3237" s="43">
        <v>131.11558072299522</v>
      </c>
      <c r="C3237" s="43">
        <v>132.42307846723043</v>
      </c>
      <c r="D3237" s="43">
        <v>133.5766102342688</v>
      </c>
      <c r="E3237" s="43">
        <v>134.57751204332789</v>
      </c>
      <c r="F3237" s="43">
        <v>135.43077557718357</v>
      </c>
      <c r="G3237" s="43">
        <v>136.14391938210508</v>
      </c>
      <c r="H3237" s="43">
        <v>136.72602701011516</v>
      </c>
      <c r="I3237" s="43">
        <v>137.18698787815748</v>
      </c>
    </row>
    <row r="3238" spans="1:9">
      <c r="A3238" s="19">
        <v>683.2</v>
      </c>
      <c r="B3238" s="43">
        <v>131.13320858895298</v>
      </c>
      <c r="C3238" s="43">
        <v>132.44090007596981</v>
      </c>
      <c r="D3238" s="43">
        <v>133.59465201475956</v>
      </c>
      <c r="E3238" s="43">
        <v>134.59579363353248</v>
      </c>
      <c r="F3238" s="43">
        <v>135.44930995754646</v>
      </c>
      <c r="G3238" s="43">
        <v>136.16271350029115</v>
      </c>
      <c r="H3238" s="43">
        <v>136.74508265895349</v>
      </c>
      <c r="I3238" s="43">
        <v>137.20630264955946</v>
      </c>
    </row>
    <row r="3239" spans="1:9">
      <c r="A3239" s="19">
        <v>683.3</v>
      </c>
      <c r="B3239" s="43">
        <v>131.1508362613996</v>
      </c>
      <c r="C3239" s="43">
        <v>132.45872142231531</v>
      </c>
      <c r="D3239" s="43">
        <v>133.61269346581821</v>
      </c>
      <c r="E3239" s="43">
        <v>134.61407483226304</v>
      </c>
      <c r="F3239" s="43">
        <v>135.46784389175968</v>
      </c>
      <c r="G3239" s="43">
        <v>136.18150712632854</v>
      </c>
      <c r="H3239" s="43">
        <v>136.76413777879372</v>
      </c>
      <c r="I3239" s="43">
        <v>137.22561686415946</v>
      </c>
    </row>
    <row r="3240" spans="1:9">
      <c r="A3240" s="19">
        <v>683.4</v>
      </c>
      <c r="B3240" s="43">
        <v>131.16846374053455</v>
      </c>
      <c r="C3240" s="43">
        <v>132.4765425065483</v>
      </c>
      <c r="D3240" s="43">
        <v>133.63073458759914</v>
      </c>
      <c r="E3240" s="43">
        <v>134.63235563965839</v>
      </c>
      <c r="F3240" s="43">
        <v>135.48637738003595</v>
      </c>
      <c r="G3240" s="43">
        <v>136.2003002604111</v>
      </c>
      <c r="H3240" s="43">
        <v>136.78319236985209</v>
      </c>
      <c r="I3240" s="43">
        <v>137.24493052212142</v>
      </c>
    </row>
    <row r="3241" spans="1:9">
      <c r="A3241" s="19">
        <v>683.5</v>
      </c>
      <c r="B3241" s="43">
        <v>131.18609102639982</v>
      </c>
      <c r="C3241" s="43">
        <v>132.49436332865338</v>
      </c>
      <c r="D3241" s="43">
        <v>133.64877538021796</v>
      </c>
      <c r="E3241" s="43">
        <v>134.65063605594554</v>
      </c>
      <c r="F3241" s="43">
        <v>135.50491042249723</v>
      </c>
      <c r="G3241" s="43">
        <v>136.21909290273925</v>
      </c>
      <c r="H3241" s="43">
        <v>136.80224643226546</v>
      </c>
      <c r="I3241" s="43">
        <v>137.26424362357579</v>
      </c>
    </row>
    <row r="3242" spans="1:9">
      <c r="A3242" s="19">
        <v>683.6</v>
      </c>
      <c r="B3242" s="43">
        <v>131.20371811911667</v>
      </c>
      <c r="C3242" s="43">
        <v>132.51218388887969</v>
      </c>
      <c r="D3242" s="43">
        <v>133.66681584385941</v>
      </c>
      <c r="E3242" s="43">
        <v>134.6689160812</v>
      </c>
      <c r="F3242" s="43">
        <v>135.5234430193284</v>
      </c>
      <c r="G3242" s="43">
        <v>136.23788505336773</v>
      </c>
      <c r="H3242" s="43">
        <v>136.82129996613912</v>
      </c>
      <c r="I3242" s="43">
        <v>137.28355616862285</v>
      </c>
    </row>
    <row r="3243" spans="1:9">
      <c r="A3243" s="19">
        <v>683.7</v>
      </c>
      <c r="B3243" s="43">
        <v>131.22134501889906</v>
      </c>
      <c r="C3243" s="43">
        <v>132.53000418733365</v>
      </c>
      <c r="D3243" s="43">
        <v>133.68485597870307</v>
      </c>
      <c r="E3243" s="43">
        <v>134.68719571567402</v>
      </c>
      <c r="F3243" s="43">
        <v>135.54197517069986</v>
      </c>
      <c r="G3243" s="43">
        <v>136.2566767125856</v>
      </c>
      <c r="H3243" s="43">
        <v>136.84035297165929</v>
      </c>
      <c r="I3243" s="43">
        <v>137.30286815744722</v>
      </c>
    </row>
    <row r="3244" spans="1:9">
      <c r="A3244" s="19">
        <v>683.8</v>
      </c>
      <c r="B3244" s="43">
        <v>131.23897172572725</v>
      </c>
      <c r="C3244" s="43">
        <v>132.54782422408255</v>
      </c>
      <c r="D3244" s="43">
        <v>133.70289578477423</v>
      </c>
      <c r="E3244" s="43">
        <v>134.70547495944459</v>
      </c>
      <c r="F3244" s="43">
        <v>135.56050687670654</v>
      </c>
      <c r="G3244" s="43">
        <v>136.2754678804032</v>
      </c>
      <c r="H3244" s="43">
        <v>136.8594054489165</v>
      </c>
      <c r="I3244" s="43">
        <v>137.32217959014628</v>
      </c>
    </row>
    <row r="3245" spans="1:9">
      <c r="A3245" s="19">
        <v>683.9</v>
      </c>
      <c r="B3245" s="43">
        <v>131.2565982397681</v>
      </c>
      <c r="C3245" s="43">
        <v>132.56564399930215</v>
      </c>
      <c r="D3245" s="43">
        <v>133.72093526231623</v>
      </c>
      <c r="E3245" s="43">
        <v>134.723753812665</v>
      </c>
      <c r="F3245" s="43">
        <v>135.57903813751187</v>
      </c>
      <c r="G3245" s="43">
        <v>136.29425855704494</v>
      </c>
      <c r="H3245" s="43">
        <v>136.87845739808415</v>
      </c>
      <c r="I3245" s="43">
        <v>137.34149046684058</v>
      </c>
    </row>
    <row r="3246" spans="1:9">
      <c r="A3246" s="19">
        <v>684</v>
      </c>
      <c r="B3246" s="43">
        <v>131.27422456112544</v>
      </c>
      <c r="C3246" s="43">
        <v>132.58346351317454</v>
      </c>
      <c r="D3246" s="43">
        <v>133.73897441145436</v>
      </c>
      <c r="E3246" s="43">
        <v>134.7420322754997</v>
      </c>
      <c r="F3246" s="43">
        <v>135.59756895334425</v>
      </c>
      <c r="G3246" s="43">
        <v>136.31304874262423</v>
      </c>
      <c r="H3246" s="43">
        <v>136.89750881929109</v>
      </c>
      <c r="I3246" s="43">
        <v>137.36080078766753</v>
      </c>
    </row>
    <row r="3247" spans="1:9">
      <c r="A3247" s="19">
        <v>684.1</v>
      </c>
      <c r="B3247" s="43">
        <v>131.29185068999499</v>
      </c>
      <c r="C3247" s="43">
        <v>132.60128276576143</v>
      </c>
      <c r="D3247" s="43">
        <v>133.75701323236007</v>
      </c>
      <c r="E3247" s="43">
        <v>134.76031034811581</v>
      </c>
      <c r="F3247" s="43">
        <v>135.61609932427325</v>
      </c>
      <c r="G3247" s="43">
        <v>136.33183843729051</v>
      </c>
      <c r="H3247" s="43">
        <v>136.91655971268517</v>
      </c>
      <c r="I3247" s="43">
        <v>137.38011055274205</v>
      </c>
    </row>
    <row r="3248" spans="1:9">
      <c r="A3248" s="19">
        <v>684.2</v>
      </c>
      <c r="B3248" s="43">
        <v>131.30947662637266</v>
      </c>
      <c r="C3248" s="43">
        <v>132.61910175726126</v>
      </c>
      <c r="D3248" s="43">
        <v>133.77505172514134</v>
      </c>
      <c r="E3248" s="43">
        <v>134.77858803069398</v>
      </c>
      <c r="F3248" s="43">
        <v>135.63462925053892</v>
      </c>
      <c r="G3248" s="43">
        <v>136.35062764128872</v>
      </c>
      <c r="H3248" s="43">
        <v>136.93561007844443</v>
      </c>
      <c r="I3248" s="43">
        <v>137.39941976226629</v>
      </c>
    </row>
    <row r="3249" spans="1:9">
      <c r="A3249" s="19">
        <v>684.3</v>
      </c>
      <c r="B3249" s="43">
        <v>131.32710237047456</v>
      </c>
      <c r="C3249" s="43">
        <v>132.63692048775363</v>
      </c>
      <c r="D3249" s="43">
        <v>133.7930898899902</v>
      </c>
      <c r="E3249" s="43">
        <v>134.79686532336842</v>
      </c>
      <c r="F3249" s="43">
        <v>135.65315873223886</v>
      </c>
      <c r="G3249" s="43">
        <v>136.36941635465598</v>
      </c>
      <c r="H3249" s="43">
        <v>136.95465991664878</v>
      </c>
      <c r="I3249" s="43">
        <v>137.41872841628282</v>
      </c>
    </row>
    <row r="3250" spans="1:9">
      <c r="A3250" s="19">
        <v>684.4</v>
      </c>
      <c r="B3250" s="43">
        <v>131.34472792232282</v>
      </c>
      <c r="C3250" s="43">
        <v>132.65473895738677</v>
      </c>
      <c r="D3250" s="43">
        <v>133.81112772701528</v>
      </c>
      <c r="E3250" s="43">
        <v>134.81514222625543</v>
      </c>
      <c r="F3250" s="43">
        <v>135.67168776952695</v>
      </c>
      <c r="G3250" s="43">
        <v>136.38820457761659</v>
      </c>
      <c r="H3250" s="43">
        <v>136.97370922750048</v>
      </c>
      <c r="I3250" s="43">
        <v>137.43803651497848</v>
      </c>
    </row>
    <row r="3251" spans="1:9">
      <c r="A3251" s="19">
        <v>684.5</v>
      </c>
      <c r="B3251" s="43">
        <v>131.36235328207124</v>
      </c>
      <c r="C3251" s="43">
        <v>132.67255716630979</v>
      </c>
      <c r="D3251" s="43">
        <v>133.82916523636635</v>
      </c>
      <c r="E3251" s="43">
        <v>134.83341873955425</v>
      </c>
      <c r="F3251" s="43">
        <v>135.69021636257048</v>
      </c>
      <c r="G3251" s="43">
        <v>136.40699231028799</v>
      </c>
      <c r="H3251" s="43">
        <v>136.99275801106859</v>
      </c>
      <c r="I3251" s="43">
        <v>137.45734405845252</v>
      </c>
    </row>
    <row r="3252" spans="1:9">
      <c r="A3252" s="19">
        <v>684.6</v>
      </c>
      <c r="B3252" s="43">
        <v>131.37997845003315</v>
      </c>
      <c r="C3252" s="43">
        <v>132.69037511479809</v>
      </c>
      <c r="D3252" s="43">
        <v>133.84720241835214</v>
      </c>
      <c r="E3252" s="43">
        <v>134.851694863533</v>
      </c>
      <c r="F3252" s="43">
        <v>135.70874451164053</v>
      </c>
      <c r="G3252" s="43">
        <v>136.42577955289732</v>
      </c>
      <c r="H3252" s="43">
        <v>137.01180626764454</v>
      </c>
      <c r="I3252" s="43">
        <v>137.47665104691794</v>
      </c>
    </row>
    <row r="3253" spans="1:9">
      <c r="A3253" s="19">
        <v>684.7</v>
      </c>
      <c r="B3253" s="43">
        <v>131.39760342595514</v>
      </c>
      <c r="C3253" s="43">
        <v>132.70819280269785</v>
      </c>
      <c r="D3253" s="43">
        <v>133.8652392728132</v>
      </c>
      <c r="E3253" s="43">
        <v>134.86997059808596</v>
      </c>
      <c r="F3253" s="43">
        <v>135.72727221664519</v>
      </c>
      <c r="G3253" s="43">
        <v>136.44456630540276</v>
      </c>
      <c r="H3253" s="43">
        <v>137.03085399715917</v>
      </c>
      <c r="I3253" s="43">
        <v>137.49595748034886</v>
      </c>
    </row>
    <row r="3254" spans="1:9">
      <c r="A3254" s="19">
        <v>684.8</v>
      </c>
      <c r="B3254" s="43">
        <v>131.41522821019623</v>
      </c>
      <c r="C3254" s="43">
        <v>132.7260102303344</v>
      </c>
      <c r="D3254" s="43">
        <v>133.88327580009144</v>
      </c>
      <c r="E3254" s="43">
        <v>134.88824594351956</v>
      </c>
      <c r="F3254" s="43">
        <v>135.74579947793302</v>
      </c>
      <c r="G3254" s="43">
        <v>136.46335256814871</v>
      </c>
      <c r="H3254" s="43">
        <v>137.04990119990123</v>
      </c>
      <c r="I3254" s="43">
        <v>137.51526335898467</v>
      </c>
    </row>
    <row r="3255" spans="1:9">
      <c r="A3255" s="19">
        <v>684.9</v>
      </c>
      <c r="B3255" s="43">
        <v>131.43285280274938</v>
      </c>
      <c r="C3255" s="43">
        <v>132.74382739775444</v>
      </c>
      <c r="D3255" s="43">
        <v>133.90131200031703</v>
      </c>
      <c r="E3255" s="43">
        <v>134.90652089998582</v>
      </c>
      <c r="F3255" s="43">
        <v>135.76432629556587</v>
      </c>
      <c r="G3255" s="43">
        <v>136.48213834116387</v>
      </c>
      <c r="H3255" s="43">
        <v>137.06894787597594</v>
      </c>
      <c r="I3255" s="43">
        <v>137.53456868292722</v>
      </c>
    </row>
    <row r="3256" spans="1:9">
      <c r="A3256" s="19">
        <v>685</v>
      </c>
      <c r="B3256" s="43">
        <v>131.45047720384929</v>
      </c>
      <c r="C3256" s="43">
        <v>132.76164430518361</v>
      </c>
      <c r="D3256" s="43">
        <v>133.91934787367518</v>
      </c>
      <c r="E3256" s="43">
        <v>134.92479546765844</v>
      </c>
      <c r="F3256" s="43">
        <v>135.7828526698097</v>
      </c>
      <c r="G3256" s="43">
        <v>136.50092362471457</v>
      </c>
      <c r="H3256" s="43">
        <v>137.08799402555633</v>
      </c>
      <c r="I3256" s="43">
        <v>137.55387345235346</v>
      </c>
    </row>
    <row r="3257" spans="1:9">
      <c r="A3257" s="19">
        <v>685.1</v>
      </c>
      <c r="B3257" s="43">
        <v>131.46810141355513</v>
      </c>
      <c r="C3257" s="43">
        <v>132.7794609526909</v>
      </c>
      <c r="D3257" s="43">
        <v>133.9373834201964</v>
      </c>
      <c r="E3257" s="43">
        <v>134.94306964665083</v>
      </c>
      <c r="F3257" s="43">
        <v>135.80137860070681</v>
      </c>
      <c r="G3257" s="43">
        <v>136.51970841885895</v>
      </c>
      <c r="H3257" s="43">
        <v>137.10703964871709</v>
      </c>
      <c r="I3257" s="43">
        <v>137.57317766734013</v>
      </c>
    </row>
    <row r="3258" spans="1:9">
      <c r="A3258" s="19">
        <v>685.2</v>
      </c>
      <c r="B3258" s="43">
        <v>131.48572543197133</v>
      </c>
      <c r="C3258" s="43">
        <v>132.79727734046259</v>
      </c>
      <c r="D3258" s="43">
        <v>133.95541864015314</v>
      </c>
      <c r="E3258" s="43">
        <v>134.96134343714374</v>
      </c>
      <c r="F3258" s="43">
        <v>135.81990408845382</v>
      </c>
      <c r="G3258" s="43">
        <v>136.53849272381717</v>
      </c>
      <c r="H3258" s="43">
        <v>137.12608474565457</v>
      </c>
      <c r="I3258" s="43">
        <v>137.59248132803214</v>
      </c>
    </row>
    <row r="3259" spans="1:9">
      <c r="A3259" s="19">
        <v>685.3</v>
      </c>
      <c r="B3259" s="43">
        <v>131.50334925925893</v>
      </c>
      <c r="C3259" s="43">
        <v>132.81509346859877</v>
      </c>
      <c r="D3259" s="43">
        <v>133.97345353363625</v>
      </c>
      <c r="E3259" s="43">
        <v>134.97961683927645</v>
      </c>
      <c r="F3259" s="43">
        <v>135.8384291332473</v>
      </c>
      <c r="G3259" s="43">
        <v>136.55727653969802</v>
      </c>
      <c r="H3259" s="43">
        <v>137.14512931650847</v>
      </c>
      <c r="I3259" s="43">
        <v>137.61178443457322</v>
      </c>
    </row>
    <row r="3260" spans="1:9">
      <c r="A3260" s="19">
        <v>685.4</v>
      </c>
      <c r="B3260" s="43">
        <v>131.5209728955744</v>
      </c>
      <c r="C3260" s="43">
        <v>132.83290933734935</v>
      </c>
      <c r="D3260" s="43">
        <v>133.99148810085893</v>
      </c>
      <c r="E3260" s="43">
        <v>134.99788985331668</v>
      </c>
      <c r="F3260" s="43">
        <v>135.85695373525709</v>
      </c>
      <c r="G3260" s="43">
        <v>136.57605986671439</v>
      </c>
      <c r="H3260" s="43">
        <v>137.16417336146458</v>
      </c>
      <c r="I3260" s="43">
        <v>137.63108698713438</v>
      </c>
    </row>
    <row r="3261" spans="1:9">
      <c r="A3261" s="19">
        <v>685.5</v>
      </c>
      <c r="B3261" s="43">
        <v>131.53859634070255</v>
      </c>
      <c r="C3261" s="43">
        <v>132.85072494649432</v>
      </c>
      <c r="D3261" s="43">
        <v>134.00952234171461</v>
      </c>
      <c r="E3261" s="43">
        <v>135.01616247911227</v>
      </c>
      <c r="F3261" s="43">
        <v>135.87547789440271</v>
      </c>
      <c r="G3261" s="43">
        <v>136.59484270479004</v>
      </c>
      <c r="H3261" s="43">
        <v>137.18321688046899</v>
      </c>
      <c r="I3261" s="43">
        <v>137.65038898568758</v>
      </c>
    </row>
    <row r="3262" spans="1:9">
      <c r="A3262" s="19">
        <v>685.6</v>
      </c>
      <c r="B3262" s="43">
        <v>131.55621959523575</v>
      </c>
      <c r="C3262" s="43">
        <v>132.86854029655001</v>
      </c>
      <c r="D3262" s="43">
        <v>134.02755625669062</v>
      </c>
      <c r="E3262" s="43">
        <v>135.03443471711876</v>
      </c>
      <c r="F3262" s="43">
        <v>135.89400161116077</v>
      </c>
      <c r="G3262" s="43">
        <v>136.6136250543733</v>
      </c>
      <c r="H3262" s="43">
        <v>137.20225987390057</v>
      </c>
      <c r="I3262" s="43">
        <v>137.66969043053751</v>
      </c>
    </row>
    <row r="3263" spans="1:9">
      <c r="A3263" s="19">
        <v>685.7</v>
      </c>
      <c r="B3263" s="43">
        <v>131.57384265902209</v>
      </c>
      <c r="C3263" s="43">
        <v>132.88635538750378</v>
      </c>
      <c r="D3263" s="43">
        <v>134.04558984574828</v>
      </c>
      <c r="E3263" s="43">
        <v>135.05270656737235</v>
      </c>
      <c r="F3263" s="43">
        <v>135.91252488552931</v>
      </c>
      <c r="G3263" s="43">
        <v>136.63240691546946</v>
      </c>
      <c r="H3263" s="43">
        <v>137.22130234177592</v>
      </c>
      <c r="I3263" s="43">
        <v>137.68899132172766</v>
      </c>
    </row>
    <row r="3264" spans="1:9">
      <c r="A3264" s="19">
        <v>685.8</v>
      </c>
      <c r="B3264" s="43">
        <v>131.59146553215669</v>
      </c>
      <c r="C3264" s="43">
        <v>132.90417021945399</v>
      </c>
      <c r="D3264" s="43">
        <v>134.06362310903603</v>
      </c>
      <c r="E3264" s="43">
        <v>135.07097803002461</v>
      </c>
      <c r="F3264" s="43">
        <v>135.93104771764081</v>
      </c>
      <c r="G3264" s="43">
        <v>136.65118828822636</v>
      </c>
      <c r="H3264" s="43">
        <v>137.24034428426984</v>
      </c>
      <c r="I3264" s="43">
        <v>137.70829165941041</v>
      </c>
    </row>
    <row r="3265" spans="1:9">
      <c r="A3265" s="19">
        <v>685.9</v>
      </c>
      <c r="B3265" s="43">
        <v>131.60908821488073</v>
      </c>
      <c r="C3265" s="43">
        <v>132.92198479267751</v>
      </c>
      <c r="D3265" s="43">
        <v>134.0816560468366</v>
      </c>
      <c r="E3265" s="43">
        <v>135.08924910529686</v>
      </c>
      <c r="F3265" s="43">
        <v>135.94957010774829</v>
      </c>
      <c r="G3265" s="43">
        <v>136.66996917289526</v>
      </c>
      <c r="H3265" s="43">
        <v>137.25938570155267</v>
      </c>
      <c r="I3265" s="43">
        <v>137.72759144374595</v>
      </c>
    </row>
    <row r="3266" spans="1:9">
      <c r="A3266" s="19">
        <v>686</v>
      </c>
      <c r="B3266" s="43">
        <v>131.62671070724815</v>
      </c>
      <c r="C3266" s="43">
        <v>132.93979910717576</v>
      </c>
      <c r="D3266" s="43">
        <v>134.09968865917705</v>
      </c>
      <c r="E3266" s="43">
        <v>135.10751979331144</v>
      </c>
      <c r="F3266" s="43">
        <v>135.96809205599254</v>
      </c>
      <c r="G3266" s="43">
        <v>136.68874956951953</v>
      </c>
      <c r="H3266" s="43">
        <v>137.27842659374841</v>
      </c>
      <c r="I3266" s="43">
        <v>137.74689067484996</v>
      </c>
    </row>
    <row r="3267" spans="1:9">
      <c r="A3267" s="19">
        <v>686.1</v>
      </c>
      <c r="B3267" s="43">
        <v>131.64433300932137</v>
      </c>
      <c r="C3267" s="43">
        <v>132.9576131630796</v>
      </c>
      <c r="D3267" s="43">
        <v>134.1177209462025</v>
      </c>
      <c r="E3267" s="43">
        <v>135.12579009418243</v>
      </c>
      <c r="F3267" s="43">
        <v>135.98661356242224</v>
      </c>
      <c r="G3267" s="43">
        <v>136.70752947826293</v>
      </c>
      <c r="H3267" s="43">
        <v>137.29746696095106</v>
      </c>
      <c r="I3267" s="43">
        <v>137.76618935280135</v>
      </c>
    </row>
    <row r="3268" spans="1:9">
      <c r="A3268" s="19">
        <v>686.2</v>
      </c>
      <c r="B3268" s="43">
        <v>131.66195512134436</v>
      </c>
      <c r="C3268" s="43">
        <v>132.97542696058588</v>
      </c>
      <c r="D3268" s="43">
        <v>134.13575290808024</v>
      </c>
      <c r="E3268" s="43">
        <v>135.14406000807367</v>
      </c>
      <c r="F3268" s="43">
        <v>136.00513462726752</v>
      </c>
      <c r="G3268" s="43">
        <v>136.72630889929741</v>
      </c>
      <c r="H3268" s="43">
        <v>137.31650680335127</v>
      </c>
      <c r="I3268" s="43">
        <v>137.78548747777825</v>
      </c>
    </row>
    <row r="3269" spans="1:9">
      <c r="A3269" s="19">
        <v>686.3</v>
      </c>
      <c r="B3269" s="43">
        <v>131.6795770432995</v>
      </c>
      <c r="C3269" s="43">
        <v>132.99324049978998</v>
      </c>
      <c r="D3269" s="43">
        <v>134.15378454495095</v>
      </c>
      <c r="E3269" s="43">
        <v>135.1623295351539</v>
      </c>
      <c r="F3269" s="43">
        <v>136.02365525067768</v>
      </c>
      <c r="G3269" s="43">
        <v>136.74508783276355</v>
      </c>
      <c r="H3269" s="43">
        <v>137.33554612105735</v>
      </c>
      <c r="I3269" s="43">
        <v>137.80478504988145</v>
      </c>
    </row>
    <row r="3270" spans="1:9">
      <c r="A3270" s="19">
        <v>686.4</v>
      </c>
      <c r="B3270" s="43">
        <v>131.69719877533447</v>
      </c>
      <c r="C3270" s="43">
        <v>133.01105378078813</v>
      </c>
      <c r="D3270" s="43">
        <v>134.1718158569816</v>
      </c>
      <c r="E3270" s="43">
        <v>135.18059867556946</v>
      </c>
      <c r="F3270" s="43">
        <v>136.04217543278639</v>
      </c>
      <c r="G3270" s="43">
        <v>136.76386627881215</v>
      </c>
      <c r="H3270" s="43">
        <v>137.35458491425362</v>
      </c>
      <c r="I3270" s="43">
        <v>137.82408206927596</v>
      </c>
    </row>
    <row r="3271" spans="1:9">
      <c r="A3271" s="19">
        <v>686.5</v>
      </c>
      <c r="B3271" s="43">
        <v>131.71482031756346</v>
      </c>
      <c r="C3271" s="43">
        <v>133.02886680381295</v>
      </c>
      <c r="D3271" s="43">
        <v>134.18984684429665</v>
      </c>
      <c r="E3271" s="43">
        <v>135.19886742948012</v>
      </c>
      <c r="F3271" s="43">
        <v>136.06069517381422</v>
      </c>
      <c r="G3271" s="43">
        <v>136.78264423760646</v>
      </c>
      <c r="H3271" s="43">
        <v>137.3736231830614</v>
      </c>
      <c r="I3271" s="43">
        <v>137.84337853607502</v>
      </c>
    </row>
    <row r="3272" spans="1:9">
      <c r="A3272" s="19">
        <v>686.6</v>
      </c>
      <c r="B3272" s="43">
        <v>131.7324416702225</v>
      </c>
      <c r="C3272" s="43">
        <v>133.0466795689785</v>
      </c>
      <c r="D3272" s="43">
        <v>134.207877507131</v>
      </c>
      <c r="E3272" s="43">
        <v>135.21713579710558</v>
      </c>
      <c r="F3272" s="43">
        <v>136.07921447385496</v>
      </c>
      <c r="G3272" s="43">
        <v>136.80142170931987</v>
      </c>
      <c r="H3272" s="43">
        <v>137.39266092765655</v>
      </c>
      <c r="I3272" s="43">
        <v>137.86267445042148</v>
      </c>
    </row>
    <row r="3273" spans="1:9">
      <c r="A3273" s="19">
        <v>686.7</v>
      </c>
      <c r="B3273" s="43">
        <v>131.75006283330691</v>
      </c>
      <c r="C3273" s="43">
        <v>133.06449207641094</v>
      </c>
      <c r="D3273" s="43">
        <v>134.22590784553773</v>
      </c>
      <c r="E3273" s="43">
        <v>135.23540377852493</v>
      </c>
      <c r="F3273" s="43">
        <v>136.09773333310454</v>
      </c>
      <c r="G3273" s="43">
        <v>136.82019869411266</v>
      </c>
      <c r="H3273" s="43">
        <v>137.41169814816072</v>
      </c>
      <c r="I3273" s="43">
        <v>137.88196981247256</v>
      </c>
    </row>
    <row r="3274" spans="1:9">
      <c r="A3274" s="19">
        <v>686.8</v>
      </c>
      <c r="B3274" s="43">
        <v>131.76768380692761</v>
      </c>
      <c r="C3274" s="43">
        <v>133.08230432620979</v>
      </c>
      <c r="D3274" s="43">
        <v>134.24393785966265</v>
      </c>
      <c r="E3274" s="43">
        <v>135.2536713738869</v>
      </c>
      <c r="F3274" s="43">
        <v>136.11625175168177</v>
      </c>
      <c r="G3274" s="43">
        <v>136.83897519205806</v>
      </c>
      <c r="H3274" s="43">
        <v>137.43073484467044</v>
      </c>
      <c r="I3274" s="43">
        <v>137.90126462228659</v>
      </c>
    </row>
    <row r="3275" spans="1:9">
      <c r="A3275" s="19">
        <v>686.9</v>
      </c>
      <c r="B3275" s="43">
        <v>131.7853045911678</v>
      </c>
      <c r="C3275" s="43">
        <v>133.10011631845424</v>
      </c>
      <c r="D3275" s="43">
        <v>134.26196754963792</v>
      </c>
      <c r="E3275" s="43">
        <v>135.27193858332527</v>
      </c>
      <c r="F3275" s="43">
        <v>136.13476972969454</v>
      </c>
      <c r="G3275" s="43">
        <v>136.85775120329964</v>
      </c>
      <c r="H3275" s="43">
        <v>137.44977101733707</v>
      </c>
      <c r="I3275" s="43">
        <v>137.92055888001266</v>
      </c>
    </row>
    <row r="3276" spans="1:9">
      <c r="A3276" s="19">
        <v>687</v>
      </c>
      <c r="B3276" s="43">
        <v>131.80292518620757</v>
      </c>
      <c r="C3276" s="43">
        <v>133.11792805337649</v>
      </c>
      <c r="D3276" s="43">
        <v>134.27999691566805</v>
      </c>
      <c r="E3276" s="43">
        <v>135.290205407065</v>
      </c>
      <c r="F3276" s="43">
        <v>136.15328726738193</v>
      </c>
      <c r="G3276" s="43">
        <v>136.87652672807548</v>
      </c>
      <c r="H3276" s="43">
        <v>137.46880666633507</v>
      </c>
      <c r="I3276" s="43">
        <v>137.93985258581586</v>
      </c>
    </row>
    <row r="3277" spans="1:9">
      <c r="A3277" s="19">
        <v>687.1</v>
      </c>
      <c r="B3277" s="43">
        <v>131.82054559224878</v>
      </c>
      <c r="C3277" s="43">
        <v>133.13573953113325</v>
      </c>
      <c r="D3277" s="43">
        <v>134.2980259579673</v>
      </c>
      <c r="E3277" s="43">
        <v>135.30847184530234</v>
      </c>
      <c r="F3277" s="43">
        <v>136.1718043649376</v>
      </c>
      <c r="G3277" s="43">
        <v>136.89530176655416</v>
      </c>
      <c r="H3277" s="43">
        <v>137.48784179185969</v>
      </c>
      <c r="I3277" s="43">
        <v>137.95914573984169</v>
      </c>
    </row>
    <row r="3278" spans="1:9">
      <c r="A3278" s="19">
        <v>687.2</v>
      </c>
      <c r="B3278" s="43">
        <v>131.83816580916277</v>
      </c>
      <c r="C3278" s="43">
        <v>133.15355075170021</v>
      </c>
      <c r="D3278" s="43">
        <v>134.31605467648671</v>
      </c>
      <c r="E3278" s="43">
        <v>135.32673789800384</v>
      </c>
      <c r="F3278" s="43">
        <v>136.19032102237554</v>
      </c>
      <c r="G3278" s="43">
        <v>136.91407631874642</v>
      </c>
      <c r="H3278" s="43">
        <v>137.50687639393402</v>
      </c>
      <c r="I3278" s="43">
        <v>137.97843834214666</v>
      </c>
    </row>
    <row r="3279" spans="1:9">
      <c r="A3279" s="19">
        <v>687.3</v>
      </c>
      <c r="B3279" s="43">
        <v>131.85578583742597</v>
      </c>
      <c r="C3279" s="43">
        <v>133.17136171548907</v>
      </c>
      <c r="D3279" s="43">
        <v>134.33408307165774</v>
      </c>
      <c r="E3279" s="43">
        <v>135.34500356558044</v>
      </c>
      <c r="F3279" s="43">
        <v>136.20883724006319</v>
      </c>
      <c r="G3279" s="43">
        <v>136.93285038499408</v>
      </c>
      <c r="H3279" s="43">
        <v>137.52591047286427</v>
      </c>
      <c r="I3279" s="43">
        <v>137.99773039298572</v>
      </c>
    </row>
    <row r="3280" spans="1:9">
      <c r="A3280" s="19">
        <v>687.4</v>
      </c>
      <c r="B3280" s="43">
        <v>131.87340567672896</v>
      </c>
      <c r="C3280" s="43">
        <v>133.18917242229583</v>
      </c>
      <c r="D3280" s="43">
        <v>134.35211114326466</v>
      </c>
      <c r="E3280" s="43">
        <v>135.3632688479027</v>
      </c>
      <c r="F3280" s="43">
        <v>136.22735301789317</v>
      </c>
      <c r="G3280" s="43">
        <v>136.95162396525302</v>
      </c>
      <c r="H3280" s="43">
        <v>137.54494402860013</v>
      </c>
      <c r="I3280" s="43">
        <v>138.01702189232498</v>
      </c>
    </row>
    <row r="3281" spans="1:9">
      <c r="A3281" s="19">
        <v>687.5</v>
      </c>
      <c r="B3281" s="43">
        <v>131.89102532739361</v>
      </c>
      <c r="C3281" s="43">
        <v>133.2069828724583</v>
      </c>
      <c r="D3281" s="43">
        <v>134.37013889168344</v>
      </c>
      <c r="E3281" s="43">
        <v>135.38153374529139</v>
      </c>
      <c r="F3281" s="43">
        <v>136.24586835614298</v>
      </c>
      <c r="G3281" s="43">
        <v>136.97039705975891</v>
      </c>
      <c r="H3281" s="43">
        <v>137.56397706137176</v>
      </c>
      <c r="I3281" s="43">
        <v>138.03631284041091</v>
      </c>
    </row>
    <row r="3282" spans="1:9">
      <c r="A3282" s="19">
        <v>687.6</v>
      </c>
      <c r="B3282" s="43">
        <v>131.90864478962214</v>
      </c>
      <c r="C3282" s="43">
        <v>133.22479306608699</v>
      </c>
      <c r="D3282" s="43">
        <v>134.38816631705686</v>
      </c>
      <c r="E3282" s="43">
        <v>135.39979825792534</v>
      </c>
      <c r="F3282" s="43">
        <v>136.26438325501618</v>
      </c>
      <c r="G3282" s="43">
        <v>136.98916966871468</v>
      </c>
      <c r="H3282" s="43">
        <v>137.5830095713531</v>
      </c>
      <c r="I3282" s="43">
        <v>138.05560323735119</v>
      </c>
    </row>
    <row r="3283" spans="1:9">
      <c r="A3283" s="19">
        <v>687.7</v>
      </c>
      <c r="B3283" s="43">
        <v>131.92626406337916</v>
      </c>
      <c r="C3283" s="43">
        <v>133.24260300326949</v>
      </c>
      <c r="D3283" s="43">
        <v>134.40619341945347</v>
      </c>
      <c r="E3283" s="43">
        <v>135.41806238583661</v>
      </c>
      <c r="F3283" s="43">
        <v>136.28289771459373</v>
      </c>
      <c r="G3283" s="43">
        <v>137.0079417921508</v>
      </c>
      <c r="H3283" s="43">
        <v>137.602041558613</v>
      </c>
      <c r="I3283" s="43">
        <v>138.0748930832159</v>
      </c>
    </row>
    <row r="3284" spans="1:9">
      <c r="A3284" s="19">
        <v>687.8</v>
      </c>
      <c r="B3284" s="43">
        <v>131.94388314885055</v>
      </c>
      <c r="C3284" s="43">
        <v>133.2604126842092</v>
      </c>
      <c r="D3284" s="43">
        <v>134.42422019913226</v>
      </c>
      <c r="E3284" s="43">
        <v>135.4363261293214</v>
      </c>
      <c r="F3284" s="43">
        <v>136.30141173510043</v>
      </c>
      <c r="G3284" s="43">
        <v>137.02671343037451</v>
      </c>
      <c r="H3284" s="43">
        <v>137.62107302337398</v>
      </c>
      <c r="I3284" s="43">
        <v>138.09418237823689</v>
      </c>
    </row>
    <row r="3285" spans="1:9">
      <c r="A3285" s="19">
        <v>687.9</v>
      </c>
      <c r="B3285" s="43">
        <v>131.9615020461153</v>
      </c>
      <c r="C3285" s="43">
        <v>133.2782221089567</v>
      </c>
      <c r="D3285" s="43">
        <v>134.44224665608129</v>
      </c>
      <c r="E3285" s="43">
        <v>135.45458948843407</v>
      </c>
      <c r="F3285" s="43">
        <v>136.31992531661058</v>
      </c>
      <c r="G3285" s="43">
        <v>137.04548458338036</v>
      </c>
      <c r="H3285" s="43">
        <v>137.64010396572132</v>
      </c>
      <c r="I3285" s="43">
        <v>138.11347112246688</v>
      </c>
    </row>
    <row r="3286" spans="1:9">
      <c r="A3286" s="19">
        <v>688</v>
      </c>
      <c r="B3286" s="43">
        <v>131.97912075537153</v>
      </c>
      <c r="C3286" s="43">
        <v>133.29603127771378</v>
      </c>
      <c r="D3286" s="43">
        <v>134.46027279059314</v>
      </c>
      <c r="E3286" s="43">
        <v>135.47285246336122</v>
      </c>
      <c r="F3286" s="43">
        <v>136.338438459359</v>
      </c>
      <c r="G3286" s="43">
        <v>137.06425525145323</v>
      </c>
      <c r="H3286" s="43">
        <v>137.65913438584562</v>
      </c>
      <c r="I3286" s="43">
        <v>138.13275931611827</v>
      </c>
    </row>
    <row r="3287" spans="1:9">
      <c r="A3287" s="19">
        <v>688.1</v>
      </c>
      <c r="B3287" s="43">
        <v>131.99673927664509</v>
      </c>
      <c r="C3287" s="43">
        <v>133.31384019061358</v>
      </c>
      <c r="D3287" s="43">
        <v>134.47829860277477</v>
      </c>
      <c r="E3287" s="43">
        <v>135.49111505427106</v>
      </c>
      <c r="F3287" s="43">
        <v>136.35695116347654</v>
      </c>
      <c r="G3287" s="43">
        <v>137.08302543466607</v>
      </c>
      <c r="H3287" s="43">
        <v>137.67816428386436</v>
      </c>
      <c r="I3287" s="43">
        <v>138.15204695924535</v>
      </c>
    </row>
    <row r="3288" spans="1:9">
      <c r="A3288" s="19">
        <v>688.2</v>
      </c>
      <c r="B3288" s="43">
        <v>132.01435761008617</v>
      </c>
      <c r="C3288" s="43">
        <v>133.33164884772674</v>
      </c>
      <c r="D3288" s="43">
        <v>134.49632409271487</v>
      </c>
      <c r="E3288" s="43">
        <v>135.50937726127574</v>
      </c>
      <c r="F3288" s="43">
        <v>136.3754634290753</v>
      </c>
      <c r="G3288" s="43">
        <v>137.10179513315978</v>
      </c>
      <c r="H3288" s="43">
        <v>137.69719365992341</v>
      </c>
      <c r="I3288" s="43">
        <v>138.17133405200678</v>
      </c>
    </row>
    <row r="3289" spans="1:9">
      <c r="A3289" s="19">
        <v>688.3</v>
      </c>
      <c r="B3289" s="43">
        <v>132.03197575573239</v>
      </c>
      <c r="C3289" s="43">
        <v>133.34945724918231</v>
      </c>
      <c r="D3289" s="43">
        <v>134.51434926060574</v>
      </c>
      <c r="E3289" s="43">
        <v>135.52763908456177</v>
      </c>
      <c r="F3289" s="43">
        <v>136.39397525632921</v>
      </c>
      <c r="G3289" s="43">
        <v>137.1205643471144</v>
      </c>
      <c r="H3289" s="43">
        <v>137.71622251411725</v>
      </c>
      <c r="I3289" s="43">
        <v>138.19062059449561</v>
      </c>
    </row>
    <row r="3290" spans="1:9">
      <c r="A3290" s="19">
        <v>688.4</v>
      </c>
      <c r="B3290" s="43">
        <v>132.04959371370722</v>
      </c>
      <c r="C3290" s="43">
        <v>133.36726539516263</v>
      </c>
      <c r="D3290" s="43">
        <v>134.53237410652582</v>
      </c>
      <c r="E3290" s="43">
        <v>135.54590052421179</v>
      </c>
      <c r="F3290" s="43">
        <v>136.41248664536363</v>
      </c>
      <c r="G3290" s="43">
        <v>137.13933307663365</v>
      </c>
      <c r="H3290" s="43">
        <v>137.73525084661708</v>
      </c>
      <c r="I3290" s="43">
        <v>138.20990658686355</v>
      </c>
    </row>
    <row r="3291" spans="1:9">
      <c r="A3291" s="19">
        <v>688.5</v>
      </c>
      <c r="B3291" s="43">
        <v>132.0672114842738</v>
      </c>
      <c r="C3291" s="43">
        <v>133.38507328578197</v>
      </c>
      <c r="D3291" s="43">
        <v>134.55039863072216</v>
      </c>
      <c r="E3291" s="43">
        <v>135.56416158047142</v>
      </c>
      <c r="F3291" s="43">
        <v>136.43099759641842</v>
      </c>
      <c r="G3291" s="43">
        <v>137.15810132197288</v>
      </c>
      <c r="H3291" s="43">
        <v>137.75427865760446</v>
      </c>
      <c r="I3291" s="43">
        <v>138.22919202929222</v>
      </c>
    </row>
    <row r="3292" spans="1:9">
      <c r="A3292" s="19">
        <v>688.6</v>
      </c>
      <c r="B3292" s="43">
        <v>132.08482906749572</v>
      </c>
      <c r="C3292" s="43">
        <v>133.40288092126019</v>
      </c>
      <c r="D3292" s="43">
        <v>134.56842283338887</v>
      </c>
      <c r="E3292" s="43">
        <v>135.58242225352353</v>
      </c>
      <c r="F3292" s="43">
        <v>136.44950810963314</v>
      </c>
      <c r="G3292" s="43">
        <v>137.17686908321696</v>
      </c>
      <c r="H3292" s="43">
        <v>137.77330594721326</v>
      </c>
      <c r="I3292" s="43">
        <v>138.24847692189093</v>
      </c>
    </row>
    <row r="3293" spans="1:9">
      <c r="A3293" s="19">
        <v>688.7</v>
      </c>
      <c r="B3293" s="43">
        <v>132.1024464633407</v>
      </c>
      <c r="C3293" s="43">
        <v>133.42068830159144</v>
      </c>
      <c r="D3293" s="43">
        <v>134.58644671448923</v>
      </c>
      <c r="E3293" s="43">
        <v>135.60068254340166</v>
      </c>
      <c r="F3293" s="43">
        <v>136.46801818504593</v>
      </c>
      <c r="G3293" s="43">
        <v>137.1956363605002</v>
      </c>
      <c r="H3293" s="43">
        <v>137.79233271552943</v>
      </c>
      <c r="I3293" s="43">
        <v>138.26776126474863</v>
      </c>
    </row>
    <row r="3294" spans="1:9">
      <c r="A3294" s="19">
        <v>688.8</v>
      </c>
      <c r="B3294" s="43">
        <v>132.12006367206141</v>
      </c>
      <c r="C3294" s="43">
        <v>133.43849542695057</v>
      </c>
      <c r="D3294" s="43">
        <v>134.60447027430121</v>
      </c>
      <c r="E3294" s="43">
        <v>135.61894245033784</v>
      </c>
      <c r="F3294" s="43">
        <v>136.48652782296841</v>
      </c>
      <c r="G3294" s="43">
        <v>137.2144031539832</v>
      </c>
      <c r="H3294" s="43">
        <v>137.81135896276157</v>
      </c>
      <c r="I3294" s="43">
        <v>138.28704505802756</v>
      </c>
    </row>
    <row r="3295" spans="1:9">
      <c r="A3295" s="19">
        <v>688.9</v>
      </c>
      <c r="B3295" s="43">
        <v>132.13768069370451</v>
      </c>
      <c r="C3295" s="43">
        <v>133.45630229748639</v>
      </c>
      <c r="D3295" s="43">
        <v>134.62249351290728</v>
      </c>
      <c r="E3295" s="43">
        <v>135.63720197442984</v>
      </c>
      <c r="F3295" s="43">
        <v>136.50503702342962</v>
      </c>
      <c r="G3295" s="43">
        <v>137.23316946379856</v>
      </c>
      <c r="H3295" s="43">
        <v>137.83038468898229</v>
      </c>
      <c r="I3295" s="43">
        <v>138.30632830182276</v>
      </c>
    </row>
    <row r="3296" spans="1:9">
      <c r="A3296" s="19">
        <v>689</v>
      </c>
      <c r="B3296" s="43">
        <v>132.15529752842497</v>
      </c>
      <c r="C3296" s="43">
        <v>133.47410891336068</v>
      </c>
      <c r="D3296" s="43">
        <v>134.64051643047605</v>
      </c>
      <c r="E3296" s="43">
        <v>135.65546111588981</v>
      </c>
      <c r="F3296" s="43">
        <v>136.52354578664296</v>
      </c>
      <c r="G3296" s="43">
        <v>137.25193529017298</v>
      </c>
      <c r="H3296" s="43">
        <v>137.84940989440605</v>
      </c>
      <c r="I3296" s="43">
        <v>138.32561099631079</v>
      </c>
    </row>
    <row r="3297" spans="1:9">
      <c r="A3297" s="19">
        <v>689.1</v>
      </c>
      <c r="B3297" s="43">
        <v>132.17291417630577</v>
      </c>
      <c r="C3297" s="43">
        <v>133.49191527462904</v>
      </c>
      <c r="D3297" s="43">
        <v>134.65853902717691</v>
      </c>
      <c r="E3297" s="43">
        <v>135.67371987481806</v>
      </c>
      <c r="F3297" s="43">
        <v>136.54205411275257</v>
      </c>
      <c r="G3297" s="43">
        <v>137.27070063315449</v>
      </c>
      <c r="H3297" s="43">
        <v>137.86843457910368</v>
      </c>
      <c r="I3297" s="43">
        <v>138.34489314158941</v>
      </c>
    </row>
    <row r="3298" spans="1:9">
      <c r="A3298" s="19">
        <v>689.2</v>
      </c>
      <c r="B3298" s="43">
        <v>132.19053063748026</v>
      </c>
      <c r="C3298" s="43">
        <v>133.50972138152696</v>
      </c>
      <c r="D3298" s="43">
        <v>134.67656130312224</v>
      </c>
      <c r="E3298" s="43">
        <v>135.69197825144306</v>
      </c>
      <c r="F3298" s="43">
        <v>136.56056200192904</v>
      </c>
      <c r="G3298" s="43">
        <v>137.28946549296728</v>
      </c>
      <c r="H3298" s="43">
        <v>137.88745874328998</v>
      </c>
      <c r="I3298" s="43">
        <v>138.36417473783672</v>
      </c>
    </row>
    <row r="3299" spans="1:9">
      <c r="A3299" s="19">
        <v>689.3</v>
      </c>
      <c r="B3299" s="43">
        <v>132.20814691210416</v>
      </c>
      <c r="C3299" s="43">
        <v>133.52752723409975</v>
      </c>
      <c r="D3299" s="43">
        <v>134.69458325849939</v>
      </c>
      <c r="E3299" s="43">
        <v>135.71023624585592</v>
      </c>
      <c r="F3299" s="43">
        <v>136.57906945433672</v>
      </c>
      <c r="G3299" s="43">
        <v>137.30822986975932</v>
      </c>
      <c r="H3299" s="43">
        <v>137.90648238708513</v>
      </c>
      <c r="I3299" s="43">
        <v>138.38345578514094</v>
      </c>
    </row>
    <row r="3300" spans="1:9">
      <c r="A3300" s="19">
        <v>689.4</v>
      </c>
      <c r="B3300" s="43">
        <v>132.22576300013878</v>
      </c>
      <c r="C3300" s="43">
        <v>133.54533283247201</v>
      </c>
      <c r="D3300" s="43">
        <v>134.71260489338096</v>
      </c>
      <c r="E3300" s="43">
        <v>135.72849385819336</v>
      </c>
      <c r="F3300" s="43">
        <v>136.59757647003744</v>
      </c>
      <c r="G3300" s="43">
        <v>137.32699376362899</v>
      </c>
      <c r="H3300" s="43">
        <v>137.92550551057627</v>
      </c>
      <c r="I3300" s="43">
        <v>138.4027362836157</v>
      </c>
    </row>
    <row r="3301" spans="1:9">
      <c r="A3301" s="19">
        <v>689.5</v>
      </c>
      <c r="B3301" s="43">
        <v>132.24337890185558</v>
      </c>
      <c r="C3301" s="43">
        <v>133.56313817685555</v>
      </c>
      <c r="D3301" s="43">
        <v>134.73062620798356</v>
      </c>
      <c r="E3301" s="43">
        <v>135.74675108867166</v>
      </c>
      <c r="F3301" s="43">
        <v>136.61608304930951</v>
      </c>
      <c r="G3301" s="43">
        <v>137.34575717477998</v>
      </c>
      <c r="H3301" s="43">
        <v>137.9445281139715</v>
      </c>
      <c r="I3301" s="43">
        <v>138.42201623344096</v>
      </c>
    </row>
    <row r="3302" spans="1:9">
      <c r="A3302" s="19">
        <v>689.6</v>
      </c>
      <c r="B3302" s="43">
        <v>132.26099461732167</v>
      </c>
      <c r="C3302" s="43">
        <v>133.58094326732936</v>
      </c>
      <c r="D3302" s="43">
        <v>134.74864720244324</v>
      </c>
      <c r="E3302" s="43">
        <v>135.76500793739962</v>
      </c>
      <c r="F3302" s="43">
        <v>136.63458919222779</v>
      </c>
      <c r="G3302" s="43">
        <v>137.36452010330839</v>
      </c>
      <c r="H3302" s="43">
        <v>137.9635501973961</v>
      </c>
      <c r="I3302" s="43">
        <v>138.44129563472018</v>
      </c>
    </row>
    <row r="3303" spans="1:9">
      <c r="A3303" s="19">
        <v>689.7</v>
      </c>
      <c r="B3303" s="43">
        <v>132.27861014660812</v>
      </c>
      <c r="C3303" s="43">
        <v>133.59874810406177</v>
      </c>
      <c r="D3303" s="43">
        <v>134.76666787684741</v>
      </c>
      <c r="E3303" s="43">
        <v>135.78326440452264</v>
      </c>
      <c r="F3303" s="43">
        <v>136.65309489897743</v>
      </c>
      <c r="G3303" s="43">
        <v>137.383282549429</v>
      </c>
      <c r="H3303" s="43">
        <v>137.98257176096428</v>
      </c>
      <c r="I3303" s="43">
        <v>138.46057448757779</v>
      </c>
    </row>
    <row r="3304" spans="1:9">
      <c r="A3304" s="19">
        <v>689.8</v>
      </c>
      <c r="B3304" s="43">
        <v>132.29622548984048</v>
      </c>
      <c r="C3304" s="43">
        <v>133.61655268708967</v>
      </c>
      <c r="D3304" s="43">
        <v>134.78468823139593</v>
      </c>
      <c r="E3304" s="43">
        <v>135.8015204902195</v>
      </c>
      <c r="F3304" s="43">
        <v>136.6716001696837</v>
      </c>
      <c r="G3304" s="43">
        <v>137.40204451320739</v>
      </c>
      <c r="H3304" s="43">
        <v>138.00159280481063</v>
      </c>
      <c r="I3304" s="43">
        <v>138.47985279213941</v>
      </c>
    </row>
    <row r="3305" spans="1:9">
      <c r="A3305" s="19">
        <v>689.9</v>
      </c>
      <c r="B3305" s="43">
        <v>132.31384064721152</v>
      </c>
      <c r="C3305" s="43">
        <v>133.63435701669073</v>
      </c>
      <c r="D3305" s="43">
        <v>134.80270826625116</v>
      </c>
      <c r="E3305" s="43">
        <v>135.81977619465829</v>
      </c>
      <c r="F3305" s="43">
        <v>136.6901050045696</v>
      </c>
      <c r="G3305" s="43">
        <v>137.42080599490134</v>
      </c>
      <c r="H3305" s="43">
        <v>138.02061332916935</v>
      </c>
      <c r="I3305" s="43">
        <v>138.49913054859337</v>
      </c>
    </row>
    <row r="3306" spans="1:9">
      <c r="A3306" s="19">
        <v>690</v>
      </c>
      <c r="B3306" s="43">
        <v>132.32758158157418</v>
      </c>
      <c r="C3306" s="43">
        <v>133.64746139664754</v>
      </c>
      <c r="D3306" s="43">
        <v>134.81536396871257</v>
      </c>
      <c r="E3306" s="43">
        <v>135.83217850553871</v>
      </c>
      <c r="F3306" s="43">
        <v>136.70244481378546</v>
      </c>
      <c r="G3306" s="43">
        <v>137.43326185768387</v>
      </c>
      <c r="H3306" s="43">
        <v>138.03334683514242</v>
      </c>
      <c r="I3306" s="43">
        <v>138.51228421930762</v>
      </c>
    </row>
    <row r="3307" spans="1:9">
      <c r="A3307" s="19">
        <v>690.1</v>
      </c>
      <c r="B3307" s="43">
        <v>132.34133070805052</v>
      </c>
      <c r="C3307" s="43">
        <v>133.66057385268232</v>
      </c>
      <c r="D3307" s="43">
        <v>134.82802714120851</v>
      </c>
      <c r="E3307" s="43">
        <v>135.84458726788694</v>
      </c>
      <c r="F3307" s="43">
        <v>136.71478973809121</v>
      </c>
      <c r="G3307" s="43">
        <v>137.44572127741168</v>
      </c>
      <c r="H3307" s="43">
        <v>138.04608220632014</v>
      </c>
      <c r="I3307" s="43">
        <v>138.52543800405385</v>
      </c>
    </row>
    <row r="3308" spans="1:9">
      <c r="A3308" s="19">
        <v>690.2</v>
      </c>
      <c r="B3308" s="43">
        <v>132.35895429005757</v>
      </c>
      <c r="C3308" s="43">
        <v>133.67838614538357</v>
      </c>
      <c r="D3308" s="43">
        <v>134.84605422053897</v>
      </c>
      <c r="E3308" s="43">
        <v>135.86284874248395</v>
      </c>
      <c r="F3308" s="43">
        <v>136.73329881178825</v>
      </c>
      <c r="G3308" s="43">
        <v>137.46448529780992</v>
      </c>
      <c r="H3308" s="43">
        <v>138.0651034742657</v>
      </c>
      <c r="I3308" s="43">
        <v>138.544714672765</v>
      </c>
    </row>
    <row r="3309" spans="1:9">
      <c r="A3309" s="19">
        <v>690.3</v>
      </c>
      <c r="B3309" s="43">
        <v>132.37657768908792</v>
      </c>
      <c r="C3309" s="43">
        <v>133.69619818882114</v>
      </c>
      <c r="D3309" s="43">
        <v>134.86408098556223</v>
      </c>
      <c r="E3309" s="43">
        <v>135.88110984222919</v>
      </c>
      <c r="F3309" s="43">
        <v>136.75180745690778</v>
      </c>
      <c r="G3309" s="43">
        <v>137.48324884396396</v>
      </c>
      <c r="H3309" s="43">
        <v>138.08412423097957</v>
      </c>
      <c r="I3309" s="43">
        <v>138.56399080188339</v>
      </c>
    </row>
    <row r="3310" spans="1:9">
      <c r="A3310" s="19">
        <v>690.4</v>
      </c>
      <c r="B3310" s="43">
        <v>132.39420090544166</v>
      </c>
      <c r="C3310" s="43">
        <v>133.71400998322076</v>
      </c>
      <c r="D3310" s="43">
        <v>134.88210743656572</v>
      </c>
      <c r="E3310" s="43">
        <v>135.89937056740717</v>
      </c>
      <c r="F3310" s="43">
        <v>136.77031567367317</v>
      </c>
      <c r="G3310" s="43">
        <v>137.50201191613559</v>
      </c>
      <c r="H3310" s="43">
        <v>138.10314447668213</v>
      </c>
      <c r="I3310" s="43">
        <v>138.58326639164261</v>
      </c>
    </row>
    <row r="3311" spans="1:9">
      <c r="A3311" s="19">
        <v>690.5</v>
      </c>
      <c r="B3311" s="43">
        <v>132.41182393875351</v>
      </c>
      <c r="C3311" s="43">
        <v>133.73182152840332</v>
      </c>
      <c r="D3311" s="43">
        <v>134.90013357332231</v>
      </c>
      <c r="E3311" s="43">
        <v>135.91763091786544</v>
      </c>
      <c r="F3311" s="43">
        <v>136.78882346200311</v>
      </c>
      <c r="G3311" s="43">
        <v>137.52077451426703</v>
      </c>
      <c r="H3311" s="43">
        <v>138.1221642113677</v>
      </c>
      <c r="I3311" s="43">
        <v>138.60254144198268</v>
      </c>
    </row>
    <row r="3312" spans="1:9">
      <c r="A3312" s="19">
        <v>690.6</v>
      </c>
      <c r="B3312" s="43">
        <v>132.42944678951159</v>
      </c>
      <c r="C3312" s="43">
        <v>133.74963282475238</v>
      </c>
      <c r="D3312" s="43">
        <v>134.91815939635404</v>
      </c>
      <c r="E3312" s="43">
        <v>135.93589089402343</v>
      </c>
      <c r="F3312" s="43">
        <v>136.8073308222842</v>
      </c>
      <c r="G3312" s="43">
        <v>137.53953663863581</v>
      </c>
      <c r="H3312" s="43">
        <v>138.14118343530339</v>
      </c>
      <c r="I3312" s="43">
        <v>138.62181595317202</v>
      </c>
    </row>
    <row r="3313" spans="1:9">
      <c r="A3313" s="19">
        <v>690.7</v>
      </c>
      <c r="B3313" s="43">
        <v>132.44706945774283</v>
      </c>
      <c r="C3313" s="43">
        <v>133.76744387239222</v>
      </c>
      <c r="D3313" s="43">
        <v>134.93618490560783</v>
      </c>
      <c r="E3313" s="43">
        <v>135.95415049598836</v>
      </c>
      <c r="F3313" s="43">
        <v>136.82583775465025</v>
      </c>
      <c r="G3313" s="43">
        <v>137.55829828944917</v>
      </c>
      <c r="H3313" s="43">
        <v>138.16020214862141</v>
      </c>
      <c r="I3313" s="43">
        <v>138.64108992537007</v>
      </c>
    </row>
    <row r="3314" spans="1:9">
      <c r="A3314" s="19">
        <v>690.8</v>
      </c>
      <c r="B3314" s="43">
        <v>132.46469194337692</v>
      </c>
      <c r="C3314" s="43">
        <v>133.78525467123416</v>
      </c>
      <c r="D3314" s="43">
        <v>134.9542101011541</v>
      </c>
      <c r="E3314" s="43">
        <v>135.97240972374516</v>
      </c>
      <c r="F3314" s="43">
        <v>136.84434425904891</v>
      </c>
      <c r="G3314" s="43">
        <v>137.57705946663685</v>
      </c>
      <c r="H3314" s="43">
        <v>138.17922035135393</v>
      </c>
      <c r="I3314" s="43">
        <v>138.66036335853204</v>
      </c>
    </row>
    <row r="3315" spans="1:9">
      <c r="A3315" s="19">
        <v>690.9</v>
      </c>
      <c r="B3315" s="43">
        <v>132.48231424674071</v>
      </c>
      <c r="C3315" s="43">
        <v>133.80306522162749</v>
      </c>
      <c r="D3315" s="43">
        <v>134.97223498326514</v>
      </c>
      <c r="E3315" s="43">
        <v>135.99066857759647</v>
      </c>
      <c r="F3315" s="43">
        <v>136.86285033580157</v>
      </c>
      <c r="G3315" s="43">
        <v>137.59582017050093</v>
      </c>
      <c r="H3315" s="43">
        <v>138.198238043706</v>
      </c>
      <c r="I3315" s="43">
        <v>138.67963625293379</v>
      </c>
    </row>
    <row r="3316" spans="1:9">
      <c r="A3316" s="19">
        <v>691</v>
      </c>
      <c r="B3316" s="43">
        <v>132.499936367879</v>
      </c>
      <c r="C3316" s="43">
        <v>133.82087552367676</v>
      </c>
      <c r="D3316" s="43">
        <v>134.99025955210749</v>
      </c>
      <c r="E3316" s="43">
        <v>136.00892705769076</v>
      </c>
      <c r="F3316" s="43">
        <v>136.88135598504823</v>
      </c>
      <c r="G3316" s="43">
        <v>137.61458040123671</v>
      </c>
      <c r="H3316" s="43">
        <v>138.217255225869</v>
      </c>
      <c r="I3316" s="43">
        <v>138.69890860869822</v>
      </c>
    </row>
    <row r="3317" spans="1:9">
      <c r="A3317" s="19">
        <v>691.1</v>
      </c>
      <c r="B3317" s="43">
        <v>132.51755830687097</v>
      </c>
      <c r="C3317" s="43">
        <v>133.83868557739896</v>
      </c>
      <c r="D3317" s="43">
        <v>135.00828380774362</v>
      </c>
      <c r="E3317" s="43">
        <v>136.02718516413023</v>
      </c>
      <c r="F3317" s="43">
        <v>136.89986120692134</v>
      </c>
      <c r="G3317" s="43">
        <v>137.63334015889785</v>
      </c>
      <c r="H3317" s="43">
        <v>138.23627189794337</v>
      </c>
      <c r="I3317" s="43">
        <v>138.71818042592588</v>
      </c>
    </row>
    <row r="3318" spans="1:9">
      <c r="A3318" s="19">
        <v>691.2</v>
      </c>
      <c r="B3318" s="43">
        <v>132.53518006394461</v>
      </c>
      <c r="C3318" s="43">
        <v>133.85649538308178</v>
      </c>
      <c r="D3318" s="43">
        <v>135.02630775040763</v>
      </c>
      <c r="E3318" s="43">
        <v>136.04544289710356</v>
      </c>
      <c r="F3318" s="43">
        <v>136.9183660015816</v>
      </c>
      <c r="G3318" s="43">
        <v>137.65209944366057</v>
      </c>
      <c r="H3318" s="43">
        <v>138.25528806006838</v>
      </c>
      <c r="I3318" s="43">
        <v>138.73745170472017</v>
      </c>
    </row>
    <row r="3319" spans="1:9">
      <c r="A3319" s="19">
        <v>691.3</v>
      </c>
      <c r="B3319" s="43">
        <v>132.55280163910311</v>
      </c>
      <c r="C3319" s="43">
        <v>133.8743049407866</v>
      </c>
      <c r="D3319" s="43">
        <v>135.04433138016196</v>
      </c>
      <c r="E3319" s="43">
        <v>136.06370025674573</v>
      </c>
      <c r="F3319" s="43">
        <v>136.9368703691967</v>
      </c>
      <c r="G3319" s="43">
        <v>137.67085825571826</v>
      </c>
      <c r="H3319" s="43">
        <v>138.27430371239137</v>
      </c>
      <c r="I3319" s="43">
        <v>138.75672244530557</v>
      </c>
    </row>
    <row r="3320" spans="1:9">
      <c r="A3320" s="19">
        <v>691.4</v>
      </c>
      <c r="B3320" s="43">
        <v>132.57042303236562</v>
      </c>
      <c r="C3320" s="43">
        <v>133.89211425051224</v>
      </c>
      <c r="D3320" s="43">
        <v>135.06235469713977</v>
      </c>
      <c r="E3320" s="43">
        <v>136.08195724315618</v>
      </c>
      <c r="F3320" s="43">
        <v>136.95537430981847</v>
      </c>
      <c r="G3320" s="43">
        <v>137.68961659510671</v>
      </c>
      <c r="H3320" s="43">
        <v>138.29331885502745</v>
      </c>
      <c r="I3320" s="43">
        <v>138.77599264767622</v>
      </c>
    </row>
    <row r="3321" spans="1:9">
      <c r="A3321" s="19">
        <v>691.5</v>
      </c>
      <c r="B3321" s="43">
        <v>132.58804424401467</v>
      </c>
      <c r="C3321" s="43">
        <v>133.90992331251999</v>
      </c>
      <c r="D3321" s="43">
        <v>135.08037770149872</v>
      </c>
      <c r="E3321" s="43">
        <v>136.10021385654454</v>
      </c>
      <c r="F3321" s="43">
        <v>136.97387782372084</v>
      </c>
      <c r="G3321" s="43">
        <v>137.7083744620935</v>
      </c>
      <c r="H3321" s="43">
        <v>138.31233348812827</v>
      </c>
      <c r="I3321" s="43">
        <v>138.79526231205898</v>
      </c>
    </row>
    <row r="3322" spans="1:9">
      <c r="A3322" s="19">
        <v>691.6</v>
      </c>
      <c r="B3322" s="43">
        <v>132.6056652741122</v>
      </c>
      <c r="C3322" s="43">
        <v>133.92773212697165</v>
      </c>
      <c r="D3322" s="43">
        <v>135.09840039344192</v>
      </c>
      <c r="E3322" s="43">
        <v>136.11847009705366</v>
      </c>
      <c r="F3322" s="43">
        <v>136.99238091100335</v>
      </c>
      <c r="G3322" s="43">
        <v>137.72713185677378</v>
      </c>
      <c r="H3322" s="43">
        <v>138.33134761187659</v>
      </c>
      <c r="I3322" s="43">
        <v>138.81453143856675</v>
      </c>
    </row>
    <row r="3323" spans="1:9">
      <c r="A3323" s="19">
        <v>691.7</v>
      </c>
      <c r="B3323" s="43">
        <v>132.62328612276491</v>
      </c>
      <c r="C3323" s="43">
        <v>133.94554069390739</v>
      </c>
      <c r="D3323" s="43">
        <v>135.1164227730722</v>
      </c>
      <c r="E3323" s="43">
        <v>136.13672596483514</v>
      </c>
      <c r="F3323" s="43">
        <v>137.01088357183301</v>
      </c>
      <c r="G3323" s="43">
        <v>137.74588877928556</v>
      </c>
      <c r="H3323" s="43">
        <v>138.35036122635051</v>
      </c>
      <c r="I3323" s="43">
        <v>138.83380002733014</v>
      </c>
    </row>
    <row r="3324" spans="1:9">
      <c r="A3324" s="19">
        <v>691.8</v>
      </c>
      <c r="B3324" s="43">
        <v>132.64090679015101</v>
      </c>
      <c r="C3324" s="43">
        <v>133.96334901359376</v>
      </c>
      <c r="D3324" s="43">
        <v>135.13444484059227</v>
      </c>
      <c r="E3324" s="43">
        <v>136.15498146010935</v>
      </c>
      <c r="F3324" s="43">
        <v>137.0293858063892</v>
      </c>
      <c r="G3324" s="43">
        <v>137.7646452298506</v>
      </c>
      <c r="H3324" s="43">
        <v>138.36937433177633</v>
      </c>
      <c r="I3324" s="43">
        <v>138.85306807847007</v>
      </c>
    </row>
    <row r="3325" spans="1:9">
      <c r="A3325" s="19">
        <v>691.9</v>
      </c>
      <c r="B3325" s="43">
        <v>132.65852727612031</v>
      </c>
      <c r="C3325" s="43">
        <v>133.98115708590819</v>
      </c>
      <c r="D3325" s="43">
        <v>135.15246659591293</v>
      </c>
      <c r="E3325" s="43">
        <v>136.17323658279719</v>
      </c>
      <c r="F3325" s="43">
        <v>137.04788761468819</v>
      </c>
      <c r="G3325" s="43">
        <v>137.78340120846849</v>
      </c>
      <c r="H3325" s="43">
        <v>138.38838692815148</v>
      </c>
      <c r="I3325" s="43">
        <v>138.87233559206521</v>
      </c>
    </row>
    <row r="3326" spans="1:9">
      <c r="A3326" s="19">
        <v>692</v>
      </c>
      <c r="B3326" s="43">
        <v>132.6761475809202</v>
      </c>
      <c r="C3326" s="43">
        <v>133.99896491109666</v>
      </c>
      <c r="D3326" s="43">
        <v>135.17048803936558</v>
      </c>
      <c r="E3326" s="43">
        <v>136.19149133319769</v>
      </c>
      <c r="F3326" s="43">
        <v>137.06638899695417</v>
      </c>
      <c r="G3326" s="43">
        <v>137.80215671536189</v>
      </c>
      <c r="H3326" s="43">
        <v>138.40739901570277</v>
      </c>
      <c r="I3326" s="43">
        <v>138.89160256830922</v>
      </c>
    </row>
    <row r="3327" spans="1:9">
      <c r="A3327" s="19">
        <v>692.1</v>
      </c>
      <c r="B3327" s="43">
        <v>132.6937677049288</v>
      </c>
      <c r="C3327" s="43">
        <v>134.01677248948249</v>
      </c>
      <c r="D3327" s="43">
        <v>135.18850917120329</v>
      </c>
      <c r="E3327" s="43">
        <v>136.20974571158035</v>
      </c>
      <c r="F3327" s="43">
        <v>137.08488995351286</v>
      </c>
      <c r="G3327" s="43">
        <v>137.82091175081058</v>
      </c>
      <c r="H3327" s="43">
        <v>138.42641059467195</v>
      </c>
      <c r="I3327" s="43">
        <v>138.91086900737997</v>
      </c>
    </row>
    <row r="3328" spans="1:9">
      <c r="A3328" s="19">
        <v>692.2</v>
      </c>
      <c r="B3328" s="43">
        <v>132.71138764780784</v>
      </c>
      <c r="C3328" s="43">
        <v>134.03457982084194</v>
      </c>
      <c r="D3328" s="43">
        <v>135.20652999127759</v>
      </c>
      <c r="E3328" s="43">
        <v>136.2279997178282</v>
      </c>
      <c r="F3328" s="43">
        <v>137.10339048418882</v>
      </c>
      <c r="G3328" s="43">
        <v>137.83966631469877</v>
      </c>
      <c r="H3328" s="43">
        <v>138.44542166494472</v>
      </c>
      <c r="I3328" s="43">
        <v>138.93013490924761</v>
      </c>
    </row>
    <row r="3329" spans="1:9">
      <c r="A3329" s="19">
        <v>692.3</v>
      </c>
      <c r="B3329" s="43">
        <v>132.72900741000279</v>
      </c>
      <c r="C3329" s="43">
        <v>134.05238690562783</v>
      </c>
      <c r="D3329" s="43">
        <v>135.22455049997461</v>
      </c>
      <c r="E3329" s="43">
        <v>136.24625335233429</v>
      </c>
      <c r="F3329" s="43">
        <v>137.12189058941885</v>
      </c>
      <c r="G3329" s="43">
        <v>137.8584204074071</v>
      </c>
      <c r="H3329" s="43">
        <v>138.46443222694592</v>
      </c>
      <c r="I3329" s="43">
        <v>138.94940027418954</v>
      </c>
    </row>
    <row r="3330" spans="1:9">
      <c r="A3330" s="19">
        <v>692.4</v>
      </c>
      <c r="B3330" s="43">
        <v>132.74662699145063</v>
      </c>
      <c r="C3330" s="43">
        <v>134.0701937437766</v>
      </c>
      <c r="D3330" s="43">
        <v>135.24257069730555</v>
      </c>
      <c r="E3330" s="43">
        <v>136.26450661511365</v>
      </c>
      <c r="F3330" s="43">
        <v>137.14039026919693</v>
      </c>
      <c r="G3330" s="43">
        <v>137.87717402894987</v>
      </c>
      <c r="H3330" s="43">
        <v>138.48344228060228</v>
      </c>
      <c r="I3330" s="43">
        <v>138.96866510227528</v>
      </c>
    </row>
    <row r="3331" spans="1:9">
      <c r="A3331" s="19">
        <v>692.5</v>
      </c>
      <c r="B3331" s="43">
        <v>132.76424639235654</v>
      </c>
      <c r="C3331" s="43">
        <v>134.08800033547959</v>
      </c>
      <c r="D3331" s="43">
        <v>135.26059058347511</v>
      </c>
      <c r="E3331" s="43">
        <v>136.28275950637317</v>
      </c>
      <c r="F3331" s="43">
        <v>137.15888952375252</v>
      </c>
      <c r="G3331" s="43">
        <v>137.89592717957999</v>
      </c>
      <c r="H3331" s="43">
        <v>138.50245182619585</v>
      </c>
      <c r="I3331" s="43">
        <v>138.98792939368627</v>
      </c>
    </row>
    <row r="3332" spans="1:9">
      <c r="A3332" s="19">
        <v>692.6</v>
      </c>
      <c r="B3332" s="43">
        <v>132.78186561276601</v>
      </c>
      <c r="C3332" s="43">
        <v>134.10580668085936</v>
      </c>
      <c r="D3332" s="43">
        <v>135.27861015861015</v>
      </c>
      <c r="E3332" s="43">
        <v>136.30101202622888</v>
      </c>
      <c r="F3332" s="43">
        <v>137.17738835318784</v>
      </c>
      <c r="G3332" s="43">
        <v>137.91467985936248</v>
      </c>
      <c r="H3332" s="43">
        <v>138.52146086377928</v>
      </c>
      <c r="I3332" s="43">
        <v>139.00719314845537</v>
      </c>
    </row>
    <row r="3333" spans="1:9">
      <c r="A3333" s="19">
        <v>692.7</v>
      </c>
      <c r="B3333" s="43">
        <v>132.79948465282206</v>
      </c>
      <c r="C3333" s="43">
        <v>134.12361278007609</v>
      </c>
      <c r="D3333" s="43">
        <v>135.29662942285057</v>
      </c>
      <c r="E3333" s="43">
        <v>136.3192641748663</v>
      </c>
      <c r="F3333" s="43">
        <v>137.19588675769791</v>
      </c>
      <c r="G3333" s="43">
        <v>137.93343206846009</v>
      </c>
      <c r="H3333" s="43">
        <v>138.54046939354288</v>
      </c>
      <c r="I3333" s="43">
        <v>139.02645636680381</v>
      </c>
    </row>
    <row r="3334" spans="1:9">
      <c r="A3334" s="19">
        <v>692.8</v>
      </c>
      <c r="B3334" s="43">
        <v>132.8171035125622</v>
      </c>
      <c r="C3334" s="43">
        <v>134.14141863312892</v>
      </c>
      <c r="D3334" s="43">
        <v>135.31464837628505</v>
      </c>
      <c r="E3334" s="43">
        <v>136.33751595234014</v>
      </c>
      <c r="F3334" s="43">
        <v>137.21438473735645</v>
      </c>
      <c r="G3334" s="43">
        <v>137.95218380703551</v>
      </c>
      <c r="H3334" s="43">
        <v>138.55947741556321</v>
      </c>
      <c r="I3334" s="43">
        <v>139.04571904880055</v>
      </c>
    </row>
    <row r="3335" spans="1:9">
      <c r="A3335" s="19">
        <v>692.9</v>
      </c>
      <c r="B3335" s="43">
        <v>132.83472219229458</v>
      </c>
      <c r="C3335" s="43">
        <v>134.15922424037035</v>
      </c>
      <c r="D3335" s="43">
        <v>135.3326670192385</v>
      </c>
      <c r="E3335" s="43">
        <v>136.35576735899048</v>
      </c>
      <c r="F3335" s="43">
        <v>137.23288229246697</v>
      </c>
      <c r="G3335" s="43">
        <v>137.97093507525472</v>
      </c>
      <c r="H3335" s="43">
        <v>138.57848493009055</v>
      </c>
      <c r="I3335" s="43">
        <v>139.06498119465988</v>
      </c>
    </row>
    <row r="3336" spans="1:9">
      <c r="A3336" s="19">
        <v>693</v>
      </c>
      <c r="B3336" s="43">
        <v>132.8523406918149</v>
      </c>
      <c r="C3336" s="43">
        <v>134.17702960164917</v>
      </c>
      <c r="D3336" s="43">
        <v>135.3506853515442</v>
      </c>
      <c r="E3336" s="43">
        <v>136.37401839472102</v>
      </c>
      <c r="F3336" s="43">
        <v>137.25137942294168</v>
      </c>
      <c r="G3336" s="43">
        <v>137.98968587317864</v>
      </c>
      <c r="H3336" s="43">
        <v>138.59749193711798</v>
      </c>
      <c r="I3336" s="43">
        <v>139.08424280436446</v>
      </c>
    </row>
    <row r="3337" spans="1:9">
      <c r="A3337" s="19">
        <v>693.1</v>
      </c>
      <c r="B3337" s="43">
        <v>132.86995901153057</v>
      </c>
      <c r="C3337" s="43">
        <v>134.19483471736737</v>
      </c>
      <c r="D3337" s="43">
        <v>135.36870337361631</v>
      </c>
      <c r="E3337" s="43">
        <v>136.3922690598946</v>
      </c>
      <c r="F3337" s="43">
        <v>137.26987612915093</v>
      </c>
      <c r="G3337" s="43">
        <v>138.00843620106099</v>
      </c>
      <c r="H3337" s="43">
        <v>138.61649843691168</v>
      </c>
      <c r="I3337" s="43">
        <v>139.10350387818244</v>
      </c>
    </row>
    <row r="3338" spans="1:9">
      <c r="A3338" s="19">
        <v>693.2</v>
      </c>
      <c r="B3338" s="43">
        <v>132.88757715143396</v>
      </c>
      <c r="C3338" s="43">
        <v>134.21263958753633</v>
      </c>
      <c r="D3338" s="43">
        <v>135.38672108555056</v>
      </c>
      <c r="E3338" s="43">
        <v>136.41051935457853</v>
      </c>
      <c r="F3338" s="43">
        <v>137.28837241121329</v>
      </c>
      <c r="G3338" s="43">
        <v>138.02718605905329</v>
      </c>
      <c r="H3338" s="43">
        <v>138.6355044295961</v>
      </c>
      <c r="I3338" s="43">
        <v>139.12276441621594</v>
      </c>
    </row>
    <row r="3339" spans="1:9">
      <c r="A3339" s="19">
        <v>693.3</v>
      </c>
      <c r="B3339" s="43">
        <v>132.90519511146789</v>
      </c>
      <c r="C3339" s="43">
        <v>134.23044421211625</v>
      </c>
      <c r="D3339" s="43">
        <v>135.40473848727567</v>
      </c>
      <c r="E3339" s="43">
        <v>136.42876927881804</v>
      </c>
      <c r="F3339" s="43">
        <v>137.30686826908652</v>
      </c>
      <c r="G3339" s="43">
        <v>138.04593544714044</v>
      </c>
      <c r="H3339" s="43">
        <v>138.65450991519782</v>
      </c>
      <c r="I3339" s="43">
        <v>139.14202441850773</v>
      </c>
    </row>
    <row r="3340" spans="1:9">
      <c r="A3340" s="19">
        <v>693.4</v>
      </c>
      <c r="B3340" s="43">
        <v>132.92281289194023</v>
      </c>
      <c r="C3340" s="43">
        <v>134.24824859146889</v>
      </c>
      <c r="D3340" s="43">
        <v>135.42275557913513</v>
      </c>
      <c r="E3340" s="43">
        <v>136.44701883288081</v>
      </c>
      <c r="F3340" s="43">
        <v>137.32536370313704</v>
      </c>
      <c r="G3340" s="43">
        <v>138.06468436564234</v>
      </c>
      <c r="H3340" s="43">
        <v>138.67351489395872</v>
      </c>
      <c r="I3340" s="43">
        <v>139.16128388526926</v>
      </c>
    </row>
    <row r="3341" spans="1:9">
      <c r="A3341" s="19">
        <v>693.5</v>
      </c>
      <c r="B3341" s="43">
        <v>132.94043049296624</v>
      </c>
      <c r="C3341" s="43">
        <v>134.26605272564086</v>
      </c>
      <c r="D3341" s="43">
        <v>135.44077236125747</v>
      </c>
      <c r="E3341" s="43">
        <v>136.4652680168935</v>
      </c>
      <c r="F3341" s="43">
        <v>137.34385871342124</v>
      </c>
      <c r="G3341" s="43">
        <v>138.08343281460714</v>
      </c>
      <c r="H3341" s="43">
        <v>138.69251936598675</v>
      </c>
      <c r="I3341" s="43">
        <v>139.18054281659022</v>
      </c>
    </row>
    <row r="3342" spans="1:9">
      <c r="A3342" s="19">
        <v>693.6</v>
      </c>
      <c r="B3342" s="43">
        <v>132.95804791463377</v>
      </c>
      <c r="C3342" s="43">
        <v>134.28385661483696</v>
      </c>
      <c r="D3342" s="43">
        <v>135.45878883380681</v>
      </c>
      <c r="E3342" s="43">
        <v>136.48351683108535</v>
      </c>
      <c r="F3342" s="43">
        <v>137.3623533001761</v>
      </c>
      <c r="G3342" s="43">
        <v>138.10218079433264</v>
      </c>
      <c r="H3342" s="43">
        <v>138.71152333149809</v>
      </c>
      <c r="I3342" s="43">
        <v>139.19980121268759</v>
      </c>
    </row>
    <row r="3343" spans="1:9">
      <c r="A3343" s="19">
        <v>693.7</v>
      </c>
      <c r="B3343" s="43">
        <v>132.97566515703284</v>
      </c>
      <c r="C3343" s="43">
        <v>134.30166025907738</v>
      </c>
      <c r="D3343" s="43">
        <v>135.47680499685345</v>
      </c>
      <c r="E3343" s="43">
        <v>136.50176527549894</v>
      </c>
      <c r="F3343" s="43">
        <v>137.380847463451</v>
      </c>
      <c r="G3343" s="43">
        <v>138.12092830480356</v>
      </c>
      <c r="H3343" s="43">
        <v>138.73052679057463</v>
      </c>
      <c r="I3343" s="43">
        <v>139.21905907361065</v>
      </c>
    </row>
    <row r="3344" spans="1:9">
      <c r="A3344" s="19">
        <v>693.8</v>
      </c>
      <c r="B3344" s="43">
        <v>132.99328222017738</v>
      </c>
      <c r="C3344" s="43">
        <v>134.319463658475</v>
      </c>
      <c r="D3344" s="43">
        <v>135.49482085049925</v>
      </c>
      <c r="E3344" s="43">
        <v>136.52001335027245</v>
      </c>
      <c r="F3344" s="43">
        <v>137.39934120341775</v>
      </c>
      <c r="G3344" s="43">
        <v>138.13967534620156</v>
      </c>
      <c r="H3344" s="43">
        <v>138.74952974331222</v>
      </c>
      <c r="I3344" s="43">
        <v>139.23831639946474</v>
      </c>
    </row>
    <row r="3345" spans="1:9">
      <c r="A3345" s="19">
        <v>693.9</v>
      </c>
      <c r="B3345" s="43">
        <v>133.01089910433353</v>
      </c>
      <c r="C3345" s="43">
        <v>134.33726681327272</v>
      </c>
      <c r="D3345" s="43">
        <v>135.5128363949878</v>
      </c>
      <c r="E3345" s="43">
        <v>136.53826105559455</v>
      </c>
      <c r="F3345" s="43">
        <v>137.41783452027619</v>
      </c>
      <c r="G3345" s="43">
        <v>138.15842191872332</v>
      </c>
      <c r="H3345" s="43">
        <v>138.76853218989811</v>
      </c>
      <c r="I3345" s="43">
        <v>139.25757319045817</v>
      </c>
    </row>
    <row r="3346" spans="1:9">
      <c r="A3346" s="19">
        <v>694</v>
      </c>
      <c r="B3346" s="43">
        <v>133.02851580948231</v>
      </c>
      <c r="C3346" s="43">
        <v>134.35506972348441</v>
      </c>
      <c r="D3346" s="43">
        <v>135.53085163038986</v>
      </c>
      <c r="E3346" s="43">
        <v>136.55650839162297</v>
      </c>
      <c r="F3346" s="43">
        <v>137.43632741410516</v>
      </c>
      <c r="G3346" s="43">
        <v>138.17716802246474</v>
      </c>
      <c r="H3346" s="43">
        <v>138.78753413045104</v>
      </c>
      <c r="I3346" s="43">
        <v>139.27682944664758</v>
      </c>
    </row>
    <row r="3347" spans="1:9">
      <c r="A3347" s="19">
        <v>694.1</v>
      </c>
      <c r="B3347" s="43">
        <v>133.04613233581244</v>
      </c>
      <c r="C3347" s="43">
        <v>134.3728723892965</v>
      </c>
      <c r="D3347" s="43">
        <v>135.54886655688932</v>
      </c>
      <c r="E3347" s="43">
        <v>136.57475535848079</v>
      </c>
      <c r="F3347" s="43">
        <v>137.45481988511165</v>
      </c>
      <c r="G3347" s="43">
        <v>138.19591365759169</v>
      </c>
      <c r="H3347" s="43">
        <v>138.80653556514039</v>
      </c>
      <c r="I3347" s="43">
        <v>139.29608516820787</v>
      </c>
    </row>
    <row r="3348" spans="1:9">
      <c r="A3348" s="19">
        <v>694.2</v>
      </c>
      <c r="B3348" s="43">
        <v>133.06374868343721</v>
      </c>
      <c r="C3348" s="43">
        <v>134.39067481089472</v>
      </c>
      <c r="D3348" s="43">
        <v>135.56688117463034</v>
      </c>
      <c r="E3348" s="43">
        <v>136.59300195638474</v>
      </c>
      <c r="F3348" s="43">
        <v>137.47331193346139</v>
      </c>
      <c r="G3348" s="43">
        <v>138.21465882431437</v>
      </c>
      <c r="H3348" s="43">
        <v>138.82553649410841</v>
      </c>
      <c r="I3348" s="43">
        <v>139.31534035528722</v>
      </c>
    </row>
    <row r="3349" spans="1:9">
      <c r="A3349" s="19">
        <v>694.3</v>
      </c>
      <c r="B3349" s="43">
        <v>133.08136485248093</v>
      </c>
      <c r="C3349" s="43">
        <v>134.40847698833835</v>
      </c>
      <c r="D3349" s="43">
        <v>135.58489548377867</v>
      </c>
      <c r="E3349" s="43">
        <v>136.61124818544772</v>
      </c>
      <c r="F3349" s="43">
        <v>137.49180355929298</v>
      </c>
      <c r="G3349" s="43">
        <v>138.23340352271629</v>
      </c>
      <c r="H3349" s="43">
        <v>138.84453691751855</v>
      </c>
      <c r="I3349" s="43">
        <v>139.33459500800382</v>
      </c>
    </row>
    <row r="3350" spans="1:9">
      <c r="A3350" s="19">
        <v>694.4</v>
      </c>
      <c r="B3350" s="43">
        <v>133.09898084282548</v>
      </c>
      <c r="C3350" s="43">
        <v>134.42627892161477</v>
      </c>
      <c r="D3350" s="43">
        <v>135.60290948430207</v>
      </c>
      <c r="E3350" s="43">
        <v>136.62949404567723</v>
      </c>
      <c r="F3350" s="43">
        <v>137.5102947626508</v>
      </c>
      <c r="G3350" s="43">
        <v>138.25214775285718</v>
      </c>
      <c r="H3350" s="43">
        <v>138.86353683536504</v>
      </c>
      <c r="I3350" s="43">
        <v>139.35384912638847</v>
      </c>
    </row>
    <row r="3351" spans="1:9">
      <c r="A3351" s="19">
        <v>694.5</v>
      </c>
      <c r="B3351" s="43">
        <v>133.11659665487434</v>
      </c>
      <c r="C3351" s="43">
        <v>134.44408061106185</v>
      </c>
      <c r="D3351" s="43">
        <v>135.620923176519</v>
      </c>
      <c r="E3351" s="43">
        <v>136.64773953741667</v>
      </c>
      <c r="F3351" s="43">
        <v>137.52878554379413</v>
      </c>
      <c r="G3351" s="43">
        <v>138.27089151504492</v>
      </c>
      <c r="H3351" s="43">
        <v>138.88253624793458</v>
      </c>
      <c r="I3351" s="43">
        <v>139.3731027107047</v>
      </c>
    </row>
    <row r="3352" spans="1:9">
      <c r="A3352" s="19">
        <v>694.6</v>
      </c>
      <c r="B3352" s="43">
        <v>133.13421228868577</v>
      </c>
      <c r="C3352" s="43">
        <v>134.46188205682398</v>
      </c>
      <c r="D3352" s="43">
        <v>135.63893656060981</v>
      </c>
      <c r="E3352" s="43">
        <v>136.66598466078011</v>
      </c>
      <c r="F3352" s="43">
        <v>137.5472759029131</v>
      </c>
      <c r="G3352" s="43">
        <v>138.28963480939518</v>
      </c>
      <c r="H3352" s="43">
        <v>138.90153515537764</v>
      </c>
      <c r="I3352" s="43">
        <v>139.39235576104852</v>
      </c>
    </row>
    <row r="3353" spans="1:9">
      <c r="A3353" s="19">
        <v>694.7</v>
      </c>
      <c r="B3353" s="43">
        <v>133.15182774401444</v>
      </c>
      <c r="C3353" s="43">
        <v>134.47968325870164</v>
      </c>
      <c r="D3353" s="43">
        <v>135.65694963639305</v>
      </c>
      <c r="E3353" s="43">
        <v>136.68422941571157</v>
      </c>
      <c r="F3353" s="43">
        <v>137.56576583991182</v>
      </c>
      <c r="G3353" s="43">
        <v>138.30837763587851</v>
      </c>
      <c r="H3353" s="43">
        <v>138.9205335576487</v>
      </c>
      <c r="I3353" s="43">
        <v>139.41160827739691</v>
      </c>
    </row>
    <row r="3354" spans="1:9">
      <c r="A3354" s="19">
        <v>694.8</v>
      </c>
      <c r="B3354" s="43">
        <v>133.16944302156662</v>
      </c>
      <c r="C3354" s="43">
        <v>134.4974842172881</v>
      </c>
      <c r="D3354" s="43">
        <v>135.67496240447946</v>
      </c>
      <c r="E3354" s="43">
        <v>136.70247380271792</v>
      </c>
      <c r="F3354" s="43">
        <v>137.58425535532871</v>
      </c>
      <c r="G3354" s="43">
        <v>138.32711999493534</v>
      </c>
      <c r="H3354" s="43">
        <v>138.93953145518469</v>
      </c>
      <c r="I3354" s="43">
        <v>139.43086026016829</v>
      </c>
    </row>
    <row r="3355" spans="1:9">
      <c r="A3355" s="19">
        <v>694.9</v>
      </c>
      <c r="B3355" s="43">
        <v>133.1870581210062</v>
      </c>
      <c r="C3355" s="43">
        <v>134.51528493240664</v>
      </c>
      <c r="D3355" s="43">
        <v>135.69297486469418</v>
      </c>
      <c r="E3355" s="43">
        <v>136.72071782168513</v>
      </c>
      <c r="F3355" s="43">
        <v>137.60274444902478</v>
      </c>
      <c r="G3355" s="43">
        <v>138.34586188650798</v>
      </c>
      <c r="H3355" s="43">
        <v>138.95852884787388</v>
      </c>
      <c r="I3355" s="43">
        <v>139.45011170929524</v>
      </c>
    </row>
    <row r="3356" spans="1:9">
      <c r="A3356" s="19">
        <v>695</v>
      </c>
      <c r="B3356" s="43">
        <v>133.20467304264889</v>
      </c>
      <c r="C3356" s="43">
        <v>134.53308540429867</v>
      </c>
      <c r="D3356" s="43">
        <v>135.71098701729613</v>
      </c>
      <c r="E3356" s="43">
        <v>136.73896147286717</v>
      </c>
      <c r="F3356" s="43">
        <v>137.62123312128131</v>
      </c>
      <c r="G3356" s="43">
        <v>138.36460331081264</v>
      </c>
      <c r="H3356" s="43">
        <v>138.9775257359845</v>
      </c>
      <c r="I3356" s="43">
        <v>139.46936262493097</v>
      </c>
    </row>
    <row r="3357" spans="1:9">
      <c r="A3357" s="19">
        <v>695.1</v>
      </c>
      <c r="B3357" s="43">
        <v>133.22228778643529</v>
      </c>
      <c r="C3357" s="43">
        <v>134.55088563299512</v>
      </c>
      <c r="D3357" s="43">
        <v>135.72899886230999</v>
      </c>
      <c r="E3357" s="43">
        <v>136.75720475633892</v>
      </c>
      <c r="F3357" s="43">
        <v>137.63972137215183</v>
      </c>
      <c r="G3357" s="43">
        <v>138.38334426795217</v>
      </c>
      <c r="H3357" s="43">
        <v>138.99652211958914</v>
      </c>
      <c r="I3357" s="43">
        <v>139.48861300722217</v>
      </c>
    </row>
    <row r="3358" spans="1:9">
      <c r="A3358" s="19">
        <v>695.2</v>
      </c>
      <c r="B3358" s="43">
        <v>133.2399023525835</v>
      </c>
      <c r="C3358" s="43">
        <v>134.56868561867213</v>
      </c>
      <c r="D3358" s="43">
        <v>135.74701039997302</v>
      </c>
      <c r="E3358" s="43">
        <v>136.77544767229472</v>
      </c>
      <c r="F3358" s="43">
        <v>137.65820920185541</v>
      </c>
      <c r="G3358" s="43">
        <v>138.40208475811141</v>
      </c>
      <c r="H3358" s="43">
        <v>139.01551799885368</v>
      </c>
      <c r="I3358" s="43">
        <v>139.5078628563117</v>
      </c>
    </row>
    <row r="3359" spans="1:9">
      <c r="A3359" s="19">
        <v>695.3</v>
      </c>
      <c r="B3359" s="43">
        <v>133.25751674115554</v>
      </c>
      <c r="C3359" s="43">
        <v>134.58648536144693</v>
      </c>
      <c r="D3359" s="43">
        <v>135.76502163038032</v>
      </c>
      <c r="E3359" s="43">
        <v>136.79369022082966</v>
      </c>
      <c r="F3359" s="43">
        <v>137.67669661050547</v>
      </c>
      <c r="G3359" s="43">
        <v>138.420824781379</v>
      </c>
      <c r="H3359" s="43">
        <v>139.03451337388043</v>
      </c>
      <c r="I3359" s="43">
        <v>139.52711217225743</v>
      </c>
    </row>
    <row r="3360" spans="1:9">
      <c r="A3360" s="19">
        <v>695.4</v>
      </c>
      <c r="B3360" s="43">
        <v>133.27513095250453</v>
      </c>
      <c r="C3360" s="43">
        <v>134.60428486165603</v>
      </c>
      <c r="D3360" s="43">
        <v>135.78303255388147</v>
      </c>
      <c r="E3360" s="43">
        <v>136.8119324022972</v>
      </c>
      <c r="F3360" s="43">
        <v>137.69518359836661</v>
      </c>
      <c r="G3360" s="43">
        <v>138.43956433812889</v>
      </c>
      <c r="H3360" s="43">
        <v>139.05350824501494</v>
      </c>
      <c r="I3360" s="43">
        <v>139.54636095538871</v>
      </c>
    </row>
    <row r="3361" spans="1:9">
      <c r="A3361" s="19">
        <v>695.5</v>
      </c>
      <c r="B3361" s="43">
        <v>133.2927449862085</v>
      </c>
      <c r="C3361" s="43">
        <v>134.62208411901821</v>
      </c>
      <c r="D3361" s="43">
        <v>135.80104317020641</v>
      </c>
      <c r="E3361" s="43">
        <v>136.83017421650368</v>
      </c>
      <c r="F3361" s="43">
        <v>137.7136701653485</v>
      </c>
      <c r="G3361" s="43">
        <v>138.45830342814816</v>
      </c>
      <c r="H3361" s="43">
        <v>139.07250261204393</v>
      </c>
      <c r="I3361" s="43">
        <v>139.56560920555728</v>
      </c>
    </row>
    <row r="3362" spans="1:9">
      <c r="A3362" s="19">
        <v>695.6</v>
      </c>
      <c r="B3362" s="43">
        <v>133.3103588428902</v>
      </c>
      <c r="C3362" s="43">
        <v>134.63988313396959</v>
      </c>
      <c r="D3362" s="43">
        <v>135.81905347982234</v>
      </c>
      <c r="E3362" s="43">
        <v>136.84841566387348</v>
      </c>
      <c r="F3362" s="43">
        <v>137.73215631183086</v>
      </c>
      <c r="G3362" s="43">
        <v>138.47704205182919</v>
      </c>
      <c r="H3362" s="43">
        <v>139.09149647539505</v>
      </c>
      <c r="I3362" s="43">
        <v>139.58485692309142</v>
      </c>
    </row>
    <row r="3363" spans="1:9">
      <c r="A3363" s="19">
        <v>695.7</v>
      </c>
      <c r="B3363" s="43">
        <v>133.32797252243358</v>
      </c>
      <c r="C3363" s="43">
        <v>134.65768190654387</v>
      </c>
      <c r="D3363" s="43">
        <v>135.83706348280657</v>
      </c>
      <c r="E3363" s="43">
        <v>136.86665674450433</v>
      </c>
      <c r="F3363" s="43">
        <v>137.75064203788543</v>
      </c>
      <c r="G3363" s="43">
        <v>138.49578020930858</v>
      </c>
      <c r="H3363" s="43">
        <v>139.11048983510648</v>
      </c>
      <c r="I3363" s="43">
        <v>139.60410410809146</v>
      </c>
    </row>
    <row r="3364" spans="1:9">
      <c r="A3364" s="19">
        <v>695.8</v>
      </c>
      <c r="B3364" s="43">
        <v>133.34558602483827</v>
      </c>
      <c r="C3364" s="43">
        <v>134.67548043675691</v>
      </c>
      <c r="D3364" s="43">
        <v>135.85507317911242</v>
      </c>
      <c r="E3364" s="43">
        <v>136.88489745833965</v>
      </c>
      <c r="F3364" s="43">
        <v>137.76912734356335</v>
      </c>
      <c r="G3364" s="43">
        <v>138.51451790056052</v>
      </c>
      <c r="H3364" s="43">
        <v>139.12948269122614</v>
      </c>
      <c r="I3364" s="43">
        <v>139.62335076056178</v>
      </c>
    </row>
    <row r="3365" spans="1:9">
      <c r="A3365" s="19">
        <v>695.9</v>
      </c>
      <c r="B3365" s="43">
        <v>133.36319935038483</v>
      </c>
      <c r="C3365" s="43">
        <v>134.69327872489532</v>
      </c>
      <c r="D3365" s="43">
        <v>135.8730825690854</v>
      </c>
      <c r="E3365" s="43">
        <v>136.90313780574752</v>
      </c>
      <c r="F3365" s="43">
        <v>137.78761222914551</v>
      </c>
      <c r="G3365" s="43">
        <v>138.53325512587327</v>
      </c>
      <c r="H3365" s="43">
        <v>139.14847504400387</v>
      </c>
      <c r="I3365" s="43">
        <v>139.64259688073554</v>
      </c>
    </row>
    <row r="3366" spans="1:9">
      <c r="A3366" s="19">
        <v>696</v>
      </c>
      <c r="B3366" s="43">
        <v>133.38081249917917</v>
      </c>
      <c r="C3366" s="43">
        <v>134.71107677107204</v>
      </c>
      <c r="D3366" s="43">
        <v>135.89109165287942</v>
      </c>
      <c r="E3366" s="43">
        <v>136.92137778685861</v>
      </c>
      <c r="F3366" s="43">
        <v>137.8060966947881</v>
      </c>
      <c r="G3366" s="43">
        <v>138.55199188542781</v>
      </c>
      <c r="H3366" s="43">
        <v>139.16746689364214</v>
      </c>
      <c r="I3366" s="43">
        <v>139.66184246879254</v>
      </c>
    </row>
    <row r="3367" spans="1:9">
      <c r="A3367" s="19">
        <v>696.1</v>
      </c>
      <c r="B3367" s="43">
        <v>133.39842547128001</v>
      </c>
      <c r="C3367" s="43">
        <v>134.72887457534478</v>
      </c>
      <c r="D3367" s="43">
        <v>135.90910043054458</v>
      </c>
      <c r="E3367" s="43">
        <v>136.93961740177372</v>
      </c>
      <c r="F3367" s="43">
        <v>137.82458074057166</v>
      </c>
      <c r="G3367" s="43">
        <v>138.57072817930504</v>
      </c>
      <c r="H3367" s="43">
        <v>139.18645824018256</v>
      </c>
      <c r="I3367" s="43">
        <v>139.68108752477252</v>
      </c>
    </row>
    <row r="3368" spans="1:9">
      <c r="A3368" s="19">
        <v>696.2</v>
      </c>
      <c r="B3368" s="43">
        <v>133.4160382667921</v>
      </c>
      <c r="C3368" s="43">
        <v>134.74667213791685</v>
      </c>
      <c r="D3368" s="43">
        <v>135.92710890220172</v>
      </c>
      <c r="E3368" s="43">
        <v>136.95785665061896</v>
      </c>
      <c r="F3368" s="43">
        <v>137.84306436666463</v>
      </c>
      <c r="G3368" s="43">
        <v>138.58946400766331</v>
      </c>
      <c r="H3368" s="43">
        <v>139.2054490837632</v>
      </c>
      <c r="I3368" s="43">
        <v>139.70033204885442</v>
      </c>
    </row>
    <row r="3369" spans="1:9">
      <c r="A3369" s="19">
        <v>696.3</v>
      </c>
      <c r="B3369" s="43">
        <v>133.43365088586785</v>
      </c>
      <c r="C3369" s="43">
        <v>134.7644694588808</v>
      </c>
      <c r="D3369" s="43">
        <v>135.9451170680756</v>
      </c>
      <c r="E3369" s="43">
        <v>136.97609553363873</v>
      </c>
      <c r="F3369" s="43">
        <v>137.86154757325374</v>
      </c>
      <c r="G3369" s="43">
        <v>138.60819937066719</v>
      </c>
      <c r="H3369" s="43">
        <v>139.22443942457448</v>
      </c>
      <c r="I3369" s="43">
        <v>139.71957604114482</v>
      </c>
    </row>
    <row r="3370" spans="1:9">
      <c r="A3370" s="19">
        <v>696.4</v>
      </c>
      <c r="B3370" s="43">
        <v>133.45126332852556</v>
      </c>
      <c r="C3370" s="43">
        <v>134.7822665382858</v>
      </c>
      <c r="D3370" s="43">
        <v>135.96312492823796</v>
      </c>
      <c r="E3370" s="43">
        <v>136.99433405083749</v>
      </c>
      <c r="F3370" s="43">
        <v>137.88003036039936</v>
      </c>
      <c r="G3370" s="43">
        <v>138.62693426840559</v>
      </c>
      <c r="H3370" s="43">
        <v>139.24342926266894</v>
      </c>
      <c r="I3370" s="43">
        <v>139.73881950173154</v>
      </c>
    </row>
    <row r="3371" spans="1:9">
      <c r="A3371" s="19">
        <v>696.5</v>
      </c>
      <c r="B3371" s="43">
        <v>133.468875594883</v>
      </c>
      <c r="C3371" s="43">
        <v>134.80006337630869</v>
      </c>
      <c r="D3371" s="43">
        <v>135.98113248281135</v>
      </c>
      <c r="E3371" s="43">
        <v>137.01257220242587</v>
      </c>
      <c r="F3371" s="43">
        <v>137.89851272832101</v>
      </c>
      <c r="G3371" s="43">
        <v>138.6456687010774</v>
      </c>
      <c r="H3371" s="43">
        <v>139.26241859826411</v>
      </c>
      <c r="I3371" s="43">
        <v>139.75806243080541</v>
      </c>
    </row>
    <row r="3372" spans="1:9">
      <c r="A3372" s="19">
        <v>696.6</v>
      </c>
      <c r="B3372" s="43">
        <v>133.4864876851064</v>
      </c>
      <c r="C3372" s="43">
        <v>134.81785997308293</v>
      </c>
      <c r="D3372" s="43">
        <v>135.99913973200444</v>
      </c>
      <c r="E3372" s="43">
        <v>137.03080998856166</v>
      </c>
      <c r="F3372" s="43">
        <v>137.91699467716029</v>
      </c>
      <c r="G3372" s="43">
        <v>138.66440266879414</v>
      </c>
      <c r="H3372" s="43">
        <v>139.28140743147242</v>
      </c>
      <c r="I3372" s="43">
        <v>139.77730482850257</v>
      </c>
    </row>
    <row r="3373" spans="1:9">
      <c r="A3373" s="19">
        <v>696.7</v>
      </c>
      <c r="B3373" s="43">
        <v>133.50409959935234</v>
      </c>
      <c r="C3373" s="43">
        <v>134.83565632881414</v>
      </c>
      <c r="D3373" s="43">
        <v>136.01714667594518</v>
      </c>
      <c r="E3373" s="43">
        <v>137.04904740943232</v>
      </c>
      <c r="F3373" s="43">
        <v>137.93547620708176</v>
      </c>
      <c r="G3373" s="43">
        <v>138.68313617174925</v>
      </c>
      <c r="H3373" s="43">
        <v>139.30039576247208</v>
      </c>
      <c r="I3373" s="43">
        <v>139.79654669491498</v>
      </c>
    </row>
    <row r="3374" spans="1:9">
      <c r="A3374" s="19">
        <v>696.8</v>
      </c>
      <c r="B3374" s="43">
        <v>133.52171133777364</v>
      </c>
      <c r="C3374" s="43">
        <v>134.85345244366243</v>
      </c>
      <c r="D3374" s="43">
        <v>136.03515331486722</v>
      </c>
      <c r="E3374" s="43">
        <v>137.06728446524369</v>
      </c>
      <c r="F3374" s="43">
        <v>137.9539573182962</v>
      </c>
      <c r="G3374" s="43">
        <v>138.7018692101521</v>
      </c>
      <c r="H3374" s="43">
        <v>139.31938359141679</v>
      </c>
      <c r="I3374" s="43">
        <v>139.81578803024979</v>
      </c>
    </row>
    <row r="3375" spans="1:9">
      <c r="A3375" s="19">
        <v>696.9</v>
      </c>
      <c r="B3375" s="43">
        <v>133.53932290009584</v>
      </c>
      <c r="C3375" s="43">
        <v>134.87124831740641</v>
      </c>
      <c r="D3375" s="43">
        <v>136.05315964861086</v>
      </c>
      <c r="E3375" s="43">
        <v>137.08552115586633</v>
      </c>
      <c r="F3375" s="43">
        <v>137.97243801071932</v>
      </c>
      <c r="G3375" s="43">
        <v>138.72060178392337</v>
      </c>
      <c r="H3375" s="43">
        <v>139.33837091828167</v>
      </c>
      <c r="I3375" s="43">
        <v>139.83502883447028</v>
      </c>
    </row>
    <row r="3376" spans="1:9">
      <c r="A3376" s="19">
        <v>697</v>
      </c>
      <c r="B3376" s="43">
        <v>133.55693428673231</v>
      </c>
      <c r="C3376" s="43">
        <v>134.88904395041396</v>
      </c>
      <c r="D3376" s="43">
        <v>136.07116567749398</v>
      </c>
      <c r="E3376" s="43">
        <v>137.10375748163949</v>
      </c>
      <c r="F3376" s="43">
        <v>137.99091828466891</v>
      </c>
      <c r="G3376" s="43">
        <v>138.73933389336639</v>
      </c>
      <c r="H3376" s="43">
        <v>139.35735774334796</v>
      </c>
      <c r="I3376" s="43">
        <v>139.85426910782701</v>
      </c>
    </row>
    <row r="3377" spans="1:9">
      <c r="A3377" s="19">
        <v>697.1</v>
      </c>
      <c r="B3377" s="43">
        <v>133.57454549790998</v>
      </c>
      <c r="C3377" s="43">
        <v>134.90683934301137</v>
      </c>
      <c r="D3377" s="43">
        <v>136.08917140180444</v>
      </c>
      <c r="E3377" s="43">
        <v>137.1219934428126</v>
      </c>
      <c r="F3377" s="43">
        <v>138.00939814041283</v>
      </c>
      <c r="G3377" s="43">
        <v>138.75806553867869</v>
      </c>
      <c r="H3377" s="43">
        <v>139.37634406682162</v>
      </c>
      <c r="I3377" s="43">
        <v>139.8735088504788</v>
      </c>
    </row>
    <row r="3378" spans="1:9">
      <c r="A3378" s="19">
        <v>697.2</v>
      </c>
      <c r="B3378" s="43">
        <v>133.59215653334127</v>
      </c>
      <c r="C3378" s="43">
        <v>134.92463449489981</v>
      </c>
      <c r="D3378" s="43">
        <v>136.10717682137795</v>
      </c>
      <c r="E3378" s="43">
        <v>137.14022903925968</v>
      </c>
      <c r="F3378" s="43">
        <v>138.02787757778759</v>
      </c>
      <c r="G3378" s="43">
        <v>138.77679671982492</v>
      </c>
      <c r="H3378" s="43">
        <v>139.39532988860464</v>
      </c>
      <c r="I3378" s="43">
        <v>139.8927480624177</v>
      </c>
    </row>
    <row r="3379" spans="1:9">
      <c r="A3379" s="19">
        <v>697.3</v>
      </c>
      <c r="B3379" s="43">
        <v>133.60976739356755</v>
      </c>
      <c r="C3379" s="43">
        <v>134.94242940656932</v>
      </c>
      <c r="D3379" s="43">
        <v>136.12518193665142</v>
      </c>
      <c r="E3379" s="43">
        <v>137.15846427140173</v>
      </c>
      <c r="F3379" s="43">
        <v>138.0463565972268</v>
      </c>
      <c r="G3379" s="43">
        <v>138.79552743717829</v>
      </c>
      <c r="H3379" s="43">
        <v>139.41431520909214</v>
      </c>
      <c r="I3379" s="43">
        <v>139.91198674395292</v>
      </c>
    </row>
    <row r="3380" spans="1:9">
      <c r="A3380" s="19">
        <v>697.4</v>
      </c>
      <c r="B3380" s="43">
        <v>133.62737807844235</v>
      </c>
      <c r="C3380" s="43">
        <v>134.9602240779667</v>
      </c>
      <c r="D3380" s="43">
        <v>136.14318674759375</v>
      </c>
      <c r="E3380" s="43">
        <v>137.17669913923294</v>
      </c>
      <c r="F3380" s="43">
        <v>138.06483519876707</v>
      </c>
      <c r="G3380" s="43">
        <v>138.81425769073553</v>
      </c>
      <c r="H3380" s="43">
        <v>139.43330002828202</v>
      </c>
      <c r="I3380" s="43">
        <v>139.93122489507624</v>
      </c>
    </row>
    <row r="3381" spans="1:9">
      <c r="A3381" s="19">
        <v>697.5</v>
      </c>
      <c r="B3381" s="43">
        <v>133.6449885880881</v>
      </c>
      <c r="C3381" s="43">
        <v>134.97801850926447</v>
      </c>
      <c r="D3381" s="43">
        <v>136.16119125438678</v>
      </c>
      <c r="E3381" s="43">
        <v>137.19493364295931</v>
      </c>
      <c r="F3381" s="43">
        <v>138.08331338255636</v>
      </c>
      <c r="G3381" s="43">
        <v>138.8329874806816</v>
      </c>
      <c r="H3381" s="43">
        <v>139.45228434635771</v>
      </c>
      <c r="I3381" s="43">
        <v>139.95046251597267</v>
      </c>
    </row>
    <row r="3382" spans="1:9">
      <c r="A3382" s="19">
        <v>697.6</v>
      </c>
      <c r="B3382" s="43">
        <v>133.66259892258836</v>
      </c>
      <c r="C3382" s="43">
        <v>134.99581270049794</v>
      </c>
      <c r="D3382" s="43">
        <v>136.17919545708526</v>
      </c>
      <c r="E3382" s="43">
        <v>137.21316778261905</v>
      </c>
      <c r="F3382" s="43">
        <v>138.10179114867799</v>
      </c>
      <c r="G3382" s="43">
        <v>138.85171680706753</v>
      </c>
      <c r="H3382" s="43">
        <v>139.4712681634025</v>
      </c>
      <c r="I3382" s="43">
        <v>139.96969960671203</v>
      </c>
    </row>
    <row r="3383" spans="1:9">
      <c r="A3383" s="19">
        <v>697.7</v>
      </c>
      <c r="B3383" s="43">
        <v>133.68020908223605</v>
      </c>
      <c r="C3383" s="43">
        <v>135.01360665198547</v>
      </c>
      <c r="D3383" s="43">
        <v>136.19719935598965</v>
      </c>
      <c r="E3383" s="43">
        <v>137.23140155854031</v>
      </c>
      <c r="F3383" s="43">
        <v>138.12026849747423</v>
      </c>
      <c r="G3383" s="43">
        <v>138.87044567025947</v>
      </c>
      <c r="H3383" s="43">
        <v>139.49025147965625</v>
      </c>
      <c r="I3383" s="43">
        <v>139.98893616754771</v>
      </c>
    </row>
    <row r="3384" spans="1:9">
      <c r="A3384" s="19">
        <v>697.8</v>
      </c>
      <c r="B3384" s="43">
        <v>133.69781906697551</v>
      </c>
      <c r="C3384" s="43">
        <v>135.03140036367472</v>
      </c>
      <c r="D3384" s="43">
        <v>136.21520295115027</v>
      </c>
      <c r="E3384" s="43">
        <v>137.24963497074265</v>
      </c>
      <c r="F3384" s="43">
        <v>138.13874542892705</v>
      </c>
      <c r="G3384" s="43">
        <v>138.88917407024468</v>
      </c>
      <c r="H3384" s="43">
        <v>139.5092342951844</v>
      </c>
      <c r="I3384" s="43">
        <v>140.00817219852632</v>
      </c>
    </row>
    <row r="3385" spans="1:9">
      <c r="A3385" s="19">
        <v>697.9</v>
      </c>
      <c r="B3385" s="43">
        <v>133.71542887699945</v>
      </c>
      <c r="C3385" s="43">
        <v>135.04919383581802</v>
      </c>
      <c r="D3385" s="43">
        <v>136.23320624277039</v>
      </c>
      <c r="E3385" s="43">
        <v>137.26786801947395</v>
      </c>
      <c r="F3385" s="43">
        <v>138.15722194328902</v>
      </c>
      <c r="G3385" s="43">
        <v>138.90790200723183</v>
      </c>
      <c r="H3385" s="43">
        <v>139.52821661019345</v>
      </c>
      <c r="I3385" s="43">
        <v>140.02740769980295</v>
      </c>
    </row>
    <row r="3386" spans="1:9">
      <c r="A3386" s="19">
        <v>698</v>
      </c>
      <c r="B3386" s="43">
        <v>133.73303851217702</v>
      </c>
      <c r="C3386" s="43">
        <v>135.0669870683372</v>
      </c>
      <c r="D3386" s="43">
        <v>136.25120923076236</v>
      </c>
      <c r="E3386" s="43">
        <v>137.28610070467494</v>
      </c>
      <c r="F3386" s="43">
        <v>138.17569804054074</v>
      </c>
      <c r="G3386" s="43">
        <v>138.92662948122842</v>
      </c>
      <c r="H3386" s="43">
        <v>139.54719842467597</v>
      </c>
      <c r="I3386" s="43">
        <v>140.04664267141504</v>
      </c>
    </row>
    <row r="3387" spans="1:9">
      <c r="A3387" s="19">
        <v>698.1</v>
      </c>
      <c r="B3387" s="43">
        <v>133.75064797298427</v>
      </c>
      <c r="C3387" s="43">
        <v>135.08478006162335</v>
      </c>
      <c r="D3387" s="43">
        <v>136.26921191557688</v>
      </c>
      <c r="E3387" s="43">
        <v>137.3043330267293</v>
      </c>
      <c r="F3387" s="43">
        <v>138.1941737210438</v>
      </c>
      <c r="G3387" s="43">
        <v>138.94535649257153</v>
      </c>
      <c r="H3387" s="43">
        <v>139.56617973893083</v>
      </c>
      <c r="I3387" s="43">
        <v>140.06587711363153</v>
      </c>
    </row>
    <row r="3388" spans="1:9">
      <c r="A3388" s="19">
        <v>698.2</v>
      </c>
      <c r="B3388" s="43">
        <v>133.76825725930888</v>
      </c>
      <c r="C3388" s="43">
        <v>135.10257281569477</v>
      </c>
      <c r="D3388" s="43">
        <v>136.28721429721418</v>
      </c>
      <c r="E3388" s="43">
        <v>137.32256498568887</v>
      </c>
      <c r="F3388" s="43">
        <v>138.21264898481883</v>
      </c>
      <c r="G3388" s="43">
        <v>138.96408304132768</v>
      </c>
      <c r="H3388" s="43">
        <v>139.58516055307115</v>
      </c>
      <c r="I3388" s="43">
        <v>140.08511102649277</v>
      </c>
    </row>
    <row r="3389" spans="1:9">
      <c r="A3389" s="19">
        <v>698.3</v>
      </c>
      <c r="B3389" s="43">
        <v>133.78586637123266</v>
      </c>
      <c r="C3389" s="43">
        <v>135.12036533054061</v>
      </c>
      <c r="D3389" s="43">
        <v>136.3052163757194</v>
      </c>
      <c r="E3389" s="43">
        <v>137.34079658162449</v>
      </c>
      <c r="F3389" s="43">
        <v>138.23112383199924</v>
      </c>
      <c r="G3389" s="43">
        <v>138.98280912761169</v>
      </c>
      <c r="H3389" s="43">
        <v>139.60414086713041</v>
      </c>
      <c r="I3389" s="43">
        <v>140.10434441016838</v>
      </c>
    </row>
    <row r="3390" spans="1:9">
      <c r="A3390" s="19">
        <v>698.4</v>
      </c>
      <c r="B3390" s="43">
        <v>133.80347530883961</v>
      </c>
      <c r="C3390" s="43">
        <v>135.13815760637345</v>
      </c>
      <c r="D3390" s="43">
        <v>136.32321815128245</v>
      </c>
      <c r="E3390" s="43">
        <v>137.35902781472635</v>
      </c>
      <c r="F3390" s="43">
        <v>138.24959826278086</v>
      </c>
      <c r="G3390" s="43">
        <v>139.00153475154372</v>
      </c>
      <c r="H3390" s="43">
        <v>139.62312068130768</v>
      </c>
      <c r="I3390" s="43">
        <v>140.12357726470731</v>
      </c>
    </row>
    <row r="3391" spans="1:9">
      <c r="A3391" s="19">
        <v>698.5</v>
      </c>
      <c r="B3391" s="43">
        <v>133.82108407244039</v>
      </c>
      <c r="C3391" s="43">
        <v>135.15594964347025</v>
      </c>
      <c r="D3391" s="43">
        <v>136.34121962418266</v>
      </c>
      <c r="E3391" s="43">
        <v>137.37725868526439</v>
      </c>
      <c r="F3391" s="43">
        <v>138.26807227736452</v>
      </c>
      <c r="G3391" s="43">
        <v>139.02025991341924</v>
      </c>
      <c r="H3391" s="43">
        <v>139.64209999579015</v>
      </c>
      <c r="I3391" s="43">
        <v>140.1428095903504</v>
      </c>
    </row>
    <row r="3392" spans="1:9">
      <c r="A3392" s="19">
        <v>698.6</v>
      </c>
      <c r="B3392" s="43">
        <v>133.83869266200674</v>
      </c>
      <c r="C3392" s="43">
        <v>135.17374144182008</v>
      </c>
      <c r="D3392" s="43">
        <v>136.35922079443407</v>
      </c>
      <c r="E3392" s="43">
        <v>137.39548919326148</v>
      </c>
      <c r="F3392" s="43">
        <v>138.28654587585123</v>
      </c>
      <c r="G3392" s="43">
        <v>139.03898461324661</v>
      </c>
      <c r="H3392" s="43">
        <v>139.66107881069536</v>
      </c>
      <c r="I3392" s="43">
        <v>140.1620413872003</v>
      </c>
    </row>
    <row r="3393" spans="1:9">
      <c r="A3393" s="19">
        <v>698.7</v>
      </c>
      <c r="B3393" s="43">
        <v>133.8563010776594</v>
      </c>
      <c r="C3393" s="43">
        <v>135.19153300153988</v>
      </c>
      <c r="D3393" s="43">
        <v>136.3772216622155</v>
      </c>
      <c r="E3393" s="43">
        <v>137.41371933890707</v>
      </c>
      <c r="F3393" s="43">
        <v>138.30501905834433</v>
      </c>
      <c r="G3393" s="43">
        <v>139.05770885122803</v>
      </c>
      <c r="H3393" s="43">
        <v>139.68005712613876</v>
      </c>
      <c r="I3393" s="43">
        <v>140.18127265534685</v>
      </c>
    </row>
    <row r="3394" spans="1:9">
      <c r="A3394" s="19">
        <v>698.8</v>
      </c>
      <c r="B3394" s="43">
        <v>133.87390931942309</v>
      </c>
      <c r="C3394" s="43">
        <v>135.20932432274071</v>
      </c>
      <c r="D3394" s="43">
        <v>136.39522222759763</v>
      </c>
      <c r="E3394" s="43">
        <v>137.43194912228176</v>
      </c>
      <c r="F3394" s="43">
        <v>138.32349182501787</v>
      </c>
      <c r="G3394" s="43">
        <v>139.07643262746876</v>
      </c>
      <c r="H3394" s="43">
        <v>139.69903494223104</v>
      </c>
      <c r="I3394" s="43">
        <v>140.20050339492786</v>
      </c>
    </row>
    <row r="3395" spans="1:9">
      <c r="A3395" s="19">
        <v>698.9</v>
      </c>
      <c r="B3395" s="43">
        <v>133.89151738752054</v>
      </c>
      <c r="C3395" s="43">
        <v>135.22711540556895</v>
      </c>
      <c r="D3395" s="43">
        <v>136.4132224908052</v>
      </c>
      <c r="E3395" s="43">
        <v>137.45017854363641</v>
      </c>
      <c r="F3395" s="43">
        <v>138.34196417606893</v>
      </c>
      <c r="G3395" s="43">
        <v>139.09515594218374</v>
      </c>
      <c r="H3395" s="43">
        <v>139.71801225920598</v>
      </c>
      <c r="I3395" s="43">
        <v>140.21973360610446</v>
      </c>
    </row>
    <row r="3396" spans="1:9">
      <c r="A3396" s="19">
        <v>699</v>
      </c>
      <c r="B3396" s="43">
        <v>133.90912528205507</v>
      </c>
      <c r="C3396" s="43">
        <v>135.24490625024038</v>
      </c>
      <c r="D3396" s="43">
        <v>136.43122245191972</v>
      </c>
      <c r="E3396" s="43">
        <v>137.46840760304013</v>
      </c>
      <c r="F3396" s="43">
        <v>138.36043611162796</v>
      </c>
      <c r="G3396" s="43">
        <v>139.1138787954431</v>
      </c>
      <c r="H3396" s="43">
        <v>139.73698907709547</v>
      </c>
      <c r="I3396" s="43">
        <v>140.23896328896427</v>
      </c>
    </row>
    <row r="3397" spans="1:9">
      <c r="A3397" s="19">
        <v>699.1</v>
      </c>
      <c r="B3397" s="43">
        <v>133.92673300305722</v>
      </c>
      <c r="C3397" s="43">
        <v>135.26269685676078</v>
      </c>
      <c r="D3397" s="43">
        <v>136.44922211109116</v>
      </c>
      <c r="E3397" s="43">
        <v>137.48663630063811</v>
      </c>
      <c r="F3397" s="43">
        <v>138.37890763177421</v>
      </c>
      <c r="G3397" s="43">
        <v>139.13260118742079</v>
      </c>
      <c r="H3397" s="43">
        <v>139.75596539612042</v>
      </c>
      <c r="I3397" s="43">
        <v>140.2581924436505</v>
      </c>
    </row>
    <row r="3398" spans="1:9">
      <c r="A3398" s="19">
        <v>699.2</v>
      </c>
      <c r="B3398" s="43">
        <v>133.94434055066375</v>
      </c>
      <c r="C3398" s="43">
        <v>135.28048722525534</v>
      </c>
      <c r="D3398" s="43">
        <v>136.46722146850823</v>
      </c>
      <c r="E3398" s="43">
        <v>137.50486463662946</v>
      </c>
      <c r="F3398" s="43">
        <v>138.39737873674642</v>
      </c>
      <c r="G3398" s="43">
        <v>139.15132311830439</v>
      </c>
      <c r="H3398" s="43">
        <v>139.77494121637125</v>
      </c>
      <c r="I3398" s="43">
        <v>140.27742107032356</v>
      </c>
    </row>
    <row r="3399" spans="1:9">
      <c r="A3399" s="19">
        <v>699.3</v>
      </c>
      <c r="B3399" s="43">
        <v>133.96194792507794</v>
      </c>
      <c r="C3399" s="43">
        <v>135.29827735601282</v>
      </c>
      <c r="D3399" s="43">
        <v>136.48522052429371</v>
      </c>
      <c r="E3399" s="43">
        <v>137.52309261122247</v>
      </c>
      <c r="F3399" s="43">
        <v>138.41584942670897</v>
      </c>
      <c r="G3399" s="43">
        <v>139.17004458823658</v>
      </c>
      <c r="H3399" s="43">
        <v>139.79391653808335</v>
      </c>
      <c r="I3399" s="43">
        <v>140.29664916912407</v>
      </c>
    </row>
    <row r="3400" spans="1:9">
      <c r="A3400" s="19">
        <v>699.4</v>
      </c>
      <c r="B3400" s="43">
        <v>133.97955512608263</v>
      </c>
      <c r="C3400" s="43">
        <v>135.31606724882346</v>
      </c>
      <c r="D3400" s="43">
        <v>136.50321927838598</v>
      </c>
      <c r="E3400" s="43">
        <v>137.54132022425273</v>
      </c>
      <c r="F3400" s="43">
        <v>138.43431970158827</v>
      </c>
      <c r="G3400" s="43">
        <v>139.18876559719018</v>
      </c>
      <c r="H3400" s="43">
        <v>139.81289136114987</v>
      </c>
      <c r="I3400" s="43">
        <v>140.31587674000622</v>
      </c>
    </row>
    <row r="3401" spans="1:9">
      <c r="A3401" s="19">
        <v>699.5</v>
      </c>
      <c r="B3401" s="43">
        <v>133.99716215419471</v>
      </c>
      <c r="C3401" s="43">
        <v>135.3338569041577</v>
      </c>
      <c r="D3401" s="43">
        <v>136.52121773123412</v>
      </c>
      <c r="E3401" s="43">
        <v>137.55954747624924</v>
      </c>
      <c r="F3401" s="43">
        <v>138.45278956184774</v>
      </c>
      <c r="G3401" s="43">
        <v>139.20748614559636</v>
      </c>
      <c r="H3401" s="43">
        <v>139.83186568598501</v>
      </c>
      <c r="I3401" s="43">
        <v>140.33510378335285</v>
      </c>
    </row>
    <row r="3402" spans="1:9">
      <c r="A3402" s="19">
        <v>699.6</v>
      </c>
      <c r="B3402" s="43">
        <v>134.0147690094326</v>
      </c>
      <c r="C3402" s="43">
        <v>135.35164632211394</v>
      </c>
      <c r="D3402" s="43">
        <v>136.53921588292354</v>
      </c>
      <c r="E3402" s="43">
        <v>137.57777436725144</v>
      </c>
      <c r="F3402" s="43">
        <v>138.47125900754736</v>
      </c>
      <c r="G3402" s="43">
        <v>139.22620623345881</v>
      </c>
      <c r="H3402" s="43">
        <v>139.85083951268825</v>
      </c>
      <c r="I3402" s="43">
        <v>140.3543302992083</v>
      </c>
    </row>
    <row r="3403" spans="1:9">
      <c r="A3403" s="19">
        <v>699.7</v>
      </c>
      <c r="B3403" s="43">
        <v>134.03237569148712</v>
      </c>
      <c r="C3403" s="43">
        <v>135.36943550241909</v>
      </c>
      <c r="D3403" s="43">
        <v>136.55721373328277</v>
      </c>
      <c r="E3403" s="43">
        <v>137.59600089714519</v>
      </c>
      <c r="F3403" s="43">
        <v>138.48972803856162</v>
      </c>
      <c r="G3403" s="43">
        <v>139.24492586077145</v>
      </c>
      <c r="H3403" s="43">
        <v>139.86981284116331</v>
      </c>
      <c r="I3403" s="43">
        <v>140.37355628754108</v>
      </c>
    </row>
    <row r="3404" spans="1:9">
      <c r="A3404" s="19">
        <v>699.8</v>
      </c>
      <c r="B3404" s="43">
        <v>134.04998220101493</v>
      </c>
      <c r="C3404" s="43">
        <v>135.38722444570516</v>
      </c>
      <c r="D3404" s="43">
        <v>136.57521128282775</v>
      </c>
      <c r="E3404" s="43">
        <v>137.61422706642725</v>
      </c>
      <c r="F3404" s="43">
        <v>138.50819665541002</v>
      </c>
      <c r="G3404" s="43">
        <v>139.26364502796116</v>
      </c>
      <c r="H3404" s="43">
        <v>139.88878567179734</v>
      </c>
      <c r="I3404" s="43">
        <v>140.39278174869094</v>
      </c>
    </row>
    <row r="3405" spans="1:9">
      <c r="A3405" s="19">
        <v>699.9</v>
      </c>
      <c r="B3405" s="43">
        <v>134.06758853784294</v>
      </c>
      <c r="C3405" s="43">
        <v>135.40501315180211</v>
      </c>
      <c r="D3405" s="43">
        <v>136.59320853148824</v>
      </c>
      <c r="E3405" s="43">
        <v>137.63245287505424</v>
      </c>
      <c r="F3405" s="43">
        <v>138.52666485806088</v>
      </c>
      <c r="G3405" s="43">
        <v>139.28236373496759</v>
      </c>
      <c r="H3405" s="43">
        <v>139.90775800465866</v>
      </c>
      <c r="I3405" s="43">
        <v>140.41200668269181</v>
      </c>
    </row>
    <row r="3406" spans="1:9">
      <c r="A3406" s="19">
        <v>700</v>
      </c>
      <c r="B3406" s="43">
        <v>134.05931554714766</v>
      </c>
      <c r="C3406" s="43">
        <v>135.39884304693464</v>
      </c>
      <c r="D3406" s="43">
        <v>136.5891699517677</v>
      </c>
      <c r="E3406" s="43">
        <v>137.63053765149493</v>
      </c>
      <c r="F3406" s="43">
        <v>138.52683743488126</v>
      </c>
      <c r="G3406" s="43">
        <v>139.28456953302759</v>
      </c>
      <c r="H3406" s="43">
        <v>139.91193029840485</v>
      </c>
      <c r="I3406" s="43">
        <v>140.41807192444804</v>
      </c>
    </row>
    <row r="3407" spans="1:9">
      <c r="A3407" s="19">
        <v>700.1</v>
      </c>
      <c r="B3407" s="43">
        <v>134.05100169093913</v>
      </c>
      <c r="C3407" s="43">
        <v>135.39263268379199</v>
      </c>
      <c r="D3407" s="43">
        <v>136.58509215090771</v>
      </c>
      <c r="E3407" s="43">
        <v>137.62858454678002</v>
      </c>
      <c r="F3407" s="43">
        <v>138.5269736616969</v>
      </c>
      <c r="G3407" s="43">
        <v>139.28674061179242</v>
      </c>
      <c r="H3407" s="43">
        <v>139.91606953266904</v>
      </c>
      <c r="I3407" s="43">
        <v>140.4241057437784</v>
      </c>
    </row>
    <row r="3408" spans="1:9">
      <c r="A3408" s="19">
        <v>700.2</v>
      </c>
      <c r="B3408" s="43">
        <v>134.06858104907224</v>
      </c>
      <c r="C3408" s="43">
        <v>135.41039365658099</v>
      </c>
      <c r="D3408" s="43">
        <v>136.60306115446178</v>
      </c>
      <c r="E3408" s="43">
        <v>137.64678181886717</v>
      </c>
      <c r="F3408" s="43">
        <v>138.5454132267123</v>
      </c>
      <c r="G3408" s="43">
        <v>139.3054307377983</v>
      </c>
      <c r="H3408" s="43">
        <v>139.9350134669707</v>
      </c>
      <c r="I3408" s="43">
        <v>140.44330255897376</v>
      </c>
    </row>
    <row r="3409" spans="1:9">
      <c r="A3409" s="19">
        <v>700.3</v>
      </c>
      <c r="B3409" s="43">
        <v>134.08616023111097</v>
      </c>
      <c r="C3409" s="43">
        <v>135.42815438840552</v>
      </c>
      <c r="D3409" s="43">
        <v>136.62102985281456</v>
      </c>
      <c r="E3409" s="43">
        <v>137.66497872551548</v>
      </c>
      <c r="F3409" s="43">
        <v>138.56385237232723</v>
      </c>
      <c r="G3409" s="43">
        <v>139.32412039808321</v>
      </c>
      <c r="H3409" s="43">
        <v>139.95395689752485</v>
      </c>
      <c r="I3409" s="43">
        <v>140.46249884075053</v>
      </c>
    </row>
    <row r="3410" spans="1:9">
      <c r="A3410" s="19">
        <v>700.4</v>
      </c>
      <c r="B3410" s="43">
        <v>134.10373923705924</v>
      </c>
      <c r="C3410" s="43">
        <v>135.44591487927693</v>
      </c>
      <c r="D3410" s="43">
        <v>136.63899824605454</v>
      </c>
      <c r="E3410" s="43">
        <v>137.68317526679562</v>
      </c>
      <c r="F3410" s="43">
        <v>138.58229109862043</v>
      </c>
      <c r="G3410" s="43">
        <v>139.34280959271138</v>
      </c>
      <c r="H3410" s="43">
        <v>139.97289982438207</v>
      </c>
      <c r="I3410" s="43">
        <v>140.48169458918551</v>
      </c>
    </row>
    <row r="3411" spans="1:9">
      <c r="A3411" s="19">
        <v>700.5</v>
      </c>
      <c r="B3411" s="43">
        <v>134.12131806708845</v>
      </c>
      <c r="C3411" s="43">
        <v>135.46367512930033</v>
      </c>
      <c r="D3411" s="43">
        <v>136.65696633434709</v>
      </c>
      <c r="E3411" s="43">
        <v>137.7013714429209</v>
      </c>
      <c r="F3411" s="43">
        <v>138.60072940573338</v>
      </c>
      <c r="G3411" s="43">
        <v>139.36149832184191</v>
      </c>
      <c r="H3411" s="43">
        <v>139.99184224774467</v>
      </c>
      <c r="I3411" s="43">
        <v>140.50088980447867</v>
      </c>
    </row>
    <row r="3412" spans="1:9">
      <c r="A3412" s="19">
        <v>700.6</v>
      </c>
      <c r="B3412" s="43">
        <v>134.138896721256</v>
      </c>
      <c r="C3412" s="43">
        <v>135.48143513867342</v>
      </c>
      <c r="D3412" s="43">
        <v>136.67493411780106</v>
      </c>
      <c r="E3412" s="43">
        <v>137.7195672540002</v>
      </c>
      <c r="F3412" s="43">
        <v>138.6191672938113</v>
      </c>
      <c r="G3412" s="43">
        <v>139.38018658559361</v>
      </c>
      <c r="H3412" s="43">
        <v>140.01078416768075</v>
      </c>
      <c r="I3412" s="43">
        <v>140.52008448666709</v>
      </c>
    </row>
    <row r="3413" spans="1:9">
      <c r="A3413" s="19">
        <v>700.7</v>
      </c>
      <c r="B3413" s="43">
        <v>134.15647519970895</v>
      </c>
      <c r="C3413" s="43">
        <v>135.49919490748732</v>
      </c>
      <c r="D3413" s="43">
        <v>136.69290159659414</v>
      </c>
      <c r="E3413" s="43">
        <v>137.73776270023581</v>
      </c>
      <c r="F3413" s="43">
        <v>138.63760476307965</v>
      </c>
      <c r="G3413" s="43">
        <v>139.39887438418776</v>
      </c>
      <c r="H3413" s="43">
        <v>140.02972558438859</v>
      </c>
      <c r="I3413" s="43">
        <v>140.53927863594947</v>
      </c>
    </row>
    <row r="3414" spans="1:9">
      <c r="A3414" s="19">
        <v>700.8</v>
      </c>
      <c r="B3414" s="43">
        <v>134.17405350246099</v>
      </c>
      <c r="C3414" s="43">
        <v>135.51695443581838</v>
      </c>
      <c r="D3414" s="43">
        <v>136.71086877084406</v>
      </c>
      <c r="E3414" s="43">
        <v>137.75595778166758</v>
      </c>
      <c r="F3414" s="43">
        <v>138.6560418135561</v>
      </c>
      <c r="G3414" s="43">
        <v>139.4175617176636</v>
      </c>
      <c r="H3414" s="43">
        <v>140.04866649795906</v>
      </c>
      <c r="I3414" s="43">
        <v>140.55847225241467</v>
      </c>
    </row>
    <row r="3415" spans="1:9">
      <c r="A3415" s="19">
        <v>700.9</v>
      </c>
      <c r="B3415" s="43">
        <v>134.19163162968925</v>
      </c>
      <c r="C3415" s="43">
        <v>135.53471372384746</v>
      </c>
      <c r="D3415" s="43">
        <v>136.72883564068712</v>
      </c>
      <c r="E3415" s="43">
        <v>137.7741524985272</v>
      </c>
      <c r="F3415" s="43">
        <v>138.67447844547883</v>
      </c>
      <c r="G3415" s="43">
        <v>139.43624858624474</v>
      </c>
      <c r="H3415" s="43">
        <v>140.06760690858647</v>
      </c>
      <c r="I3415" s="43">
        <v>140.57766533622225</v>
      </c>
    </row>
    <row r="3416" spans="1:9">
      <c r="A3416" s="19">
        <v>701</v>
      </c>
      <c r="B3416" s="43">
        <v>134.20920958157325</v>
      </c>
      <c r="C3416" s="43">
        <v>135.55247277174306</v>
      </c>
      <c r="D3416" s="43">
        <v>136.7468022062618</v>
      </c>
      <c r="E3416" s="43">
        <v>137.79234685096083</v>
      </c>
      <c r="F3416" s="43">
        <v>138.69291465904547</v>
      </c>
      <c r="G3416" s="43">
        <v>139.45493499011582</v>
      </c>
      <c r="H3416" s="43">
        <v>140.08654681641826</v>
      </c>
      <c r="I3416" s="43">
        <v>140.59685788752159</v>
      </c>
    </row>
    <row r="3417" spans="1:9">
      <c r="A3417" s="19">
        <v>701.1</v>
      </c>
      <c r="B3417" s="43">
        <v>134.22678735808051</v>
      </c>
      <c r="C3417" s="43">
        <v>135.57023157950641</v>
      </c>
      <c r="D3417" s="43">
        <v>136.76476846769799</v>
      </c>
      <c r="E3417" s="43">
        <v>137.81054083908259</v>
      </c>
      <c r="F3417" s="43">
        <v>138.71135045425524</v>
      </c>
      <c r="G3417" s="43">
        <v>139.47362092929797</v>
      </c>
      <c r="H3417" s="43">
        <v>140.10548622150043</v>
      </c>
      <c r="I3417" s="43">
        <v>140.61604990634288</v>
      </c>
    </row>
    <row r="3418" spans="1:9">
      <c r="A3418" s="19">
        <v>701.2</v>
      </c>
      <c r="B3418" s="43">
        <v>134.24436495940466</v>
      </c>
      <c r="C3418" s="43">
        <v>135.58799014739157</v>
      </c>
      <c r="D3418" s="43">
        <v>136.78273442517843</v>
      </c>
      <c r="E3418" s="43">
        <v>137.82873446305734</v>
      </c>
      <c r="F3418" s="43">
        <v>138.72978583139962</v>
      </c>
      <c r="G3418" s="43">
        <v>139.49230640405085</v>
      </c>
      <c r="H3418" s="43">
        <v>140.1244251240405</v>
      </c>
      <c r="I3418" s="43">
        <v>140.63524139293986</v>
      </c>
    </row>
    <row r="3419" spans="1:9">
      <c r="A3419" s="19">
        <v>701.3</v>
      </c>
      <c r="B3419" s="43">
        <v>134.26194238562971</v>
      </c>
      <c r="C3419" s="43">
        <v>135.6057484754316</v>
      </c>
      <c r="D3419" s="43">
        <v>136.80070007879584</v>
      </c>
      <c r="E3419" s="43">
        <v>137.84692772301895</v>
      </c>
      <c r="F3419" s="43">
        <v>138.74822079052933</v>
      </c>
      <c r="G3419" s="43">
        <v>139.51099141444615</v>
      </c>
      <c r="H3419" s="43">
        <v>140.14336352420872</v>
      </c>
      <c r="I3419" s="43">
        <v>140.6544323473417</v>
      </c>
    </row>
    <row r="3420" spans="1:9">
      <c r="A3420" s="19">
        <v>701.4</v>
      </c>
      <c r="B3420" s="43">
        <v>134.27951963676708</v>
      </c>
      <c r="C3420" s="43">
        <v>135.6235065637602</v>
      </c>
      <c r="D3420" s="43">
        <v>136.81866542865009</v>
      </c>
      <c r="E3420" s="43">
        <v>137.86512061908257</v>
      </c>
      <c r="F3420" s="43">
        <v>138.76665533182864</v>
      </c>
      <c r="G3420" s="43">
        <v>139.5296759606527</v>
      </c>
      <c r="H3420" s="43">
        <v>140.16230142205956</v>
      </c>
      <c r="I3420" s="43">
        <v>140.67362276974109</v>
      </c>
    </row>
    <row r="3421" spans="1:9">
      <c r="A3421" s="19">
        <v>701.5</v>
      </c>
      <c r="B3421" s="43">
        <v>134.29709671314686</v>
      </c>
      <c r="C3421" s="43">
        <v>135.64126441258554</v>
      </c>
      <c r="D3421" s="43">
        <v>136.83663047504047</v>
      </c>
      <c r="E3421" s="43">
        <v>137.88331315149969</v>
      </c>
      <c r="F3421" s="43">
        <v>138.78508945551994</v>
      </c>
      <c r="G3421" s="43">
        <v>139.5483600429007</v>
      </c>
      <c r="H3421" s="43">
        <v>140.18123881781889</v>
      </c>
      <c r="I3421" s="43">
        <v>140.69281266026752</v>
      </c>
    </row>
    <row r="3422" spans="1:9">
      <c r="A3422" s="19">
        <v>701.6</v>
      </c>
      <c r="B3422" s="43">
        <v>134.31467361458743</v>
      </c>
      <c r="C3422" s="43">
        <v>135.65902202181508</v>
      </c>
      <c r="D3422" s="43">
        <v>136.85459521785015</v>
      </c>
      <c r="E3422" s="43">
        <v>137.90150532022398</v>
      </c>
      <c r="F3422" s="43">
        <v>138.80352316155381</v>
      </c>
      <c r="G3422" s="43">
        <v>139.56704366110881</v>
      </c>
      <c r="H3422" s="43">
        <v>140.20017571150282</v>
      </c>
      <c r="I3422" s="43">
        <v>140.71200201895937</v>
      </c>
    </row>
    <row r="3423" spans="1:9">
      <c r="A3423" s="19">
        <v>701.7</v>
      </c>
      <c r="B3423" s="43">
        <v>134.33225034138945</v>
      </c>
      <c r="C3423" s="43">
        <v>135.67677939185739</v>
      </c>
      <c r="D3423" s="43">
        <v>136.87255965741929</v>
      </c>
      <c r="E3423" s="43">
        <v>137.91969712559398</v>
      </c>
      <c r="F3423" s="43">
        <v>138.82195645029702</v>
      </c>
      <c r="G3423" s="43">
        <v>139.58572681565039</v>
      </c>
      <c r="H3423" s="43">
        <v>140.21911210339834</v>
      </c>
      <c r="I3423" s="43">
        <v>140.73119084605736</v>
      </c>
    </row>
    <row r="3424" spans="1:9">
      <c r="A3424" s="19">
        <v>701.8</v>
      </c>
      <c r="B3424" s="43">
        <v>134.34982689361482</v>
      </c>
      <c r="C3424" s="43">
        <v>135.69453652264451</v>
      </c>
      <c r="D3424" s="43">
        <v>136.89052379383583</v>
      </c>
      <c r="E3424" s="43">
        <v>137.93788856767804</v>
      </c>
      <c r="F3424" s="43">
        <v>138.84038932178362</v>
      </c>
      <c r="G3424" s="43">
        <v>139.60440950660973</v>
      </c>
      <c r="H3424" s="43">
        <v>140.23804799354633</v>
      </c>
      <c r="I3424" s="43">
        <v>140.75037914164352</v>
      </c>
    </row>
    <row r="3425" spans="1:9">
      <c r="A3425" s="19">
        <v>701.9</v>
      </c>
      <c r="B3425" s="43">
        <v>134.36740327143201</v>
      </c>
      <c r="C3425" s="43">
        <v>135.71229341445593</v>
      </c>
      <c r="D3425" s="43">
        <v>136.90848762724499</v>
      </c>
      <c r="E3425" s="43">
        <v>137.95607964666732</v>
      </c>
      <c r="F3425" s="43">
        <v>138.85882177620175</v>
      </c>
      <c r="G3425" s="43">
        <v>139.62309173408784</v>
      </c>
      <c r="H3425" s="43">
        <v>140.25698338213385</v>
      </c>
      <c r="I3425" s="43">
        <v>140.76956690588099</v>
      </c>
    </row>
    <row r="3426" spans="1:9">
      <c r="A3426" s="19">
        <v>702</v>
      </c>
      <c r="B3426" s="43">
        <v>134.38497947476753</v>
      </c>
      <c r="C3426" s="43">
        <v>135.73005006717818</v>
      </c>
      <c r="D3426" s="43">
        <v>136.92645115775338</v>
      </c>
      <c r="E3426" s="43">
        <v>137.97427036258875</v>
      </c>
      <c r="F3426" s="43">
        <v>138.87725381364271</v>
      </c>
      <c r="G3426" s="43">
        <v>139.64177349825752</v>
      </c>
      <c r="H3426" s="43">
        <v>140.2759182692829</v>
      </c>
      <c r="I3426" s="43">
        <v>140.78875413885078</v>
      </c>
    </row>
    <row r="3427" spans="1:9">
      <c r="A3427" s="19">
        <v>702.1</v>
      </c>
      <c r="B3427" s="43">
        <v>134.40255550380522</v>
      </c>
      <c r="C3427" s="43">
        <v>135.74780648106372</v>
      </c>
      <c r="D3427" s="43">
        <v>136.94441438540269</v>
      </c>
      <c r="E3427" s="43">
        <v>137.99246071565858</v>
      </c>
      <c r="F3427" s="43">
        <v>138.8956854342573</v>
      </c>
      <c r="G3427" s="43">
        <v>139.66045479920399</v>
      </c>
      <c r="H3427" s="43">
        <v>140.2948526550847</v>
      </c>
      <c r="I3427" s="43">
        <v>140.80794084065587</v>
      </c>
    </row>
    <row r="3428" spans="1:9">
      <c r="A3428" s="19">
        <v>702.2</v>
      </c>
      <c r="B3428" s="43">
        <v>134.42013135878818</v>
      </c>
      <c r="C3428" s="43">
        <v>135.76556265632388</v>
      </c>
      <c r="D3428" s="43">
        <v>136.9623773105755</v>
      </c>
      <c r="E3428" s="43">
        <v>138.01065070609565</v>
      </c>
      <c r="F3428" s="43">
        <v>138.91411663830115</v>
      </c>
      <c r="G3428" s="43">
        <v>139.67913563722362</v>
      </c>
      <c r="H3428" s="43">
        <v>140.31378653975537</v>
      </c>
      <c r="I3428" s="43">
        <v>140.82712701149711</v>
      </c>
    </row>
    <row r="3429" spans="1:9">
      <c r="A3429" s="19">
        <v>702.3</v>
      </c>
      <c r="B3429" s="43">
        <v>134.43770703958256</v>
      </c>
      <c r="C3429" s="43">
        <v>135.78331859294548</v>
      </c>
      <c r="D3429" s="43">
        <v>136.98033993315829</v>
      </c>
      <c r="E3429" s="43">
        <v>138.02884033390734</v>
      </c>
      <c r="F3429" s="43">
        <v>138.93254742579819</v>
      </c>
      <c r="G3429" s="43">
        <v>139.69781601231182</v>
      </c>
      <c r="H3429" s="43">
        <v>140.33271992337581</v>
      </c>
      <c r="I3429" s="43">
        <v>140.84631265148238</v>
      </c>
    </row>
    <row r="3430" spans="1:9">
      <c r="A3430" s="19">
        <v>702.4</v>
      </c>
      <c r="B3430" s="43">
        <v>134.45528254654045</v>
      </c>
      <c r="C3430" s="43">
        <v>135.80107429120352</v>
      </c>
      <c r="D3430" s="43">
        <v>136.99830225348228</v>
      </c>
      <c r="E3430" s="43">
        <v>138.04702959938578</v>
      </c>
      <c r="F3430" s="43">
        <v>138.95097779698199</v>
      </c>
      <c r="G3430" s="43">
        <v>139.71649592471579</v>
      </c>
      <c r="H3430" s="43">
        <v>140.35165280616309</v>
      </c>
      <c r="I3430" s="43">
        <v>140.86549776074247</v>
      </c>
    </row>
    <row r="3431" spans="1:9">
      <c r="A3431" s="19">
        <v>702.5</v>
      </c>
      <c r="B3431" s="43">
        <v>134.47285787955514</v>
      </c>
      <c r="C3431" s="43">
        <v>135.81882975102064</v>
      </c>
      <c r="D3431" s="43">
        <v>137.01626427158465</v>
      </c>
      <c r="E3431" s="43">
        <v>138.06521850254035</v>
      </c>
      <c r="F3431" s="43">
        <v>138.96940775192286</v>
      </c>
      <c r="G3431" s="43">
        <v>139.73517537449317</v>
      </c>
      <c r="H3431" s="43">
        <v>140.37058518816087</v>
      </c>
      <c r="I3431" s="43">
        <v>140.88468233938283</v>
      </c>
    </row>
    <row r="3432" spans="1:9">
      <c r="A3432" s="19">
        <v>702.6</v>
      </c>
      <c r="B3432" s="43">
        <v>134.49043303888664</v>
      </c>
      <c r="C3432" s="43">
        <v>135.83658497268834</v>
      </c>
      <c r="D3432" s="43">
        <v>137.0342259876191</v>
      </c>
      <c r="E3432" s="43">
        <v>138.08340704360836</v>
      </c>
      <c r="F3432" s="43">
        <v>138.98783729085852</v>
      </c>
      <c r="G3432" s="43">
        <v>139.7538543618312</v>
      </c>
      <c r="H3432" s="43">
        <v>140.38951706957374</v>
      </c>
      <c r="I3432" s="43">
        <v>140.903866387552</v>
      </c>
    </row>
    <row r="3433" spans="1:9">
      <c r="A3433" s="19">
        <v>702.7</v>
      </c>
      <c r="B3433" s="43">
        <v>134.50800802457388</v>
      </c>
      <c r="C3433" s="43">
        <v>135.85433995630058</v>
      </c>
      <c r="D3433" s="43">
        <v>137.05218740175559</v>
      </c>
      <c r="E3433" s="43">
        <v>138.10159522272517</v>
      </c>
      <c r="F3433" s="43">
        <v>139.00626641390312</v>
      </c>
      <c r="G3433" s="43">
        <v>139.77253288691895</v>
      </c>
      <c r="H3433" s="43">
        <v>140.40844845053482</v>
      </c>
      <c r="I3433" s="43">
        <v>140.92304990540123</v>
      </c>
    </row>
    <row r="3434" spans="1:9">
      <c r="A3434" s="19">
        <v>702.8</v>
      </c>
      <c r="B3434" s="43">
        <v>134.52558283652155</v>
      </c>
      <c r="C3434" s="43">
        <v>135.87209470175549</v>
      </c>
      <c r="D3434" s="43">
        <v>137.07014851394985</v>
      </c>
      <c r="E3434" s="43">
        <v>138.11978303985779</v>
      </c>
      <c r="F3434" s="43">
        <v>139.02469512104386</v>
      </c>
      <c r="G3434" s="43">
        <v>139.79121094974795</v>
      </c>
      <c r="H3434" s="43">
        <v>140.4273793310528</v>
      </c>
      <c r="I3434" s="43">
        <v>140.94223289293774</v>
      </c>
    </row>
    <row r="3435" spans="1:9">
      <c r="A3435" s="19">
        <v>702.9</v>
      </c>
      <c r="B3435" s="43">
        <v>134.54315747518433</v>
      </c>
      <c r="C3435" s="43">
        <v>135.88984920954374</v>
      </c>
      <c r="D3435" s="43">
        <v>137.08810932459102</v>
      </c>
      <c r="E3435" s="43">
        <v>138.13797049543984</v>
      </c>
      <c r="F3435" s="43">
        <v>139.04312341269349</v>
      </c>
      <c r="G3435" s="43">
        <v>139.80988855066738</v>
      </c>
      <c r="H3435" s="43">
        <v>140.4463097114832</v>
      </c>
      <c r="I3435" s="43">
        <v>140.96141535044791</v>
      </c>
    </row>
    <row r="3436" spans="1:9">
      <c r="A3436" s="19">
        <v>703</v>
      </c>
      <c r="B3436" s="43">
        <v>134.56073194060883</v>
      </c>
      <c r="C3436" s="43">
        <v>135.90760347958894</v>
      </c>
      <c r="D3436" s="43">
        <v>137.10606983376124</v>
      </c>
      <c r="E3436" s="43">
        <v>138.15615758952208</v>
      </c>
      <c r="F3436" s="43">
        <v>139.06155128890293</v>
      </c>
      <c r="G3436" s="43">
        <v>139.8285656897321</v>
      </c>
      <c r="H3436" s="43">
        <v>140.46523959187022</v>
      </c>
      <c r="I3436" s="43">
        <v>140.98059727802746</v>
      </c>
    </row>
    <row r="3437" spans="1:9">
      <c r="A3437" s="19">
        <v>703.1</v>
      </c>
      <c r="B3437" s="43">
        <v>134.5783062326268</v>
      </c>
      <c r="C3437" s="43">
        <v>135.92535751198017</v>
      </c>
      <c r="D3437" s="43">
        <v>137.12403004143698</v>
      </c>
      <c r="E3437" s="43">
        <v>138.17434432212679</v>
      </c>
      <c r="F3437" s="43">
        <v>139.07997874972204</v>
      </c>
      <c r="G3437" s="43">
        <v>139.84724236704784</v>
      </c>
      <c r="H3437" s="43">
        <v>140.48416897228486</v>
      </c>
      <c r="I3437" s="43">
        <v>140.99977867573858</v>
      </c>
    </row>
    <row r="3438" spans="1:9">
      <c r="A3438" s="19">
        <v>703.2</v>
      </c>
      <c r="B3438" s="43">
        <v>134.59588035160641</v>
      </c>
      <c r="C3438" s="43">
        <v>135.94311130694507</v>
      </c>
      <c r="D3438" s="43">
        <v>137.14198994794555</v>
      </c>
      <c r="E3438" s="43">
        <v>138.19253069348525</v>
      </c>
      <c r="F3438" s="43">
        <v>139.09840579539906</v>
      </c>
      <c r="G3438" s="43">
        <v>139.86591858280991</v>
      </c>
      <c r="H3438" s="43">
        <v>140.50309785294365</v>
      </c>
      <c r="I3438" s="43">
        <v>141.01895954374237</v>
      </c>
    </row>
    <row r="3439" spans="1:9">
      <c r="A3439" s="19">
        <v>703.3</v>
      </c>
      <c r="B3439" s="43">
        <v>134.61345429748997</v>
      </c>
      <c r="C3439" s="43">
        <v>135.96086486449678</v>
      </c>
      <c r="D3439" s="43">
        <v>137.15994955330632</v>
      </c>
      <c r="E3439" s="43">
        <v>138.21071670376006</v>
      </c>
      <c r="F3439" s="43">
        <v>139.11683242606352</v>
      </c>
      <c r="G3439" s="43">
        <v>139.88459433714507</v>
      </c>
      <c r="H3439" s="43">
        <v>140.52202623394658</v>
      </c>
      <c r="I3439" s="43">
        <v>141.03813988218621</v>
      </c>
    </row>
    <row r="3440" spans="1:9">
      <c r="A3440" s="19">
        <v>703.4</v>
      </c>
      <c r="B3440" s="43">
        <v>134.6310280704588</v>
      </c>
      <c r="C3440" s="43">
        <v>135.9786181848018</v>
      </c>
      <c r="D3440" s="43">
        <v>137.17790885766237</v>
      </c>
      <c r="E3440" s="43">
        <v>138.22890235301304</v>
      </c>
      <c r="F3440" s="43">
        <v>139.13525864182759</v>
      </c>
      <c r="G3440" s="43">
        <v>139.9032696301872</v>
      </c>
      <c r="H3440" s="43">
        <v>140.54095411544193</v>
      </c>
      <c r="I3440" s="43">
        <v>141.05731969115794</v>
      </c>
    </row>
    <row r="3441" spans="1:9">
      <c r="A3441" s="19">
        <v>703.5</v>
      </c>
      <c r="B3441" s="43">
        <v>134.64860167070901</v>
      </c>
      <c r="C3441" s="43">
        <v>135.9963712681174</v>
      </c>
      <c r="D3441" s="43">
        <v>137.19586786128895</v>
      </c>
      <c r="E3441" s="43">
        <v>138.24708764155122</v>
      </c>
      <c r="F3441" s="43">
        <v>139.15368444293307</v>
      </c>
      <c r="G3441" s="43">
        <v>139.92194446212517</v>
      </c>
      <c r="H3441" s="43">
        <v>140.55988149765244</v>
      </c>
      <c r="I3441" s="43">
        <v>141.07649897089692</v>
      </c>
    </row>
    <row r="3442" spans="1:9">
      <c r="A3442" s="19">
        <v>703.6</v>
      </c>
      <c r="B3442" s="43">
        <v>134.66617509814216</v>
      </c>
      <c r="C3442" s="43">
        <v>136.01412411433449</v>
      </c>
      <c r="D3442" s="43">
        <v>137.21382656411828</v>
      </c>
      <c r="E3442" s="43">
        <v>138.26527256932428</v>
      </c>
      <c r="F3442" s="43">
        <v>139.17210982933608</v>
      </c>
      <c r="G3442" s="43">
        <v>139.94061883303601</v>
      </c>
      <c r="H3442" s="43">
        <v>140.57880838053347</v>
      </c>
      <c r="I3442" s="43">
        <v>141.09567772133852</v>
      </c>
    </row>
    <row r="3443" spans="1:9">
      <c r="A3443" s="19">
        <v>703.7</v>
      </c>
      <c r="B3443" s="43">
        <v>134.68374835304525</v>
      </c>
      <c r="C3443" s="43">
        <v>136.03187672378294</v>
      </c>
      <c r="D3443" s="43">
        <v>137.23178496643277</v>
      </c>
      <c r="E3443" s="43">
        <v>138.28345713665857</v>
      </c>
      <c r="F3443" s="43">
        <v>139.19053480143793</v>
      </c>
      <c r="G3443" s="43">
        <v>139.95929274313761</v>
      </c>
      <c r="H3443" s="43">
        <v>140.59773476440591</v>
      </c>
      <c r="I3443" s="43">
        <v>141.11485594279935</v>
      </c>
    </row>
    <row r="3444" spans="1:9">
      <c r="A3444" s="19">
        <v>703.8</v>
      </c>
      <c r="B3444" s="43">
        <v>134.70132143539212</v>
      </c>
      <c r="C3444" s="43">
        <v>136.04962909642353</v>
      </c>
      <c r="D3444" s="43">
        <v>137.24974306829188</v>
      </c>
      <c r="E3444" s="43">
        <v>138.30164134356585</v>
      </c>
      <c r="F3444" s="43">
        <v>139.20895935922243</v>
      </c>
      <c r="G3444" s="43">
        <v>139.97796619252694</v>
      </c>
      <c r="H3444" s="43">
        <v>140.61666064930193</v>
      </c>
      <c r="I3444" s="43">
        <v>141.13403363529403</v>
      </c>
    </row>
    <row r="3445" spans="1:9">
      <c r="A3445" s="19">
        <v>703.9</v>
      </c>
      <c r="B3445" s="43">
        <v>134.71889434527276</v>
      </c>
      <c r="C3445" s="43">
        <v>136.06738123243122</v>
      </c>
      <c r="D3445" s="43">
        <v>137.26770086986443</v>
      </c>
      <c r="E3445" s="43">
        <v>138.31982519021182</v>
      </c>
      <c r="F3445" s="43">
        <v>139.22738350280088</v>
      </c>
      <c r="G3445" s="43">
        <v>139.9966391813395</v>
      </c>
      <c r="H3445" s="43">
        <v>140.63558603538712</v>
      </c>
      <c r="I3445" s="43">
        <v>141.15321079898956</v>
      </c>
    </row>
    <row r="3446" spans="1:9">
      <c r="A3446" s="19">
        <v>704</v>
      </c>
      <c r="B3446" s="43">
        <v>134.73646708300106</v>
      </c>
      <c r="C3446" s="43">
        <v>136.08513313201445</v>
      </c>
      <c r="D3446" s="43">
        <v>137.28565837132044</v>
      </c>
      <c r="E3446" s="43">
        <v>138.33800867681225</v>
      </c>
      <c r="F3446" s="43">
        <v>139.24580723246225</v>
      </c>
      <c r="G3446" s="43">
        <v>140.01531170980439</v>
      </c>
      <c r="H3446" s="43">
        <v>140.65451092285582</v>
      </c>
      <c r="I3446" s="43">
        <v>141.17238743403431</v>
      </c>
    </row>
    <row r="3447" spans="1:9">
      <c r="A3447" s="19">
        <v>704.1</v>
      </c>
      <c r="B3447" s="43">
        <v>134.75403964842872</v>
      </c>
      <c r="C3447" s="43">
        <v>136.10288479517146</v>
      </c>
      <c r="D3447" s="43">
        <v>137.30361557270339</v>
      </c>
      <c r="E3447" s="43">
        <v>138.35619180344315</v>
      </c>
      <c r="F3447" s="43">
        <v>139.26423054821998</v>
      </c>
      <c r="G3447" s="43">
        <v>140.03398377793678</v>
      </c>
      <c r="H3447" s="43">
        <v>140.67343531171758</v>
      </c>
      <c r="I3447" s="43">
        <v>141.19156354049869</v>
      </c>
    </row>
    <row r="3448" spans="1:9">
      <c r="A3448" s="19">
        <v>704.2</v>
      </c>
      <c r="B3448" s="43">
        <v>134.77161204174155</v>
      </c>
      <c r="C3448" s="43">
        <v>136.12063622204244</v>
      </c>
      <c r="D3448" s="43">
        <v>137.32157247418951</v>
      </c>
      <c r="E3448" s="43">
        <v>138.37437457023992</v>
      </c>
      <c r="F3448" s="43">
        <v>139.28265345031156</v>
      </c>
      <c r="G3448" s="43">
        <v>140.0526553859678</v>
      </c>
      <c r="H3448" s="43">
        <v>140.69235920220842</v>
      </c>
      <c r="I3448" s="43">
        <v>141.21073911856257</v>
      </c>
    </row>
    <row r="3449" spans="1:9">
      <c r="A3449" s="19">
        <v>704.3</v>
      </c>
      <c r="B3449" s="43">
        <v>134.78918426314277</v>
      </c>
      <c r="C3449" s="43">
        <v>136.13838741286713</v>
      </c>
      <c r="D3449" s="43">
        <v>137.33952907598564</v>
      </c>
      <c r="E3449" s="43">
        <v>138.39255697743221</v>
      </c>
      <c r="F3449" s="43">
        <v>139.30107593889431</v>
      </c>
      <c r="G3449" s="43">
        <v>140.07132653406222</v>
      </c>
      <c r="H3449" s="43">
        <v>140.71128259447801</v>
      </c>
      <c r="I3449" s="43">
        <v>141.22991416838869</v>
      </c>
    </row>
    <row r="3450" spans="1:9">
      <c r="A3450" s="19">
        <v>704.4</v>
      </c>
      <c r="B3450" s="43">
        <v>134.80675631260038</v>
      </c>
      <c r="C3450" s="43">
        <v>136.15613836762918</v>
      </c>
      <c r="D3450" s="43">
        <v>137.35748537815772</v>
      </c>
      <c r="E3450" s="43">
        <v>138.41073902506486</v>
      </c>
      <c r="F3450" s="43">
        <v>139.31949801402033</v>
      </c>
      <c r="G3450" s="43">
        <v>140.08999722228907</v>
      </c>
      <c r="H3450" s="43">
        <v>140.73020548859699</v>
      </c>
      <c r="I3450" s="43">
        <v>141.2490886900049</v>
      </c>
    </row>
    <row r="3451" spans="1:9">
      <c r="A3451" s="19">
        <v>704.5</v>
      </c>
      <c r="B3451" s="43">
        <v>134.82432819029884</v>
      </c>
      <c r="C3451" s="43">
        <v>136.17388908650776</v>
      </c>
      <c r="D3451" s="43">
        <v>137.37544138083183</v>
      </c>
      <c r="E3451" s="43">
        <v>138.4289207133362</v>
      </c>
      <c r="F3451" s="43">
        <v>139.33791967591412</v>
      </c>
      <c r="G3451" s="43">
        <v>140.10866745086457</v>
      </c>
      <c r="H3451" s="43">
        <v>140.74912788476661</v>
      </c>
      <c r="I3451" s="43">
        <v>141.26826268361322</v>
      </c>
    </row>
    <row r="3452" spans="1:9">
      <c r="A3452" s="19">
        <v>704.6</v>
      </c>
      <c r="B3452" s="43">
        <v>134.84189989638639</v>
      </c>
      <c r="C3452" s="43">
        <v>136.19163956970368</v>
      </c>
      <c r="D3452" s="43">
        <v>137.39339708424609</v>
      </c>
      <c r="E3452" s="43">
        <v>138.44710204244291</v>
      </c>
      <c r="F3452" s="43">
        <v>139.3563409247385</v>
      </c>
      <c r="G3452" s="43">
        <v>140.12733721991322</v>
      </c>
      <c r="H3452" s="43">
        <v>140.76804978309195</v>
      </c>
      <c r="I3452" s="43">
        <v>141.28743614936133</v>
      </c>
    </row>
    <row r="3453" spans="1:9">
      <c r="A3453" s="19">
        <v>704.7</v>
      </c>
      <c r="B3453" s="43">
        <v>134.85947143069507</v>
      </c>
      <c r="C3453" s="43">
        <v>136.20938981707724</v>
      </c>
      <c r="D3453" s="43">
        <v>137.41135248824821</v>
      </c>
      <c r="E3453" s="43">
        <v>138.46528301232911</v>
      </c>
      <c r="F3453" s="43">
        <v>139.37476176048187</v>
      </c>
      <c r="G3453" s="43">
        <v>140.14600652943363</v>
      </c>
      <c r="H3453" s="43">
        <v>140.78697118364431</v>
      </c>
      <c r="I3453" s="43">
        <v>141.30660908721057</v>
      </c>
    </row>
    <row r="3454" spans="1:9">
      <c r="A3454" s="19">
        <v>704.8</v>
      </c>
      <c r="B3454" s="43">
        <v>134.87704279364715</v>
      </c>
      <c r="C3454" s="43">
        <v>136.22713982904901</v>
      </c>
      <c r="D3454" s="43">
        <v>137.4293075933694</v>
      </c>
      <c r="E3454" s="43">
        <v>138.48346362336565</v>
      </c>
      <c r="F3454" s="43">
        <v>139.39318218348404</v>
      </c>
      <c r="G3454" s="43">
        <v>140.16467537981947</v>
      </c>
      <c r="H3454" s="43">
        <v>140.80589208671609</v>
      </c>
      <c r="I3454" s="43">
        <v>141.32578149754698</v>
      </c>
    </row>
    <row r="3455" spans="1:9">
      <c r="A3455" s="19">
        <v>704.9</v>
      </c>
      <c r="B3455" s="43">
        <v>134.89461398518023</v>
      </c>
      <c r="C3455" s="43">
        <v>136.24488960559825</v>
      </c>
      <c r="D3455" s="43">
        <v>137.44726239945123</v>
      </c>
      <c r="E3455" s="43">
        <v>138.50164387557584</v>
      </c>
      <c r="F3455" s="43">
        <v>139.4116021937777</v>
      </c>
      <c r="G3455" s="43">
        <v>140.18334377102832</v>
      </c>
      <c r="H3455" s="43">
        <v>140.82481249232848</v>
      </c>
      <c r="I3455" s="43">
        <v>141.34495338029291</v>
      </c>
    </row>
    <row r="3456" spans="1:9">
      <c r="A3456" s="19">
        <v>705</v>
      </c>
      <c r="B3456" s="43">
        <v>134.91218500554658</v>
      </c>
      <c r="C3456" s="43">
        <v>136.2626391469185</v>
      </c>
      <c r="D3456" s="43">
        <v>137.4652169068122</v>
      </c>
      <c r="E3456" s="43">
        <v>138.51982376919324</v>
      </c>
      <c r="F3456" s="43">
        <v>139.43002179164296</v>
      </c>
      <c r="G3456" s="43">
        <v>140.20201170336634</v>
      </c>
      <c r="H3456" s="43">
        <v>140.84373240069715</v>
      </c>
      <c r="I3456" s="43">
        <v>141.36412473570499</v>
      </c>
    </row>
    <row r="3457" spans="1:9">
      <c r="A3457" s="19">
        <v>705.1</v>
      </c>
      <c r="B3457" s="43">
        <v>134.92975585466354</v>
      </c>
      <c r="C3457" s="43">
        <v>136.28038845302092</v>
      </c>
      <c r="D3457" s="43">
        <v>137.48317111548732</v>
      </c>
      <c r="E3457" s="43">
        <v>138.53800330426049</v>
      </c>
      <c r="F3457" s="43">
        <v>139.44844097708375</v>
      </c>
      <c r="G3457" s="43">
        <v>140.22067917683478</v>
      </c>
      <c r="H3457" s="43">
        <v>140.86265181185655</v>
      </c>
      <c r="I3457" s="43">
        <v>141.38329556383707</v>
      </c>
    </row>
    <row r="3458" spans="1:9">
      <c r="A3458" s="19">
        <v>705.2</v>
      </c>
      <c r="B3458" s="43">
        <v>134.94732653275412</v>
      </c>
      <c r="C3458" s="43">
        <v>136.29813752418755</v>
      </c>
      <c r="D3458" s="43">
        <v>137.50112502568771</v>
      </c>
      <c r="E3458" s="43">
        <v>138.55618248098705</v>
      </c>
      <c r="F3458" s="43">
        <v>139.46685975030852</v>
      </c>
      <c r="G3458" s="43">
        <v>140.23934619163617</v>
      </c>
      <c r="H3458" s="43">
        <v>140.8815707260847</v>
      </c>
      <c r="I3458" s="43">
        <v>141.40246586486694</v>
      </c>
    </row>
    <row r="3459" spans="1:9">
      <c r="A3459" s="19">
        <v>705.3</v>
      </c>
      <c r="B3459" s="43">
        <v>134.96489703977636</v>
      </c>
      <c r="C3459" s="43">
        <v>136.3158863602934</v>
      </c>
      <c r="D3459" s="43">
        <v>137.51907863737716</v>
      </c>
      <c r="E3459" s="43">
        <v>138.57436129943267</v>
      </c>
      <c r="F3459" s="43">
        <v>139.48527811138507</v>
      </c>
      <c r="G3459" s="43">
        <v>140.25801274785209</v>
      </c>
      <c r="H3459" s="43">
        <v>140.90048914332237</v>
      </c>
      <c r="I3459" s="43">
        <v>141.42163563884196</v>
      </c>
    </row>
    <row r="3460" spans="1:9">
      <c r="A3460" s="19">
        <v>705.4</v>
      </c>
      <c r="B3460" s="43">
        <v>134.98246737611424</v>
      </c>
      <c r="C3460" s="43">
        <v>136.33363496174746</v>
      </c>
      <c r="D3460" s="43">
        <v>137.53703195096193</v>
      </c>
      <c r="E3460" s="43">
        <v>138.59253975990651</v>
      </c>
      <c r="F3460" s="43">
        <v>139.50369606064106</v>
      </c>
      <c r="G3460" s="43">
        <v>140.27667884580131</v>
      </c>
      <c r="H3460" s="43">
        <v>140.91940706396463</v>
      </c>
      <c r="I3460" s="43">
        <v>141.44080488603214</v>
      </c>
    </row>
    <row r="3461" spans="1:9">
      <c r="A3461" s="19">
        <v>705.5</v>
      </c>
      <c r="B3461" s="43">
        <v>135.00003754151959</v>
      </c>
      <c r="C3461" s="43">
        <v>136.35138332842348</v>
      </c>
      <c r="D3461" s="43">
        <v>137.5549849663181</v>
      </c>
      <c r="E3461" s="43">
        <v>138.61071786235198</v>
      </c>
      <c r="F3461" s="43">
        <v>139.52211359800066</v>
      </c>
      <c r="G3461" s="43">
        <v>140.29534448543359</v>
      </c>
      <c r="H3461" s="43">
        <v>140.93832448792665</v>
      </c>
      <c r="I3461" s="43">
        <v>141.45997360643173</v>
      </c>
    </row>
    <row r="3462" spans="1:9">
      <c r="A3462" s="19">
        <v>705.6</v>
      </c>
      <c r="B3462" s="43">
        <v>135.01760753640741</v>
      </c>
      <c r="C3462" s="43">
        <v>136.36913146061119</v>
      </c>
      <c r="D3462" s="43">
        <v>137.57293768374882</v>
      </c>
      <c r="E3462" s="43">
        <v>138.62889560706327</v>
      </c>
      <c r="F3462" s="43">
        <v>139.54053072376877</v>
      </c>
      <c r="G3462" s="43">
        <v>140.31400966697436</v>
      </c>
      <c r="H3462" s="43">
        <v>140.9572414154278</v>
      </c>
      <c r="I3462" s="43">
        <v>141.47914180019137</v>
      </c>
    </row>
    <row r="3463" spans="1:9">
      <c r="A3463" s="19">
        <v>705.7</v>
      </c>
      <c r="B3463" s="43">
        <v>135.03517736063304</v>
      </c>
      <c r="C3463" s="43">
        <v>136.38687935834082</v>
      </c>
      <c r="D3463" s="43">
        <v>137.5908901032758</v>
      </c>
      <c r="E3463" s="43">
        <v>138.64707299409076</v>
      </c>
      <c r="F3463" s="43">
        <v>139.55894743800707</v>
      </c>
      <c r="G3463" s="43">
        <v>140.33267439054868</v>
      </c>
      <c r="H3463" s="43">
        <v>140.97615784662668</v>
      </c>
      <c r="I3463" s="43">
        <v>141.49830946750342</v>
      </c>
    </row>
    <row r="3464" spans="1:9">
      <c r="A3464" s="19">
        <v>705.8</v>
      </c>
      <c r="B3464" s="43">
        <v>135.05274701445853</v>
      </c>
      <c r="C3464" s="43">
        <v>136.40462702176859</v>
      </c>
      <c r="D3464" s="43">
        <v>137.60884222509122</v>
      </c>
      <c r="E3464" s="43">
        <v>138.66525002360311</v>
      </c>
      <c r="F3464" s="43">
        <v>139.57736374092531</v>
      </c>
      <c r="G3464" s="43">
        <v>140.35133865634447</v>
      </c>
      <c r="H3464" s="43">
        <v>140.99507378163173</v>
      </c>
      <c r="I3464" s="43">
        <v>141.51747660843182</v>
      </c>
    </row>
    <row r="3465" spans="1:9">
      <c r="A3465" s="19">
        <v>705.9</v>
      </c>
      <c r="B3465" s="43">
        <v>135.07031649794288</v>
      </c>
      <c r="C3465" s="43">
        <v>136.42237445105718</v>
      </c>
      <c r="D3465" s="43">
        <v>137.62679404939348</v>
      </c>
      <c r="E3465" s="43">
        <v>138.68342669581011</v>
      </c>
      <c r="F3465" s="43">
        <v>139.59577963264832</v>
      </c>
      <c r="G3465" s="43">
        <v>140.37000246443853</v>
      </c>
      <c r="H3465" s="43">
        <v>141.0139892206065</v>
      </c>
      <c r="I3465" s="43">
        <v>141.53664322316462</v>
      </c>
    </row>
    <row r="3466" spans="1:9">
      <c r="A3466" s="19">
        <v>706</v>
      </c>
      <c r="B3466" s="43">
        <v>135.0878858111696</v>
      </c>
      <c r="C3466" s="43">
        <v>136.44012164622239</v>
      </c>
      <c r="D3466" s="43">
        <v>137.64474557621071</v>
      </c>
      <c r="E3466" s="43">
        <v>138.70160301080296</v>
      </c>
      <c r="F3466" s="43">
        <v>139.61419511332548</v>
      </c>
      <c r="G3466" s="43">
        <v>140.38866581508023</v>
      </c>
      <c r="H3466" s="43">
        <v>141.03290416370601</v>
      </c>
      <c r="I3466" s="43">
        <v>141.55580931180202</v>
      </c>
    </row>
    <row r="3467" spans="1:9">
      <c r="A3467" s="19">
        <v>706.1</v>
      </c>
      <c r="B3467" s="43">
        <v>135.10545495419774</v>
      </c>
      <c r="C3467" s="43">
        <v>136.45786860744028</v>
      </c>
      <c r="D3467" s="43">
        <v>137.66269680570093</v>
      </c>
      <c r="E3467" s="43">
        <v>138.71977896867986</v>
      </c>
      <c r="F3467" s="43">
        <v>139.63261018301552</v>
      </c>
      <c r="G3467" s="43">
        <v>140.40732870825258</v>
      </c>
      <c r="H3467" s="43">
        <v>141.05181861095696</v>
      </c>
      <c r="I3467" s="43">
        <v>141.57497487441526</v>
      </c>
    </row>
    <row r="3468" spans="1:9">
      <c r="A3468" s="19">
        <v>706.2</v>
      </c>
      <c r="B3468" s="43">
        <v>135.12302392728549</v>
      </c>
      <c r="C3468" s="43">
        <v>136.47561533493638</v>
      </c>
      <c r="D3468" s="43">
        <v>137.68064773806691</v>
      </c>
      <c r="E3468" s="43">
        <v>138.73795456969435</v>
      </c>
      <c r="F3468" s="43">
        <v>139.65102484203641</v>
      </c>
      <c r="G3468" s="43">
        <v>140.42599114429152</v>
      </c>
      <c r="H3468" s="43">
        <v>141.07073256265397</v>
      </c>
      <c r="I3468" s="43">
        <v>141.59413991126536</v>
      </c>
    </row>
    <row r="3469" spans="1:9">
      <c r="A3469" s="19">
        <v>706.3</v>
      </c>
      <c r="B3469" s="43">
        <v>135.1405927304578</v>
      </c>
      <c r="C3469" s="43">
        <v>136.49336182869644</v>
      </c>
      <c r="D3469" s="43">
        <v>137.69859837341755</v>
      </c>
      <c r="E3469" s="43">
        <v>138.75612981393522</v>
      </c>
      <c r="F3469" s="43">
        <v>139.66943909043619</v>
      </c>
      <c r="G3469" s="43">
        <v>140.44465312321825</v>
      </c>
      <c r="H3469" s="43">
        <v>141.0896460188689</v>
      </c>
      <c r="I3469" s="43">
        <v>141.61330442238369</v>
      </c>
    </row>
    <row r="3470" spans="1:9">
      <c r="A3470" s="19">
        <v>706.4</v>
      </c>
      <c r="B3470" s="43">
        <v>135.15816136363571</v>
      </c>
      <c r="C3470" s="43">
        <v>136.51110808883277</v>
      </c>
      <c r="D3470" s="43">
        <v>137.71654871179976</v>
      </c>
      <c r="E3470" s="43">
        <v>138.77430470146879</v>
      </c>
      <c r="F3470" s="43">
        <v>139.6878529283116</v>
      </c>
      <c r="G3470" s="43">
        <v>140.463314645151</v>
      </c>
      <c r="H3470" s="43">
        <v>141.10855897966201</v>
      </c>
      <c r="I3470" s="43">
        <v>141.63246840789731</v>
      </c>
    </row>
    <row r="3471" spans="1:9">
      <c r="A3471" s="19">
        <v>706.5</v>
      </c>
      <c r="B3471" s="43">
        <v>135.17572982721686</v>
      </c>
      <c r="C3471" s="43">
        <v>136.52885411557725</v>
      </c>
      <c r="D3471" s="43">
        <v>137.73449875349758</v>
      </c>
      <c r="E3471" s="43">
        <v>138.79247923256679</v>
      </c>
      <c r="F3471" s="43">
        <v>139.7062663559401</v>
      </c>
      <c r="G3471" s="43">
        <v>140.4819757103823</v>
      </c>
      <c r="H3471" s="43">
        <v>141.12747144532295</v>
      </c>
      <c r="I3471" s="43">
        <v>141.65163186798821</v>
      </c>
    </row>
    <row r="3472" spans="1:9">
      <c r="A3472" s="19">
        <v>706.6</v>
      </c>
      <c r="B3472" s="43">
        <v>135.19329812105082</v>
      </c>
      <c r="C3472" s="43">
        <v>136.54659990888462</v>
      </c>
      <c r="D3472" s="43">
        <v>137.75244849841891</v>
      </c>
      <c r="E3472" s="43">
        <v>138.81065340722921</v>
      </c>
      <c r="F3472" s="43">
        <v>139.72467937325928</v>
      </c>
      <c r="G3472" s="43">
        <v>140.5006363188408</v>
      </c>
      <c r="H3472" s="43">
        <v>141.14638341581309</v>
      </c>
      <c r="I3472" s="43">
        <v>141.67079480268029</v>
      </c>
    </row>
    <row r="3473" spans="1:9">
      <c r="A3473" s="19">
        <v>706.7</v>
      </c>
      <c r="B3473" s="43">
        <v>135.21086624544301</v>
      </c>
      <c r="C3473" s="43">
        <v>136.56434546902801</v>
      </c>
      <c r="D3473" s="43">
        <v>137.77039794693343</v>
      </c>
      <c r="E3473" s="43">
        <v>138.82882722571395</v>
      </c>
      <c r="F3473" s="43">
        <v>139.74309198064225</v>
      </c>
      <c r="G3473" s="43">
        <v>140.5192964708304</v>
      </c>
      <c r="H3473" s="43">
        <v>141.16529489137594</v>
      </c>
      <c r="I3473" s="43">
        <v>141.68995721222132</v>
      </c>
    </row>
    <row r="3474" spans="1:9">
      <c r="A3474" s="19">
        <v>706.8</v>
      </c>
      <c r="B3474" s="43">
        <v>135.22843420039248</v>
      </c>
      <c r="C3474" s="43">
        <v>136.58209079611527</v>
      </c>
      <c r="D3474" s="43">
        <v>137.78834709910529</v>
      </c>
      <c r="E3474" s="43">
        <v>138.84700068817739</v>
      </c>
      <c r="F3474" s="43">
        <v>139.76150417813125</v>
      </c>
      <c r="G3474" s="43">
        <v>140.5379561664879</v>
      </c>
      <c r="H3474" s="43">
        <v>141.18420587219543</v>
      </c>
      <c r="I3474" s="43">
        <v>141.7091190966969</v>
      </c>
    </row>
    <row r="3475" spans="1:9">
      <c r="A3475" s="19">
        <v>706.9</v>
      </c>
      <c r="B3475" s="43">
        <v>135.24600198598318</v>
      </c>
      <c r="C3475" s="43">
        <v>136.59983589020527</v>
      </c>
      <c r="D3475" s="43">
        <v>137.80629595505911</v>
      </c>
      <c r="E3475" s="43">
        <v>138.86517379467932</v>
      </c>
      <c r="F3475" s="43">
        <v>139.77991596586571</v>
      </c>
      <c r="G3475" s="43">
        <v>140.55661540589023</v>
      </c>
      <c r="H3475" s="43">
        <v>141.20311635833656</v>
      </c>
      <c r="I3475" s="43">
        <v>141.72828045624152</v>
      </c>
    </row>
    <row r="3476" spans="1:9">
      <c r="A3476" s="19">
        <v>707</v>
      </c>
      <c r="B3476" s="43">
        <v>135.26356960240025</v>
      </c>
      <c r="C3476" s="43">
        <v>136.61758075145406</v>
      </c>
      <c r="D3476" s="43">
        <v>137.82424451491175</v>
      </c>
      <c r="E3476" s="43">
        <v>138.8833465454461</v>
      </c>
      <c r="F3476" s="43">
        <v>139.79832734402817</v>
      </c>
      <c r="G3476" s="43">
        <v>140.5752741892656</v>
      </c>
      <c r="H3476" s="43">
        <v>141.22202634994994</v>
      </c>
      <c r="I3476" s="43">
        <v>141.74744129097064</v>
      </c>
    </row>
    <row r="3477" spans="1:9">
      <c r="A3477" s="19">
        <v>707.1</v>
      </c>
      <c r="B3477" s="43">
        <v>135.28113704964738</v>
      </c>
      <c r="C3477" s="43">
        <v>136.63532537992785</v>
      </c>
      <c r="D3477" s="43">
        <v>137.84219277874706</v>
      </c>
      <c r="E3477" s="43">
        <v>138.90151894053156</v>
      </c>
      <c r="F3477" s="43">
        <v>139.81673831269802</v>
      </c>
      <c r="G3477" s="43">
        <v>140.59393251664898</v>
      </c>
      <c r="H3477" s="43">
        <v>141.24093584713455</v>
      </c>
      <c r="I3477" s="43">
        <v>141.76660160098788</v>
      </c>
    </row>
    <row r="3478" spans="1:9">
      <c r="A3478" s="19">
        <v>707.2</v>
      </c>
      <c r="B3478" s="43">
        <v>135.2987043278381</v>
      </c>
      <c r="C3478" s="43">
        <v>136.65306977577222</v>
      </c>
      <c r="D3478" s="43">
        <v>137.86014074674176</v>
      </c>
      <c r="E3478" s="43">
        <v>138.91969098009162</v>
      </c>
      <c r="F3478" s="43">
        <v>139.83514887206701</v>
      </c>
      <c r="G3478" s="43">
        <v>140.61259038823971</v>
      </c>
      <c r="H3478" s="43">
        <v>141.25984485006194</v>
      </c>
      <c r="I3478" s="43">
        <v>141.78576138643717</v>
      </c>
    </row>
    <row r="3479" spans="1:9">
      <c r="A3479" s="19">
        <v>707.3</v>
      </c>
      <c r="B3479" s="43">
        <v>135.31627143722284</v>
      </c>
      <c r="C3479" s="43">
        <v>136.67081393922763</v>
      </c>
      <c r="D3479" s="43">
        <v>137.87808841918178</v>
      </c>
      <c r="E3479" s="43">
        <v>138.93786266438661</v>
      </c>
      <c r="F3479" s="43">
        <v>139.85355902234375</v>
      </c>
      <c r="G3479" s="43">
        <v>140.63124780424482</v>
      </c>
      <c r="H3479" s="43">
        <v>141.27875335895084</v>
      </c>
      <c r="I3479" s="43">
        <v>141.80492064752667</v>
      </c>
    </row>
    <row r="3480" spans="1:9">
      <c r="A3480" s="19">
        <v>707.4</v>
      </c>
      <c r="B3480" s="43">
        <v>135.33383837762898</v>
      </c>
      <c r="C3480" s="43">
        <v>136.68855787022613</v>
      </c>
      <c r="D3480" s="43">
        <v>137.89603579592364</v>
      </c>
      <c r="E3480" s="43">
        <v>138.95603399339774</v>
      </c>
      <c r="F3480" s="43">
        <v>139.87196876353863</v>
      </c>
      <c r="G3480" s="43">
        <v>140.64990476468159</v>
      </c>
      <c r="H3480" s="43">
        <v>141.29766137380676</v>
      </c>
      <c r="I3480" s="43">
        <v>141.82407938424598</v>
      </c>
    </row>
    <row r="3481" spans="1:9">
      <c r="A3481" s="19">
        <v>707.5</v>
      </c>
      <c r="B3481" s="43">
        <v>135.3514051494119</v>
      </c>
      <c r="C3481" s="43">
        <v>136.70630156897352</v>
      </c>
      <c r="D3481" s="43">
        <v>137.91398287730283</v>
      </c>
      <c r="E3481" s="43">
        <v>138.97420496737112</v>
      </c>
      <c r="F3481" s="43">
        <v>139.89037809590297</v>
      </c>
      <c r="G3481" s="43">
        <v>140.66856126979712</v>
      </c>
      <c r="H3481" s="43">
        <v>141.31656889485424</v>
      </c>
      <c r="I3481" s="43">
        <v>141.84323759684696</v>
      </c>
    </row>
    <row r="3482" spans="1:9">
      <c r="A3482" s="19">
        <v>707.6</v>
      </c>
      <c r="B3482" s="43">
        <v>135.36897175254978</v>
      </c>
      <c r="C3482" s="43">
        <v>136.7240450356183</v>
      </c>
      <c r="D3482" s="43">
        <v>137.93192966339723</v>
      </c>
      <c r="E3482" s="43">
        <v>138.99237558641317</v>
      </c>
      <c r="F3482" s="43">
        <v>139.9087870195209</v>
      </c>
      <c r="G3482" s="43">
        <v>140.68721731965712</v>
      </c>
      <c r="H3482" s="43">
        <v>141.33547592215774</v>
      </c>
      <c r="I3482" s="43">
        <v>141.86239528536544</v>
      </c>
    </row>
    <row r="3483" spans="1:9">
      <c r="A3483" s="19">
        <v>707.7</v>
      </c>
      <c r="B3483" s="43">
        <v>135.3865381871824</v>
      </c>
      <c r="C3483" s="43">
        <v>136.74178827024406</v>
      </c>
      <c r="D3483" s="43">
        <v>137.94987615433678</v>
      </c>
      <c r="E3483" s="43">
        <v>139.01054585066908</v>
      </c>
      <c r="F3483" s="43">
        <v>139.92719553459261</v>
      </c>
      <c r="G3483" s="43">
        <v>140.70587291447174</v>
      </c>
      <c r="H3483" s="43">
        <v>141.35438245591837</v>
      </c>
      <c r="I3483" s="43">
        <v>141.88155244999706</v>
      </c>
    </row>
    <row r="3484" spans="1:9">
      <c r="A3484" s="19">
        <v>707.8</v>
      </c>
      <c r="B3484" s="43">
        <v>135.40410445343485</v>
      </c>
      <c r="C3484" s="43">
        <v>136.75953127298004</v>
      </c>
      <c r="D3484" s="43">
        <v>137.96782235026058</v>
      </c>
      <c r="E3484" s="43">
        <v>139.02871576028627</v>
      </c>
      <c r="F3484" s="43">
        <v>139.94560364122248</v>
      </c>
      <c r="G3484" s="43">
        <v>140.72452805434062</v>
      </c>
      <c r="H3484" s="43">
        <v>141.37328849626994</v>
      </c>
      <c r="I3484" s="43">
        <v>141.90070909082289</v>
      </c>
    </row>
    <row r="3485" spans="1:9">
      <c r="A3485" s="19">
        <v>707.9</v>
      </c>
      <c r="B3485" s="43">
        <v>135.42167055129102</v>
      </c>
      <c r="C3485" s="43">
        <v>136.77727404391823</v>
      </c>
      <c r="D3485" s="43">
        <v>137.98576825128777</v>
      </c>
      <c r="E3485" s="43">
        <v>139.0468853154087</v>
      </c>
      <c r="F3485" s="43">
        <v>139.96401133955038</v>
      </c>
      <c r="G3485" s="43">
        <v>140.74318273941651</v>
      </c>
      <c r="H3485" s="43">
        <v>141.39219404331891</v>
      </c>
      <c r="I3485" s="43">
        <v>141.91986520799514</v>
      </c>
    </row>
    <row r="3486" spans="1:9">
      <c r="A3486" s="19">
        <v>708</v>
      </c>
      <c r="B3486" s="43">
        <v>135.43923648101975</v>
      </c>
      <c r="C3486" s="43">
        <v>136.79501658331168</v>
      </c>
      <c r="D3486" s="43">
        <v>138.00371385758802</v>
      </c>
      <c r="E3486" s="43">
        <v>139.0650545162294</v>
      </c>
      <c r="F3486" s="43">
        <v>139.98241862979631</v>
      </c>
      <c r="G3486" s="43">
        <v>140.76183696992933</v>
      </c>
      <c r="H3486" s="43">
        <v>141.41109909725026</v>
      </c>
      <c r="I3486" s="43">
        <v>141.93902080169232</v>
      </c>
    </row>
    <row r="3487" spans="1:9">
      <c r="A3487" s="19">
        <v>708.1</v>
      </c>
      <c r="B3487" s="43">
        <v>135.4568022426385</v>
      </c>
      <c r="C3487" s="43">
        <v>136.81275889109327</v>
      </c>
      <c r="D3487" s="43">
        <v>138.02165916927191</v>
      </c>
      <c r="E3487" s="43">
        <v>139.08322336278621</v>
      </c>
      <c r="F3487" s="43">
        <v>140.00082551199944</v>
      </c>
      <c r="G3487" s="43">
        <v>140.78049074588517</v>
      </c>
      <c r="H3487" s="43">
        <v>141.43000365813748</v>
      </c>
      <c r="I3487" s="43">
        <v>141.95817587192636</v>
      </c>
    </row>
    <row r="3488" spans="1:9">
      <c r="A3488" s="19">
        <v>708.2</v>
      </c>
      <c r="B3488" s="43">
        <v>135.47436783617889</v>
      </c>
      <c r="C3488" s="43">
        <v>136.83050096743881</v>
      </c>
      <c r="D3488" s="43">
        <v>138.039604186453</v>
      </c>
      <c r="E3488" s="43">
        <v>139.10139185528703</v>
      </c>
      <c r="F3488" s="43">
        <v>140.01923198638508</v>
      </c>
      <c r="G3488" s="43">
        <v>140.79914406745195</v>
      </c>
      <c r="H3488" s="43">
        <v>141.44890772613837</v>
      </c>
      <c r="I3488" s="43">
        <v>141.97733041891439</v>
      </c>
    </row>
    <row r="3489" spans="1:9">
      <c r="A3489" s="19">
        <v>708.3</v>
      </c>
      <c r="B3489" s="43">
        <v>135.49193326186855</v>
      </c>
      <c r="C3489" s="43">
        <v>136.84824281254345</v>
      </c>
      <c r="D3489" s="43">
        <v>138.0575489093215</v>
      </c>
      <c r="E3489" s="43">
        <v>139.11955999389681</v>
      </c>
      <c r="F3489" s="43">
        <v>140.03763805305977</v>
      </c>
      <c r="G3489" s="43">
        <v>140.81779693487692</v>
      </c>
      <c r="H3489" s="43">
        <v>141.46781130143131</v>
      </c>
      <c r="I3489" s="43">
        <v>141.99648444276795</v>
      </c>
    </row>
    <row r="3490" spans="1:9">
      <c r="A3490" s="19">
        <v>708.4</v>
      </c>
      <c r="B3490" s="43">
        <v>135.50949851972535</v>
      </c>
      <c r="C3490" s="43">
        <v>136.86598442646095</v>
      </c>
      <c r="D3490" s="43">
        <v>138.07549333793787</v>
      </c>
      <c r="E3490" s="43">
        <v>139.13772777867115</v>
      </c>
      <c r="F3490" s="43">
        <v>140.05604371215719</v>
      </c>
      <c r="G3490" s="43">
        <v>140.83644934820171</v>
      </c>
      <c r="H3490" s="43">
        <v>141.48671438409929</v>
      </c>
      <c r="I3490" s="43">
        <v>142.01563794358287</v>
      </c>
    </row>
    <row r="3491" spans="1:9">
      <c r="A3491" s="19">
        <v>708.5</v>
      </c>
      <c r="B3491" s="43">
        <v>135.52706360990805</v>
      </c>
      <c r="C3491" s="43">
        <v>136.88372580934214</v>
      </c>
      <c r="D3491" s="43">
        <v>138.09343747252626</v>
      </c>
      <c r="E3491" s="43">
        <v>139.15589520985156</v>
      </c>
      <c r="F3491" s="43">
        <v>140.07444896391371</v>
      </c>
      <c r="G3491" s="43">
        <v>140.85510130761838</v>
      </c>
      <c r="H3491" s="43">
        <v>141.50561697434637</v>
      </c>
      <c r="I3491" s="43">
        <v>142.03479092152895</v>
      </c>
    </row>
    <row r="3492" spans="1:9">
      <c r="A3492" s="19">
        <v>708.6</v>
      </c>
      <c r="B3492" s="43">
        <v>135.54462853240221</v>
      </c>
      <c r="C3492" s="43">
        <v>136.90146696124344</v>
      </c>
      <c r="D3492" s="43">
        <v>138.11138131308348</v>
      </c>
      <c r="E3492" s="43">
        <v>139.17406228747984</v>
      </c>
      <c r="F3492" s="43">
        <v>140.09285380830755</v>
      </c>
      <c r="G3492" s="43">
        <v>140.8737528132134</v>
      </c>
      <c r="H3492" s="43">
        <v>141.52451907220183</v>
      </c>
      <c r="I3492" s="43">
        <v>142.05394337667184</v>
      </c>
    </row>
    <row r="3493" spans="1:9">
      <c r="A3493" s="19">
        <v>708.7</v>
      </c>
      <c r="B3493" s="43">
        <v>135.56219328741867</v>
      </c>
      <c r="C3493" s="43">
        <v>136.91920788235029</v>
      </c>
      <c r="D3493" s="43">
        <v>138.12932485986084</v>
      </c>
      <c r="E3493" s="43">
        <v>139.19222901177596</v>
      </c>
      <c r="F3493" s="43">
        <v>140.11125824563868</v>
      </c>
      <c r="G3493" s="43">
        <v>140.89240386520993</v>
      </c>
      <c r="H3493" s="43">
        <v>141.54342067792504</v>
      </c>
      <c r="I3493" s="43">
        <v>142.07309530921839</v>
      </c>
    </row>
    <row r="3494" spans="1:9">
      <c r="A3494" s="19">
        <v>708.8</v>
      </c>
      <c r="B3494" s="43">
        <v>135.57975787513567</v>
      </c>
      <c r="C3494" s="43">
        <v>136.93694857285061</v>
      </c>
      <c r="D3494" s="43">
        <v>138.1472681130254</v>
      </c>
      <c r="E3494" s="43">
        <v>139.21039538291967</v>
      </c>
      <c r="F3494" s="43">
        <v>140.129662276028</v>
      </c>
      <c r="G3494" s="43">
        <v>140.91105446374519</v>
      </c>
      <c r="H3494" s="43">
        <v>141.56232179159082</v>
      </c>
      <c r="I3494" s="43">
        <v>142.09224671928683</v>
      </c>
    </row>
    <row r="3495" spans="1:9">
      <c r="A3495" s="19">
        <v>708.9</v>
      </c>
      <c r="B3495" s="43">
        <v>135.59732229549843</v>
      </c>
      <c r="C3495" s="43">
        <v>136.95468903273843</v>
      </c>
      <c r="D3495" s="43">
        <v>138.16521107262668</v>
      </c>
      <c r="E3495" s="43">
        <v>139.2285614009333</v>
      </c>
      <c r="F3495" s="43">
        <v>140.14806589954367</v>
      </c>
      <c r="G3495" s="43">
        <v>140.92970460888512</v>
      </c>
      <c r="H3495" s="43">
        <v>141.58122241333962</v>
      </c>
      <c r="I3495" s="43">
        <v>142.11139760698632</v>
      </c>
    </row>
    <row r="3496" spans="1:9">
      <c r="A3496" s="19">
        <v>709</v>
      </c>
      <c r="B3496" s="43">
        <v>135.61488654864758</v>
      </c>
      <c r="C3496" s="43">
        <v>136.97242926217547</v>
      </c>
      <c r="D3496" s="43">
        <v>138.18315373880154</v>
      </c>
      <c r="E3496" s="43">
        <v>139.24672706604838</v>
      </c>
      <c r="F3496" s="43">
        <v>140.16646911642744</v>
      </c>
      <c r="G3496" s="43">
        <v>140.94835430083668</v>
      </c>
      <c r="H3496" s="43">
        <v>141.60012254332042</v>
      </c>
      <c r="I3496" s="43">
        <v>142.13054797242938</v>
      </c>
    </row>
    <row r="3497" spans="1:9">
      <c r="A3497" s="19">
        <v>709.1</v>
      </c>
      <c r="B3497" s="43">
        <v>135.63245063463029</v>
      </c>
      <c r="C3497" s="43">
        <v>136.99016926121794</v>
      </c>
      <c r="D3497" s="43">
        <v>138.2010961116485</v>
      </c>
      <c r="E3497" s="43">
        <v>139.26489237832885</v>
      </c>
      <c r="F3497" s="43">
        <v>140.18487192666709</v>
      </c>
      <c r="G3497" s="43">
        <v>140.96700353969214</v>
      </c>
      <c r="H3497" s="43">
        <v>141.61902218161549</v>
      </c>
      <c r="I3497" s="43">
        <v>142.14969781571608</v>
      </c>
    </row>
    <row r="3498" spans="1:9">
      <c r="A3498" s="19">
        <v>709.2</v>
      </c>
      <c r="B3498" s="43">
        <v>135.6500145536973</v>
      </c>
      <c r="C3498" s="43">
        <v>137.00790903011699</v>
      </c>
      <c r="D3498" s="43">
        <v>138.2190381913835</v>
      </c>
      <c r="E3498" s="43">
        <v>139.28305733798948</v>
      </c>
      <c r="F3498" s="43">
        <v>140.20327433060135</v>
      </c>
      <c r="G3498" s="43">
        <v>140.98565232563232</v>
      </c>
      <c r="H3498" s="43">
        <v>141.63792132844708</v>
      </c>
      <c r="I3498" s="43">
        <v>142.16884713703041</v>
      </c>
    </row>
    <row r="3499" spans="1:9">
      <c r="A3499" s="19">
        <v>709.3</v>
      </c>
      <c r="B3499" s="43">
        <v>135.66757830583697</v>
      </c>
      <c r="C3499" s="43">
        <v>137.02564856891075</v>
      </c>
      <c r="D3499" s="43">
        <v>138.23697997812212</v>
      </c>
      <c r="E3499" s="43">
        <v>139.30122194515639</v>
      </c>
      <c r="F3499" s="43">
        <v>140.22167632827029</v>
      </c>
      <c r="G3499" s="43">
        <v>141.00430065883211</v>
      </c>
      <c r="H3499" s="43">
        <v>141.6568199839424</v>
      </c>
      <c r="I3499" s="43">
        <v>142.18799593650584</v>
      </c>
    </row>
    <row r="3500" spans="1:9">
      <c r="A3500" s="19">
        <v>709.4</v>
      </c>
      <c r="B3500" s="43">
        <v>135.68514189116127</v>
      </c>
      <c r="C3500" s="43">
        <v>137.04338787769234</v>
      </c>
      <c r="D3500" s="43">
        <v>138.25492147201169</v>
      </c>
      <c r="E3500" s="43">
        <v>139.31938619994997</v>
      </c>
      <c r="F3500" s="43">
        <v>140.24007791980802</v>
      </c>
      <c r="G3500" s="43">
        <v>141.02294853937366</v>
      </c>
      <c r="H3500" s="43">
        <v>141.67571814817268</v>
      </c>
      <c r="I3500" s="43">
        <v>142.20714421424981</v>
      </c>
    </row>
    <row r="3501" spans="1:9">
      <c r="A3501" s="19">
        <v>709.5</v>
      </c>
      <c r="B3501" s="43">
        <v>135.70270530978627</v>
      </c>
      <c r="C3501" s="43">
        <v>137.06112695663774</v>
      </c>
      <c r="D3501" s="43">
        <v>138.27286267309756</v>
      </c>
      <c r="E3501" s="43">
        <v>139.33755010253327</v>
      </c>
      <c r="F3501" s="43">
        <v>140.25847910542126</v>
      </c>
      <c r="G3501" s="43">
        <v>141.04159596742716</v>
      </c>
      <c r="H3501" s="43">
        <v>141.6946158213276</v>
      </c>
      <c r="I3501" s="43">
        <v>142.2262919703681</v>
      </c>
    </row>
    <row r="3502" spans="1:9">
      <c r="A3502" s="19">
        <v>709.6</v>
      </c>
      <c r="B3502" s="43">
        <v>135.72026856186784</v>
      </c>
      <c r="C3502" s="43">
        <v>137.07886580588405</v>
      </c>
      <c r="D3502" s="43">
        <v>138.29080358160655</v>
      </c>
      <c r="E3502" s="43">
        <v>139.3557136530344</v>
      </c>
      <c r="F3502" s="43">
        <v>140.27687988520859</v>
      </c>
      <c r="G3502" s="43">
        <v>141.06024294315961</v>
      </c>
      <c r="H3502" s="43">
        <v>141.71351300353706</v>
      </c>
      <c r="I3502" s="43">
        <v>142.24543920503612</v>
      </c>
    </row>
    <row r="3503" spans="1:9">
      <c r="A3503" s="19">
        <v>709.7</v>
      </c>
      <c r="B3503" s="43">
        <v>135.73783164736523</v>
      </c>
      <c r="C3503" s="43">
        <v>137.09660442549512</v>
      </c>
      <c r="D3503" s="43">
        <v>138.30874419763245</v>
      </c>
      <c r="E3503" s="43">
        <v>139.37387685161013</v>
      </c>
      <c r="F3503" s="43">
        <v>140.29528025932342</v>
      </c>
      <c r="G3503" s="43">
        <v>141.07888946665031</v>
      </c>
      <c r="H3503" s="43">
        <v>141.73240969491712</v>
      </c>
      <c r="I3503" s="43">
        <v>142.26458591833318</v>
      </c>
    </row>
    <row r="3504" spans="1:9">
      <c r="A3504" s="19">
        <v>709.8</v>
      </c>
      <c r="B3504" s="43">
        <v>135.75539456645538</v>
      </c>
      <c r="C3504" s="43">
        <v>137.11434281554148</v>
      </c>
      <c r="D3504" s="43">
        <v>138.32668452127967</v>
      </c>
      <c r="E3504" s="43">
        <v>139.39203969833068</v>
      </c>
      <c r="F3504" s="43">
        <v>140.31368022788672</v>
      </c>
      <c r="G3504" s="43">
        <v>141.09753553806166</v>
      </c>
      <c r="H3504" s="43">
        <v>141.75130589558916</v>
      </c>
      <c r="I3504" s="43">
        <v>142.28373211039155</v>
      </c>
    </row>
    <row r="3505" spans="1:9">
      <c r="A3505" s="19">
        <v>709.9</v>
      </c>
      <c r="B3505" s="43">
        <v>135.77295731935487</v>
      </c>
      <c r="C3505" s="43">
        <v>137.13208097630655</v>
      </c>
      <c r="D3505" s="43">
        <v>138.34462455278646</v>
      </c>
      <c r="E3505" s="43">
        <v>139.41020219349696</v>
      </c>
      <c r="F3505" s="43">
        <v>140.33207979111489</v>
      </c>
      <c r="G3505" s="43">
        <v>141.11618115761797</v>
      </c>
      <c r="H3505" s="43">
        <v>141.77020160578945</v>
      </c>
      <c r="I3505" s="43">
        <v>142.3028777813899</v>
      </c>
    </row>
    <row r="3506" spans="1:9">
      <c r="A3506" s="19">
        <v>710</v>
      </c>
      <c r="B3506" s="43">
        <v>135.78741578706024</v>
      </c>
      <c r="C3506" s="43">
        <v>137.14592357877319</v>
      </c>
      <c r="D3506" s="43">
        <v>138.35801100666026</v>
      </c>
      <c r="E3506" s="43">
        <v>139.42330187321028</v>
      </c>
      <c r="F3506" s="43">
        <v>140.34506107823677</v>
      </c>
      <c r="G3506" s="43">
        <v>141.12920393621857</v>
      </c>
      <c r="H3506" s="43">
        <v>141.78341257840623</v>
      </c>
      <c r="I3506" s="43">
        <v>142.31640803222319</v>
      </c>
    </row>
    <row r="3507" spans="1:9">
      <c r="A3507" s="19">
        <v>710.1</v>
      </c>
      <c r="B3507" s="43">
        <v>135.80188024897757</v>
      </c>
      <c r="C3507" s="43">
        <v>137.15977208772506</v>
      </c>
      <c r="D3507" s="43">
        <v>138.3714028745527</v>
      </c>
      <c r="E3507" s="43">
        <v>139.43640612778989</v>
      </c>
      <c r="F3507" s="43">
        <v>140.35804582806259</v>
      </c>
      <c r="G3507" s="43">
        <v>141.14222886969242</v>
      </c>
      <c r="H3507" s="43">
        <v>141.79662427462591</v>
      </c>
      <c r="I3507" s="43">
        <v>142.32993751460492</v>
      </c>
    </row>
    <row r="3508" spans="1:9">
      <c r="A3508" s="19">
        <v>710.2</v>
      </c>
      <c r="B3508" s="43">
        <v>135.81944937023599</v>
      </c>
      <c r="C3508" s="43">
        <v>137.17751629784641</v>
      </c>
      <c r="D3508" s="43">
        <v>138.38934823161446</v>
      </c>
      <c r="E3508" s="43">
        <v>139.4545729016852</v>
      </c>
      <c r="F3508" s="43">
        <v>140.37644838269148</v>
      </c>
      <c r="G3508" s="43">
        <v>141.16087602823501</v>
      </c>
      <c r="H3508" s="43">
        <v>141.81551997112462</v>
      </c>
      <c r="I3508" s="43">
        <v>142.34908157177892</v>
      </c>
    </row>
    <row r="3509" spans="1:9">
      <c r="A3509" s="19">
        <v>710.3</v>
      </c>
      <c r="B3509" s="43">
        <v>135.83701832718589</v>
      </c>
      <c r="C3509" s="43">
        <v>137.19526028164455</v>
      </c>
      <c r="D3509" s="43">
        <v>138.40729330050243</v>
      </c>
      <c r="E3509" s="43">
        <v>139.47273932895172</v>
      </c>
      <c r="F3509" s="43">
        <v>140.39485053771358</v>
      </c>
      <c r="G3509" s="43">
        <v>141.1795227411975</v>
      </c>
      <c r="H3509" s="43">
        <v>141.83441518388537</v>
      </c>
      <c r="I3509" s="43">
        <v>142.36822511495228</v>
      </c>
    </row>
    <row r="3510" spans="1:9">
      <c r="A3510" s="19">
        <v>710.4</v>
      </c>
      <c r="B3510" s="43">
        <v>135.85458711995597</v>
      </c>
      <c r="C3510" s="43">
        <v>137.21300403930377</v>
      </c>
      <c r="D3510" s="43">
        <v>138.42523808146927</v>
      </c>
      <c r="E3510" s="43">
        <v>139.49090540977068</v>
      </c>
      <c r="F3510" s="43">
        <v>140.4132522933312</v>
      </c>
      <c r="G3510" s="43">
        <v>141.19816900880119</v>
      </c>
      <c r="H3510" s="43">
        <v>141.85330991304585</v>
      </c>
      <c r="I3510" s="43">
        <v>142.38736814419673</v>
      </c>
    </row>
    <row r="3511" spans="1:9">
      <c r="A3511" s="19">
        <v>710.5</v>
      </c>
      <c r="B3511" s="43">
        <v>135.87215574843759</v>
      </c>
      <c r="C3511" s="43">
        <v>137.23074757073522</v>
      </c>
      <c r="D3511" s="43">
        <v>138.44318257445894</v>
      </c>
      <c r="E3511" s="43">
        <v>139.50907114407892</v>
      </c>
      <c r="F3511" s="43">
        <v>140.43165364951159</v>
      </c>
      <c r="G3511" s="43">
        <v>141.21681483101526</v>
      </c>
      <c r="H3511" s="43">
        <v>141.87220415861793</v>
      </c>
      <c r="I3511" s="43">
        <v>142.40651065961561</v>
      </c>
    </row>
    <row r="3512" spans="1:9">
      <c r="A3512" s="19">
        <v>710.6</v>
      </c>
      <c r="B3512" s="43">
        <v>135.88972421287031</v>
      </c>
      <c r="C3512" s="43">
        <v>137.24849087618122</v>
      </c>
      <c r="D3512" s="43">
        <v>138.46112677970456</v>
      </c>
      <c r="E3512" s="43">
        <v>139.52723653215696</v>
      </c>
      <c r="F3512" s="43">
        <v>140.45005460652425</v>
      </c>
      <c r="G3512" s="43">
        <v>141.23546020814143</v>
      </c>
      <c r="H3512" s="43">
        <v>141.89109792088135</v>
      </c>
      <c r="I3512" s="43">
        <v>142.42565266135904</v>
      </c>
    </row>
    <row r="3513" spans="1:9">
      <c r="A3513" s="19">
        <v>710.7</v>
      </c>
      <c r="B3513" s="43">
        <v>135.90729251342782</v>
      </c>
      <c r="C3513" s="43">
        <v>137.26623395581919</v>
      </c>
      <c r="D3513" s="43">
        <v>138.47907069740751</v>
      </c>
      <c r="E3513" s="43">
        <v>139.5454015742007</v>
      </c>
      <c r="F3513" s="43">
        <v>140.46845516449173</v>
      </c>
      <c r="G3513" s="43">
        <v>141.2541051402635</v>
      </c>
      <c r="H3513" s="43">
        <v>141.90999119992648</v>
      </c>
      <c r="I3513" s="43">
        <v>142.44479414959591</v>
      </c>
    </row>
    <row r="3514" spans="1:9">
      <c r="A3514" s="19">
        <v>710.8</v>
      </c>
      <c r="B3514" s="43">
        <v>135.92486065004096</v>
      </c>
      <c r="C3514" s="43">
        <v>137.28397680967123</v>
      </c>
      <c r="D3514" s="43">
        <v>138.49701432759406</v>
      </c>
      <c r="E3514" s="43">
        <v>139.56356627022296</v>
      </c>
      <c r="F3514" s="43">
        <v>140.48685532351487</v>
      </c>
      <c r="G3514" s="43">
        <v>141.27274962751267</v>
      </c>
      <c r="H3514" s="43">
        <v>141.92888399589793</v>
      </c>
      <c r="I3514" s="43">
        <v>142.4639351243876</v>
      </c>
    </row>
    <row r="3515" spans="1:9">
      <c r="A3515" s="19">
        <v>710.9</v>
      </c>
      <c r="B3515" s="43">
        <v>135.94242862303753</v>
      </c>
      <c r="C3515" s="43">
        <v>137.30171943799928</v>
      </c>
      <c r="D3515" s="43">
        <v>138.51495767049408</v>
      </c>
      <c r="E3515" s="43">
        <v>139.58173062051134</v>
      </c>
      <c r="F3515" s="43">
        <v>140.5052550838754</v>
      </c>
      <c r="G3515" s="43">
        <v>141.29139367011157</v>
      </c>
      <c r="H3515" s="43">
        <v>141.94777630896039</v>
      </c>
      <c r="I3515" s="43">
        <v>142.4830755859798</v>
      </c>
    </row>
    <row r="3516" spans="1:9">
      <c r="A3516" s="19">
        <v>711</v>
      </c>
      <c r="B3516" s="43">
        <v>135.95999643234256</v>
      </c>
      <c r="C3516" s="43">
        <v>137.31946184076583</v>
      </c>
      <c r="D3516" s="43">
        <v>138.5329007261621</v>
      </c>
      <c r="E3516" s="43">
        <v>139.59989462509895</v>
      </c>
      <c r="F3516" s="43">
        <v>140.52365444556273</v>
      </c>
      <c r="G3516" s="43">
        <v>141.31003726810434</v>
      </c>
      <c r="H3516" s="43">
        <v>141.96666813918449</v>
      </c>
      <c r="I3516" s="43">
        <v>142.50221553436188</v>
      </c>
    </row>
    <row r="3517" spans="1:9">
      <c r="A3517" s="19">
        <v>711.1</v>
      </c>
      <c r="B3517" s="43">
        <v>135.9775640780905</v>
      </c>
      <c r="C3517" s="43">
        <v>137.33720401813594</v>
      </c>
      <c r="D3517" s="43">
        <v>138.55084349475067</v>
      </c>
      <c r="E3517" s="43">
        <v>139.61805828415407</v>
      </c>
      <c r="F3517" s="43">
        <v>140.54205340880219</v>
      </c>
      <c r="G3517" s="43">
        <v>141.32868042167485</v>
      </c>
      <c r="H3517" s="43">
        <v>141.98555948673624</v>
      </c>
      <c r="I3517" s="43">
        <v>142.52135496972744</v>
      </c>
    </row>
    <row r="3518" spans="1:9">
      <c r="A3518" s="19">
        <v>711.2</v>
      </c>
      <c r="B3518" s="43">
        <v>135.99513156047601</v>
      </c>
      <c r="C3518" s="43">
        <v>137.3549459703296</v>
      </c>
      <c r="D3518" s="43">
        <v>138.56878597646562</v>
      </c>
      <c r="E3518" s="43">
        <v>139.63622159785996</v>
      </c>
      <c r="F3518" s="43">
        <v>140.56045197376693</v>
      </c>
      <c r="G3518" s="43">
        <v>141.3473231310067</v>
      </c>
      <c r="H3518" s="43">
        <v>142.0044503518165</v>
      </c>
      <c r="I3518" s="43">
        <v>142.54049389223809</v>
      </c>
    </row>
    <row r="3519" spans="1:9">
      <c r="A3519" s="19">
        <v>711.3</v>
      </c>
      <c r="B3519" s="43">
        <v>136.01269887927458</v>
      </c>
      <c r="C3519" s="43">
        <v>137.37268769716343</v>
      </c>
      <c r="D3519" s="43">
        <v>138.58672817118156</v>
      </c>
      <c r="E3519" s="43">
        <v>139.65438456617562</v>
      </c>
      <c r="F3519" s="43">
        <v>140.57885014039277</v>
      </c>
      <c r="G3519" s="43">
        <v>141.36596539606325</v>
      </c>
      <c r="H3519" s="43">
        <v>142.02334073440409</v>
      </c>
      <c r="I3519" s="43">
        <v>142.5596323018832</v>
      </c>
    </row>
    <row r="3520" spans="1:9">
      <c r="A3520" s="19">
        <v>711.4</v>
      </c>
      <c r="B3520" s="43">
        <v>136.03026603493583</v>
      </c>
      <c r="C3520" s="43">
        <v>137.3904291990217</v>
      </c>
      <c r="D3520" s="43">
        <v>138.60467007927912</v>
      </c>
      <c r="E3520" s="43">
        <v>139.6725471894099</v>
      </c>
      <c r="F3520" s="43">
        <v>140.59724790906364</v>
      </c>
      <c r="G3520" s="43">
        <v>141.38460721716808</v>
      </c>
      <c r="H3520" s="43">
        <v>142.04223063476246</v>
      </c>
      <c r="I3520" s="43">
        <v>142.57877019893721</v>
      </c>
    </row>
    <row r="3521" spans="1:9">
      <c r="A3521" s="19">
        <v>711.5</v>
      </c>
      <c r="B3521" s="43">
        <v>136.04783302760251</v>
      </c>
      <c r="C3521" s="43">
        <v>137.40817047615332</v>
      </c>
      <c r="D3521" s="43">
        <v>138.62261170099225</v>
      </c>
      <c r="E3521" s="43">
        <v>139.69070946783324</v>
      </c>
      <c r="F3521" s="43">
        <v>140.61564527990384</v>
      </c>
      <c r="G3521" s="43">
        <v>141.40324859452079</v>
      </c>
      <c r="H3521" s="43">
        <v>142.06112005308171</v>
      </c>
      <c r="I3521" s="43">
        <v>142.59790758354052</v>
      </c>
    </row>
    <row r="3522" spans="1:9">
      <c r="A3522" s="19">
        <v>711.6</v>
      </c>
      <c r="B3522" s="43">
        <v>136.06539985692507</v>
      </c>
      <c r="C3522" s="43">
        <v>137.42591152824525</v>
      </c>
      <c r="D3522" s="43">
        <v>138.64055303605932</v>
      </c>
      <c r="E3522" s="43">
        <v>139.70887140122323</v>
      </c>
      <c r="F3522" s="43">
        <v>140.63404225290424</v>
      </c>
      <c r="G3522" s="43">
        <v>141.42188952803133</v>
      </c>
      <c r="H3522" s="43">
        <v>142.08000898928123</v>
      </c>
      <c r="I3522" s="43">
        <v>142.61704445566369</v>
      </c>
    </row>
    <row r="3523" spans="1:9">
      <c r="A3523" s="19">
        <v>711.7</v>
      </c>
      <c r="B3523" s="43">
        <v>136.08296652342858</v>
      </c>
      <c r="C3523" s="43">
        <v>137.44365235573576</v>
      </c>
      <c r="D3523" s="43">
        <v>138.65849408493813</v>
      </c>
      <c r="E3523" s="43">
        <v>139.72703298997914</v>
      </c>
      <c r="F3523" s="43">
        <v>140.65243882828224</v>
      </c>
      <c r="G3523" s="43">
        <v>141.44053001798136</v>
      </c>
      <c r="H3523" s="43">
        <v>142.09889744370105</v>
      </c>
      <c r="I3523" s="43">
        <v>142.63618081555251</v>
      </c>
    </row>
    <row r="3524" spans="1:9">
      <c r="A3524" s="19">
        <v>711.8</v>
      </c>
      <c r="B3524" s="43">
        <v>136.10053302704318</v>
      </c>
      <c r="C3524" s="43">
        <v>137.46139295861644</v>
      </c>
      <c r="D3524" s="43">
        <v>138.6764348476043</v>
      </c>
      <c r="E3524" s="43">
        <v>139.74519423417161</v>
      </c>
      <c r="F3524" s="43">
        <v>140.67083500617775</v>
      </c>
      <c r="G3524" s="43">
        <v>141.45917006449412</v>
      </c>
      <c r="H3524" s="43">
        <v>142.11778541636471</v>
      </c>
      <c r="I3524" s="43">
        <v>142.65531666329321</v>
      </c>
    </row>
    <row r="3525" spans="1:9">
      <c r="A3525" s="19">
        <v>711.9</v>
      </c>
      <c r="B3525" s="43">
        <v>136.11809936784158</v>
      </c>
      <c r="C3525" s="43">
        <v>137.47913333702309</v>
      </c>
      <c r="D3525" s="43">
        <v>138.69437532423126</v>
      </c>
      <c r="E3525" s="43">
        <v>139.76335513391768</v>
      </c>
      <c r="F3525" s="43">
        <v>140.68923078673845</v>
      </c>
      <c r="G3525" s="43">
        <v>141.47780966770489</v>
      </c>
      <c r="H3525" s="43">
        <v>142.13667290744348</v>
      </c>
      <c r="I3525" s="43">
        <v>142.67445199902704</v>
      </c>
    </row>
    <row r="3526" spans="1:9">
      <c r="A3526" s="19">
        <v>712</v>
      </c>
      <c r="B3526" s="43">
        <v>136.1356655459781</v>
      </c>
      <c r="C3526" s="43">
        <v>137.49687349111053</v>
      </c>
      <c r="D3526" s="43">
        <v>138.71231551494947</v>
      </c>
      <c r="E3526" s="43">
        <v>139.78151568938972</v>
      </c>
      <c r="F3526" s="43">
        <v>140.70762617011781</v>
      </c>
      <c r="G3526" s="43">
        <v>141.49644882774328</v>
      </c>
      <c r="H3526" s="43">
        <v>142.15555991707879</v>
      </c>
      <c r="I3526" s="43">
        <v>142.6935868228926</v>
      </c>
    </row>
    <row r="3527" spans="1:9">
      <c r="A3527" s="19">
        <v>712.1</v>
      </c>
      <c r="B3527" s="43">
        <v>136.15323156156387</v>
      </c>
      <c r="C3527" s="43">
        <v>137.51461342098088</v>
      </c>
      <c r="D3527" s="43">
        <v>138.7302554199278</v>
      </c>
      <c r="E3527" s="43">
        <v>139.79967590073983</v>
      </c>
      <c r="F3527" s="43">
        <v>140.72602115645668</v>
      </c>
      <c r="G3527" s="43">
        <v>141.51508754478039</v>
      </c>
      <c r="H3527" s="43">
        <v>142.174446445434</v>
      </c>
      <c r="I3527" s="43">
        <v>142.71272113502408</v>
      </c>
    </row>
    <row r="3528" spans="1:9">
      <c r="A3528" s="19">
        <v>712.2</v>
      </c>
      <c r="B3528" s="43">
        <v>136.17079741470786</v>
      </c>
      <c r="C3528" s="43">
        <v>137.53235312675537</v>
      </c>
      <c r="D3528" s="43">
        <v>138.74819503927927</v>
      </c>
      <c r="E3528" s="43">
        <v>139.81783576810489</v>
      </c>
      <c r="F3528" s="43">
        <v>140.74441574594249</v>
      </c>
      <c r="G3528" s="43">
        <v>141.53372581896389</v>
      </c>
      <c r="H3528" s="43">
        <v>142.19333249261325</v>
      </c>
      <c r="I3528" s="43">
        <v>142.73185493553194</v>
      </c>
    </row>
    <row r="3529" spans="1:9">
      <c r="A3529" s="19">
        <v>712.3</v>
      </c>
      <c r="B3529" s="43">
        <v>136.18836310555474</v>
      </c>
      <c r="C3529" s="43">
        <v>137.55009260862897</v>
      </c>
      <c r="D3529" s="43">
        <v>138.7661343731852</v>
      </c>
      <c r="E3529" s="43">
        <v>139.8359952916631</v>
      </c>
      <c r="F3529" s="43">
        <v>140.76280993869108</v>
      </c>
      <c r="G3529" s="43">
        <v>141.55236365048046</v>
      </c>
      <c r="H3529" s="43">
        <v>142.21221805881544</v>
      </c>
      <c r="I3529" s="43">
        <v>142.75098822458591</v>
      </c>
    </row>
    <row r="3530" spans="1:9">
      <c r="A3530" s="19">
        <v>712.4</v>
      </c>
      <c r="B3530" s="43">
        <v>136.20592863389862</v>
      </c>
      <c r="C3530" s="43">
        <v>137.56783186638899</v>
      </c>
      <c r="D3530" s="43">
        <v>138.78407342152377</v>
      </c>
      <c r="E3530" s="43">
        <v>139.85415447133852</v>
      </c>
      <c r="F3530" s="43">
        <v>140.78120373467334</v>
      </c>
      <c r="G3530" s="43">
        <v>141.57100103923176</v>
      </c>
      <c r="H3530" s="43">
        <v>142.23110314395899</v>
      </c>
      <c r="I3530" s="43">
        <v>142.77012100215074</v>
      </c>
    </row>
    <row r="3531" spans="1:9">
      <c r="A3531" s="19">
        <v>712.5</v>
      </c>
      <c r="B3531" s="43">
        <v>136.22349400016361</v>
      </c>
      <c r="C3531" s="43">
        <v>137.58557090057104</v>
      </c>
      <c r="D3531" s="43">
        <v>138.80201218470273</v>
      </c>
      <c r="E3531" s="43">
        <v>139.87231330750421</v>
      </c>
      <c r="F3531" s="43">
        <v>140.79959713428377</v>
      </c>
      <c r="G3531" s="43">
        <v>141.58963798564054</v>
      </c>
      <c r="H3531" s="43">
        <v>142.24998774843527</v>
      </c>
      <c r="I3531" s="43">
        <v>142.78925326854221</v>
      </c>
    </row>
    <row r="3532" spans="1:9">
      <c r="A3532" s="19">
        <v>712.6</v>
      </c>
      <c r="B3532" s="43">
        <v>136.24105920432049</v>
      </c>
      <c r="C3532" s="43">
        <v>137.60330971102246</v>
      </c>
      <c r="D3532" s="43">
        <v>138.81995066272833</v>
      </c>
      <c r="E3532" s="43">
        <v>139.8904718002039</v>
      </c>
      <c r="F3532" s="43">
        <v>140.81799013753073</v>
      </c>
      <c r="G3532" s="43">
        <v>141.60827448972196</v>
      </c>
      <c r="H3532" s="43">
        <v>142.26887187225827</v>
      </c>
      <c r="I3532" s="43">
        <v>142.80838502381425</v>
      </c>
    </row>
    <row r="3533" spans="1:9">
      <c r="A3533" s="19">
        <v>712.7</v>
      </c>
      <c r="B3533" s="43">
        <v>136.25862424649443</v>
      </c>
      <c r="C3533" s="43">
        <v>137.62104829794185</v>
      </c>
      <c r="D3533" s="43">
        <v>138.83788885578974</v>
      </c>
      <c r="E3533" s="43">
        <v>139.90862994957814</v>
      </c>
      <c r="F3533" s="43">
        <v>140.83638274456069</v>
      </c>
      <c r="G3533" s="43">
        <v>141.6269105516073</v>
      </c>
      <c r="H3533" s="43">
        <v>142.28775551557487</v>
      </c>
      <c r="I3533" s="43">
        <v>142.82751626810631</v>
      </c>
    </row>
    <row r="3534" spans="1:9">
      <c r="A3534" s="19">
        <v>712.8</v>
      </c>
      <c r="B3534" s="43">
        <v>136.27618912682453</v>
      </c>
      <c r="C3534" s="43">
        <v>137.63878666150021</v>
      </c>
      <c r="D3534" s="43">
        <v>138.85582676397513</v>
      </c>
      <c r="E3534" s="43">
        <v>139.92678775582931</v>
      </c>
      <c r="F3534" s="43">
        <v>140.85477495557348</v>
      </c>
      <c r="G3534" s="43">
        <v>141.64554617148019</v>
      </c>
      <c r="H3534" s="43">
        <v>142.30663867855571</v>
      </c>
      <c r="I3534" s="43">
        <v>142.84664700153371</v>
      </c>
    </row>
    <row r="3535" spans="1:9">
      <c r="A3535" s="19">
        <v>712.9</v>
      </c>
      <c r="B3535" s="43">
        <v>136.29375384530476</v>
      </c>
      <c r="C3535" s="43">
        <v>137.65652480174623</v>
      </c>
      <c r="D3535" s="43">
        <v>138.87376438741558</v>
      </c>
      <c r="E3535" s="43">
        <v>139.9449452190164</v>
      </c>
      <c r="F3535" s="43">
        <v>140.87316677067832</v>
      </c>
      <c r="G3535" s="43">
        <v>141.66418134946633</v>
      </c>
      <c r="H3535" s="43">
        <v>142.32552136130084</v>
      </c>
      <c r="I3535" s="43">
        <v>142.86577722422072</v>
      </c>
    </row>
    <row r="3536" spans="1:9">
      <c r="A3536" s="19">
        <v>713</v>
      </c>
      <c r="B3536" s="43">
        <v>136.31131840217319</v>
      </c>
      <c r="C3536" s="43">
        <v>137.67426271886274</v>
      </c>
      <c r="D3536" s="43">
        <v>138.89170172632424</v>
      </c>
      <c r="E3536" s="43">
        <v>139.96310233936896</v>
      </c>
      <c r="F3536" s="43">
        <v>140.89155819003622</v>
      </c>
      <c r="G3536" s="43">
        <v>141.68281608576029</v>
      </c>
      <c r="H3536" s="43">
        <v>142.34440356399131</v>
      </c>
      <c r="I3536" s="43">
        <v>142.88490693631587</v>
      </c>
    </row>
    <row r="3537" spans="1:9">
      <c r="A3537" s="19">
        <v>713.1</v>
      </c>
      <c r="B3537" s="43">
        <v>136.32888279741451</v>
      </c>
      <c r="C3537" s="43">
        <v>137.69200041286382</v>
      </c>
      <c r="D3537" s="43">
        <v>138.90963878074825</v>
      </c>
      <c r="E3537" s="43">
        <v>139.98125911695348</v>
      </c>
      <c r="F3537" s="43">
        <v>140.90994921379593</v>
      </c>
      <c r="G3537" s="43">
        <v>141.70145038042028</v>
      </c>
      <c r="H3537" s="43">
        <v>142.36328528671805</v>
      </c>
      <c r="I3537" s="43">
        <v>142.90403613796946</v>
      </c>
    </row>
    <row r="3538" spans="1:9">
      <c r="A3538" s="19">
        <v>713.2</v>
      </c>
      <c r="B3538" s="43">
        <v>136.34644703098365</v>
      </c>
      <c r="C3538" s="43">
        <v>137.70973788379536</v>
      </c>
      <c r="D3538" s="43">
        <v>138.92757555066464</v>
      </c>
      <c r="E3538" s="43">
        <v>139.99941555176008</v>
      </c>
      <c r="F3538" s="43">
        <v>140.9283398419343</v>
      </c>
      <c r="G3538" s="43">
        <v>141.72008423351303</v>
      </c>
      <c r="H3538" s="43">
        <v>142.38216652952343</v>
      </c>
      <c r="I3538" s="43">
        <v>142.92316482914492</v>
      </c>
    </row>
    <row r="3539" spans="1:9">
      <c r="A3539" s="19">
        <v>713.3</v>
      </c>
      <c r="B3539" s="43">
        <v>136.36401110321225</v>
      </c>
      <c r="C3539" s="43">
        <v>137.72747513195685</v>
      </c>
      <c r="D3539" s="43">
        <v>138.94551203644068</v>
      </c>
      <c r="E3539" s="43">
        <v>140.01757164418524</v>
      </c>
      <c r="F3539" s="43">
        <v>140.94673007478286</v>
      </c>
      <c r="G3539" s="43">
        <v>141.73871764532532</v>
      </c>
      <c r="H3539" s="43">
        <v>142.40104729269092</v>
      </c>
      <c r="I3539" s="43">
        <v>142.94229301016975</v>
      </c>
    </row>
    <row r="3540" spans="1:9">
      <c r="A3540" s="19">
        <v>713.4</v>
      </c>
      <c r="B3540" s="43">
        <v>136.38157501424348</v>
      </c>
      <c r="C3540" s="43">
        <v>137.7452121575127</v>
      </c>
      <c r="D3540" s="43">
        <v>138.96344823822642</v>
      </c>
      <c r="E3540" s="43">
        <v>140.03572739431462</v>
      </c>
      <c r="F3540" s="43">
        <v>140.96511991251151</v>
      </c>
      <c r="G3540" s="43">
        <v>141.75735061600517</v>
      </c>
      <c r="H3540" s="43">
        <v>142.41992757639309</v>
      </c>
      <c r="I3540" s="43">
        <v>142.96142068111402</v>
      </c>
    </row>
    <row r="3541" spans="1:9">
      <c r="A3541" s="19">
        <v>713.5</v>
      </c>
      <c r="B3541" s="43">
        <v>136.39913876400453</v>
      </c>
      <c r="C3541" s="43">
        <v>137.76294896036126</v>
      </c>
      <c r="D3541" s="43">
        <v>138.9813841559959</v>
      </c>
      <c r="E3541" s="43">
        <v>140.05388280225083</v>
      </c>
      <c r="F3541" s="43">
        <v>140.98350935516078</v>
      </c>
      <c r="G3541" s="43">
        <v>141.77598314563801</v>
      </c>
      <c r="H3541" s="43">
        <v>142.43880738061017</v>
      </c>
      <c r="I3541" s="43">
        <v>142.98054784208983</v>
      </c>
    </row>
    <row r="3542" spans="1:9">
      <c r="A3542" s="19">
        <v>713.6</v>
      </c>
      <c r="B3542" s="43">
        <v>136.41670235265696</v>
      </c>
      <c r="C3542" s="43">
        <v>137.78068554073968</v>
      </c>
      <c r="D3542" s="43">
        <v>138.99931978994175</v>
      </c>
      <c r="E3542" s="43">
        <v>140.07203786807605</v>
      </c>
      <c r="F3542" s="43">
        <v>141.00189840286163</v>
      </c>
      <c r="G3542" s="43">
        <v>141.79461523433127</v>
      </c>
      <c r="H3542" s="43">
        <v>142.45768670558192</v>
      </c>
      <c r="I3542" s="43">
        <v>142.99967449319604</v>
      </c>
    </row>
    <row r="3543" spans="1:9">
      <c r="A3543" s="19">
        <v>713.7</v>
      </c>
      <c r="B3543" s="43">
        <v>136.43426578025498</v>
      </c>
      <c r="C3543" s="43">
        <v>137.79842189872869</v>
      </c>
      <c r="D3543" s="43">
        <v>139.01725514014754</v>
      </c>
      <c r="E3543" s="43">
        <v>140.09019259195532</v>
      </c>
      <c r="F3543" s="43">
        <v>141.02028705580051</v>
      </c>
      <c r="G3543" s="43">
        <v>141.81324688227619</v>
      </c>
      <c r="H3543" s="43">
        <v>142.47656555140424</v>
      </c>
      <c r="I3543" s="43">
        <v>143.01880063458452</v>
      </c>
    </row>
    <row r="3544" spans="1:9">
      <c r="A3544" s="19">
        <v>713.8</v>
      </c>
      <c r="B3544" s="43">
        <v>136.45182904692581</v>
      </c>
      <c r="C3544" s="43">
        <v>137.81615803441792</v>
      </c>
      <c r="D3544" s="43">
        <v>139.03519020679568</v>
      </c>
      <c r="E3544" s="43">
        <v>140.10834697403396</v>
      </c>
      <c r="F3544" s="43">
        <v>141.03867531408292</v>
      </c>
      <c r="G3544" s="43">
        <v>141.83187808958013</v>
      </c>
      <c r="H3544" s="43">
        <v>142.49544391817687</v>
      </c>
      <c r="I3544" s="43">
        <v>143.037926266375</v>
      </c>
    </row>
    <row r="3545" spans="1:9">
      <c r="A3545" s="19">
        <v>713.9</v>
      </c>
      <c r="B3545" s="43">
        <v>136.46939215287892</v>
      </c>
      <c r="C3545" s="43">
        <v>137.83389394811712</v>
      </c>
      <c r="D3545" s="43">
        <v>139.05312499013536</v>
      </c>
      <c r="E3545" s="43">
        <v>140.12650101460378</v>
      </c>
      <c r="F3545" s="43">
        <v>141.05706317798121</v>
      </c>
      <c r="G3545" s="43">
        <v>141.8505088564728</v>
      </c>
      <c r="H3545" s="43">
        <v>142.51432180619702</v>
      </c>
      <c r="I3545" s="43">
        <v>143.0570513887937</v>
      </c>
    </row>
    <row r="3546" spans="1:9">
      <c r="A3546" s="19">
        <v>714</v>
      </c>
      <c r="B3546" s="43">
        <v>136.48695509802093</v>
      </c>
      <c r="C3546" s="43">
        <v>137.85162963969776</v>
      </c>
      <c r="D3546" s="43">
        <v>139.0710594900055</v>
      </c>
      <c r="E3546" s="43">
        <v>140.14465471351104</v>
      </c>
      <c r="F3546" s="43">
        <v>141.07545064739588</v>
      </c>
      <c r="G3546" s="43">
        <v>141.86913918293652</v>
      </c>
      <c r="H3546" s="43">
        <v>142.5331992153686</v>
      </c>
      <c r="I3546" s="43">
        <v>143.07617600177639</v>
      </c>
    </row>
    <row r="3547" spans="1:9">
      <c r="A3547" s="19">
        <v>714.1</v>
      </c>
      <c r="B3547" s="43">
        <v>136.5045178824405</v>
      </c>
      <c r="C3547" s="43">
        <v>137.86936510927325</v>
      </c>
      <c r="D3547" s="43">
        <v>139.08899370674476</v>
      </c>
      <c r="E3547" s="43">
        <v>140.16280807105983</v>
      </c>
      <c r="F3547" s="43">
        <v>141.09383772265568</v>
      </c>
      <c r="G3547" s="43">
        <v>141.88776906920612</v>
      </c>
      <c r="H3547" s="43">
        <v>142.55207614599453</v>
      </c>
      <c r="I3547" s="43">
        <v>143.09530010557336</v>
      </c>
    </row>
    <row r="3548" spans="1:9">
      <c r="A3548" s="19">
        <v>714.2</v>
      </c>
      <c r="B3548" s="43">
        <v>136.52208050656765</v>
      </c>
      <c r="C3548" s="43">
        <v>137.88710035729872</v>
      </c>
      <c r="D3548" s="43">
        <v>139.10692764052749</v>
      </c>
      <c r="E3548" s="43">
        <v>140.18096108751587</v>
      </c>
      <c r="F3548" s="43">
        <v>141.11222440394181</v>
      </c>
      <c r="G3548" s="43">
        <v>141.90639851551873</v>
      </c>
      <c r="H3548" s="43">
        <v>142.57095259819533</v>
      </c>
      <c r="I3548" s="43">
        <v>143.11442370036019</v>
      </c>
    </row>
    <row r="3549" spans="1:9">
      <c r="A3549" s="19">
        <v>714.3</v>
      </c>
      <c r="B3549" s="43">
        <v>136.53964296994798</v>
      </c>
      <c r="C3549" s="43">
        <v>137.90483538332296</v>
      </c>
      <c r="D3549" s="43">
        <v>139.12486129120623</v>
      </c>
      <c r="E3549" s="43">
        <v>140.19911376267021</v>
      </c>
      <c r="F3549" s="43">
        <v>141.13061069113451</v>
      </c>
      <c r="G3549" s="43">
        <v>141.92502752177001</v>
      </c>
      <c r="H3549" s="43">
        <v>142.58982857193195</v>
      </c>
      <c r="I3549" s="43">
        <v>143.1335467860651</v>
      </c>
    </row>
    <row r="3550" spans="1:9">
      <c r="A3550" s="19">
        <v>714.4</v>
      </c>
      <c r="B3550" s="43">
        <v>136.55720527313014</v>
      </c>
      <c r="C3550" s="43">
        <v>137.9225701879426</v>
      </c>
      <c r="D3550" s="43">
        <v>139.1427946591661</v>
      </c>
      <c r="E3550" s="43">
        <v>140.2172660969469</v>
      </c>
      <c r="F3550" s="43">
        <v>141.14899658462156</v>
      </c>
      <c r="G3550" s="43">
        <v>141.94365608829531</v>
      </c>
      <c r="H3550" s="43">
        <v>142.60870406752866</v>
      </c>
      <c r="I3550" s="43">
        <v>143.15266936301236</v>
      </c>
    </row>
    <row r="3551" spans="1:9">
      <c r="A3551" s="19">
        <v>714.5</v>
      </c>
      <c r="B3551" s="43">
        <v>136.57476741610549</v>
      </c>
      <c r="C3551" s="43">
        <v>137.94030477111517</v>
      </c>
      <c r="D3551" s="43">
        <v>139.16072774450674</v>
      </c>
      <c r="E3551" s="43">
        <v>140.23541809044036</v>
      </c>
      <c r="F3551" s="43">
        <v>141.16738208450312</v>
      </c>
      <c r="G3551" s="43">
        <v>141.96228421520499</v>
      </c>
      <c r="H3551" s="43">
        <v>142.62757908511099</v>
      </c>
      <c r="I3551" s="43">
        <v>143.17179143127686</v>
      </c>
    </row>
    <row r="3552" spans="1:9">
      <c r="A3552" s="19">
        <v>714.6</v>
      </c>
      <c r="B3552" s="43">
        <v>136.59232939881139</v>
      </c>
      <c r="C3552" s="43">
        <v>137.95803913285681</v>
      </c>
      <c r="D3552" s="43">
        <v>139.1786605472376</v>
      </c>
      <c r="E3552" s="43">
        <v>140.2535697431702</v>
      </c>
      <c r="F3552" s="43">
        <v>141.1857671908196</v>
      </c>
      <c r="G3552" s="43">
        <v>141.98091190257378</v>
      </c>
      <c r="H3552" s="43">
        <v>142.64645362474107</v>
      </c>
      <c r="I3552" s="43">
        <v>143.19091299092298</v>
      </c>
    </row>
    <row r="3553" spans="1:9">
      <c r="A3553" s="19">
        <v>714.7</v>
      </c>
      <c r="B3553" s="43">
        <v>136.60989122156707</v>
      </c>
      <c r="C3553" s="43">
        <v>137.97577327346761</v>
      </c>
      <c r="D3553" s="43">
        <v>139.19659306763577</v>
      </c>
      <c r="E3553" s="43">
        <v>140.2717210554361</v>
      </c>
      <c r="F3553" s="43">
        <v>141.20415190383181</v>
      </c>
      <c r="G3553" s="43">
        <v>141.99953915059348</v>
      </c>
      <c r="H3553" s="43">
        <v>142.66532768658692</v>
      </c>
      <c r="I3553" s="43">
        <v>143.21003404216083</v>
      </c>
    </row>
    <row r="3554" spans="1:9">
      <c r="A3554" s="19">
        <v>714.8</v>
      </c>
      <c r="B3554" s="43">
        <v>136.62745288431984</v>
      </c>
      <c r="C3554" s="43">
        <v>137.99350719294517</v>
      </c>
      <c r="D3554" s="43">
        <v>139.21452530569451</v>
      </c>
      <c r="E3554" s="43">
        <v>140.28987202723749</v>
      </c>
      <c r="F3554" s="43">
        <v>141.22253622359142</v>
      </c>
      <c r="G3554" s="43">
        <v>142.01816595943058</v>
      </c>
      <c r="H3554" s="43">
        <v>142.6842012707915</v>
      </c>
      <c r="I3554" s="43">
        <v>143.22915458506196</v>
      </c>
    </row>
    <row r="3555" spans="1:9">
      <c r="A3555" s="19">
        <v>714.9</v>
      </c>
      <c r="B3555" s="43">
        <v>136.64501438726478</v>
      </c>
      <c r="C3555" s="43">
        <v>138.01124089147135</v>
      </c>
      <c r="D3555" s="43">
        <v>139.23245726165919</v>
      </c>
      <c r="E3555" s="43">
        <v>140.30802265877639</v>
      </c>
      <c r="F3555" s="43">
        <v>141.24092015031874</v>
      </c>
      <c r="G3555" s="43">
        <v>142.03679232919677</v>
      </c>
      <c r="H3555" s="43">
        <v>142.70307437747914</v>
      </c>
      <c r="I3555" s="43">
        <v>143.24827461978413</v>
      </c>
    </row>
    <row r="3556" spans="1:9">
      <c r="A3556" s="19">
        <v>715</v>
      </c>
      <c r="B3556" s="43">
        <v>136.66257573055685</v>
      </c>
      <c r="C3556" s="43">
        <v>138.028974369232</v>
      </c>
      <c r="D3556" s="43">
        <v>139.25038893572952</v>
      </c>
      <c r="E3556" s="43">
        <v>140.32617295034231</v>
      </c>
      <c r="F3556" s="43">
        <v>141.2593036841975</v>
      </c>
      <c r="G3556" s="43">
        <v>142.05541826006089</v>
      </c>
      <c r="H3556" s="43">
        <v>142.72194700686521</v>
      </c>
      <c r="I3556" s="43">
        <v>143.26739414650444</v>
      </c>
    </row>
    <row r="3557" spans="1:9">
      <c r="A3557" s="19">
        <v>715.1</v>
      </c>
      <c r="B3557" s="43">
        <v>136.68013691387847</v>
      </c>
      <c r="C3557" s="43">
        <v>138.04670762587352</v>
      </c>
      <c r="D3557" s="43">
        <v>139.26832032760279</v>
      </c>
      <c r="E3557" s="43">
        <v>140.34432290164131</v>
      </c>
      <c r="F3557" s="43">
        <v>141.27768682505501</v>
      </c>
      <c r="G3557" s="43">
        <v>142.07404375196035</v>
      </c>
      <c r="H3557" s="43">
        <v>142.74081915881823</v>
      </c>
      <c r="I3557" s="43">
        <v>143.28651316514623</v>
      </c>
    </row>
    <row r="3558" spans="1:9">
      <c r="A3558" s="19">
        <v>715.2</v>
      </c>
      <c r="B3558" s="43">
        <v>136.69769793777431</v>
      </c>
      <c r="C3558" s="43">
        <v>138.06444066208547</v>
      </c>
      <c r="D3558" s="43">
        <v>139.28625143786701</v>
      </c>
      <c r="E3558" s="43">
        <v>140.36247251320577</v>
      </c>
      <c r="F3558" s="43">
        <v>141.29606957341497</v>
      </c>
      <c r="G3558" s="43">
        <v>142.09266880532573</v>
      </c>
      <c r="H3558" s="43">
        <v>142.75969083377851</v>
      </c>
      <c r="I3558" s="43">
        <v>143.30563167605658</v>
      </c>
    </row>
    <row r="3559" spans="1:9">
      <c r="A3559" s="19">
        <v>715.3</v>
      </c>
      <c r="B3559" s="43">
        <v>136.71525880213284</v>
      </c>
      <c r="C3559" s="43">
        <v>138.08217347771836</v>
      </c>
      <c r="D3559" s="43">
        <v>139.30418226648874</v>
      </c>
      <c r="E3559" s="43">
        <v>140.38062178501127</v>
      </c>
      <c r="F3559" s="43">
        <v>141.31445192919261</v>
      </c>
      <c r="G3559" s="43">
        <v>142.11129342013817</v>
      </c>
      <c r="H3559" s="43">
        <v>142.77856203171626</v>
      </c>
      <c r="I3559" s="43">
        <v>143.32474967926106</v>
      </c>
    </row>
    <row r="3560" spans="1:9">
      <c r="A3560" s="19">
        <v>715.4</v>
      </c>
      <c r="B3560" s="43">
        <v>136.73281950723072</v>
      </c>
      <c r="C3560" s="43">
        <v>138.09990607299886</v>
      </c>
      <c r="D3560" s="43">
        <v>139.32211281364243</v>
      </c>
      <c r="E3560" s="43">
        <v>140.39877071731041</v>
      </c>
      <c r="F3560" s="43">
        <v>141.33283389269587</v>
      </c>
      <c r="G3560" s="43">
        <v>142.12991759662475</v>
      </c>
      <c r="H3560" s="43">
        <v>142.79743275286779</v>
      </c>
      <c r="I3560" s="43">
        <v>143.34386717492021</v>
      </c>
    </row>
    <row r="3561" spans="1:9">
      <c r="A3561" s="19">
        <v>715.5</v>
      </c>
      <c r="B3561" s="43">
        <v>136.75038005302821</v>
      </c>
      <c r="C3561" s="43">
        <v>138.11763844797224</v>
      </c>
      <c r="D3561" s="43">
        <v>139.34004307943133</v>
      </c>
      <c r="E3561" s="43">
        <v>140.4169193101709</v>
      </c>
      <c r="F3561" s="43">
        <v>141.35121546394134</v>
      </c>
      <c r="G3561" s="43">
        <v>142.14854133487233</v>
      </c>
      <c r="H3561" s="43">
        <v>142.81630299729073</v>
      </c>
      <c r="I3561" s="43">
        <v>143.36298416320994</v>
      </c>
    </row>
    <row r="3562" spans="1:9">
      <c r="A3562" s="19">
        <v>715.6</v>
      </c>
      <c r="B3562" s="43">
        <v>136.76794043955982</v>
      </c>
      <c r="C3562" s="43">
        <v>138.13537060268874</v>
      </c>
      <c r="D3562" s="43">
        <v>139.35797306394329</v>
      </c>
      <c r="E3562" s="43">
        <v>140.43506756364894</v>
      </c>
      <c r="F3562" s="43">
        <v>141.36959664308688</v>
      </c>
      <c r="G3562" s="43">
        <v>142.16716463497102</v>
      </c>
      <c r="H3562" s="43">
        <v>142.835172765133</v>
      </c>
      <c r="I3562" s="43">
        <v>143.38210064412601</v>
      </c>
    </row>
    <row r="3563" spans="1:9">
      <c r="A3563" s="19">
        <v>715.7</v>
      </c>
      <c r="B3563" s="43">
        <v>136.78550066698813</v>
      </c>
      <c r="C3563" s="43">
        <v>138.15310253731707</v>
      </c>
      <c r="D3563" s="43">
        <v>139.37590276727047</v>
      </c>
      <c r="E3563" s="43">
        <v>140.45321547794094</v>
      </c>
      <c r="F3563" s="43">
        <v>141.38797743025839</v>
      </c>
      <c r="G3563" s="43">
        <v>142.18578749712441</v>
      </c>
      <c r="H3563" s="43">
        <v>142.85404205653276</v>
      </c>
      <c r="I3563" s="43">
        <v>143.40121661784525</v>
      </c>
    </row>
    <row r="3564" spans="1:9">
      <c r="A3564" s="19">
        <v>715.8</v>
      </c>
      <c r="B3564" s="43">
        <v>136.8030607355484</v>
      </c>
      <c r="C3564" s="43">
        <v>138.17083425209267</v>
      </c>
      <c r="D3564" s="43">
        <v>139.39383218973518</v>
      </c>
      <c r="E3564" s="43">
        <v>140.47136305332543</v>
      </c>
      <c r="F3564" s="43">
        <v>141.40635782569581</v>
      </c>
      <c r="G3564" s="43">
        <v>142.20440992150327</v>
      </c>
      <c r="H3564" s="43">
        <v>142.87291087166557</v>
      </c>
      <c r="I3564" s="43">
        <v>143.4203320845877</v>
      </c>
    </row>
    <row r="3565" spans="1:9">
      <c r="A3565" s="19">
        <v>715.9</v>
      </c>
      <c r="B3565" s="43">
        <v>136.82062064502458</v>
      </c>
      <c r="C3565" s="43">
        <v>138.18856574685083</v>
      </c>
      <c r="D3565" s="43">
        <v>139.41176133119814</v>
      </c>
      <c r="E3565" s="43">
        <v>140.48951028967252</v>
      </c>
      <c r="F3565" s="43">
        <v>141.42473782938157</v>
      </c>
      <c r="G3565" s="43">
        <v>142.22303190812823</v>
      </c>
      <c r="H3565" s="43">
        <v>142.89177921056267</v>
      </c>
      <c r="I3565" s="43">
        <v>143.43944704433227</v>
      </c>
    </row>
    <row r="3566" spans="1:9">
      <c r="A3566" s="19">
        <v>716</v>
      </c>
      <c r="B3566" s="43">
        <v>136.83818039585265</v>
      </c>
      <c r="C3566" s="43">
        <v>138.20629702199852</v>
      </c>
      <c r="D3566" s="43">
        <v>139.42969019202076</v>
      </c>
      <c r="E3566" s="43">
        <v>140.50765718735306</v>
      </c>
      <c r="F3566" s="43">
        <v>141.44311744160854</v>
      </c>
      <c r="G3566" s="43">
        <v>142.24165345728284</v>
      </c>
      <c r="H3566" s="43">
        <v>142.91064707348784</v>
      </c>
      <c r="I3566" s="43">
        <v>143.4585614973405</v>
      </c>
    </row>
    <row r="3567" spans="1:9">
      <c r="A3567" s="19">
        <v>716.1</v>
      </c>
      <c r="B3567" s="43">
        <v>136.85573998796815</v>
      </c>
      <c r="C3567" s="43">
        <v>138.22402807758607</v>
      </c>
      <c r="D3567" s="43">
        <v>139.44761877227666</v>
      </c>
      <c r="E3567" s="43">
        <v>140.52580374642787</v>
      </c>
      <c r="F3567" s="43">
        <v>141.46149666247487</v>
      </c>
      <c r="G3567" s="43">
        <v>142.2602745690474</v>
      </c>
      <c r="H3567" s="43">
        <v>142.92951446052939</v>
      </c>
      <c r="I3567" s="43">
        <v>143.47767544369304</v>
      </c>
    </row>
    <row r="3568" spans="1:9">
      <c r="A3568" s="19">
        <v>716.2</v>
      </c>
      <c r="B3568" s="43">
        <v>136.8732994213002</v>
      </c>
      <c r="C3568" s="43">
        <v>138.24175891347249</v>
      </c>
      <c r="D3568" s="43">
        <v>139.46554707190177</v>
      </c>
      <c r="E3568" s="43">
        <v>140.54394996685159</v>
      </c>
      <c r="F3568" s="43">
        <v>141.4798754919874</v>
      </c>
      <c r="G3568" s="43">
        <v>142.27889524346364</v>
      </c>
      <c r="H3568" s="43">
        <v>142.94838137174122</v>
      </c>
      <c r="I3568" s="43">
        <v>143.49678888338673</v>
      </c>
    </row>
    <row r="3569" spans="1:9">
      <c r="A3569" s="19">
        <v>716.3</v>
      </c>
      <c r="B3569" s="43">
        <v>136.89085869621368</v>
      </c>
      <c r="C3569" s="43">
        <v>138.25948953003666</v>
      </c>
      <c r="D3569" s="43">
        <v>139.48347509123846</v>
      </c>
      <c r="E3569" s="43">
        <v>140.56209584905497</v>
      </c>
      <c r="F3569" s="43">
        <v>141.49825393049076</v>
      </c>
      <c r="G3569" s="43">
        <v>142.29751548081254</v>
      </c>
      <c r="H3569" s="43">
        <v>142.9672478073374</v>
      </c>
      <c r="I3569" s="43">
        <v>143.51590181675067</v>
      </c>
    </row>
    <row r="3570" spans="1:9">
      <c r="A3570" s="19">
        <v>716.4</v>
      </c>
      <c r="B3570" s="43">
        <v>136.9084178127107</v>
      </c>
      <c r="C3570" s="43">
        <v>138.27721992736298</v>
      </c>
      <c r="D3570" s="43">
        <v>139.50140283039048</v>
      </c>
      <c r="E3570" s="43">
        <v>140.58024139301688</v>
      </c>
      <c r="F3570" s="43">
        <v>141.51663197798263</v>
      </c>
      <c r="G3570" s="43">
        <v>142.31613528118254</v>
      </c>
      <c r="H3570" s="43">
        <v>142.98611376746925</v>
      </c>
      <c r="I3570" s="43">
        <v>143.53501424382284</v>
      </c>
    </row>
    <row r="3571" spans="1:9">
      <c r="A3571" s="19">
        <v>716.5</v>
      </c>
      <c r="B3571" s="43">
        <v>136.9259767708765</v>
      </c>
      <c r="C3571" s="43">
        <v>138.29495010553887</v>
      </c>
      <c r="D3571" s="43">
        <v>139.51933028944018</v>
      </c>
      <c r="E3571" s="43">
        <v>140.59838659894535</v>
      </c>
      <c r="F3571" s="43">
        <v>141.5350096347002</v>
      </c>
      <c r="G3571" s="43">
        <v>142.33475464470183</v>
      </c>
      <c r="H3571" s="43">
        <v>143.00497925224823</v>
      </c>
      <c r="I3571" s="43">
        <v>143.55412616472637</v>
      </c>
    </row>
    <row r="3572" spans="1:9">
      <c r="A3572" s="19">
        <v>716.6</v>
      </c>
      <c r="B3572" s="43">
        <v>136.943535570785</v>
      </c>
      <c r="C3572" s="43">
        <v>138.31268006462204</v>
      </c>
      <c r="D3572" s="43">
        <v>139.53725746851586</v>
      </c>
      <c r="E3572" s="43">
        <v>140.61653146688917</v>
      </c>
      <c r="F3572" s="43">
        <v>141.55338690075467</v>
      </c>
      <c r="G3572" s="43">
        <v>142.35337357158971</v>
      </c>
      <c r="H3572" s="43">
        <v>143.02384426180731</v>
      </c>
      <c r="I3572" s="43">
        <v>143.5732375796203</v>
      </c>
    </row>
    <row r="3573" spans="1:9">
      <c r="A3573" s="19">
        <v>716.7</v>
      </c>
      <c r="B3573" s="43">
        <v>136.96109421256421</v>
      </c>
      <c r="C3573" s="43">
        <v>138.33040980475334</v>
      </c>
      <c r="D3573" s="43">
        <v>139.55518436774747</v>
      </c>
      <c r="E3573" s="43">
        <v>140.63467599703364</v>
      </c>
      <c r="F3573" s="43">
        <v>141.57176377623523</v>
      </c>
      <c r="G3573" s="43">
        <v>142.37199206185301</v>
      </c>
      <c r="H3573" s="43">
        <v>143.04270879623652</v>
      </c>
      <c r="I3573" s="43">
        <v>143.59234848858227</v>
      </c>
    </row>
    <row r="3574" spans="1:9">
      <c r="A3574" s="19">
        <v>716.8</v>
      </c>
      <c r="B3574" s="43">
        <v>136.97865269627505</v>
      </c>
      <c r="C3574" s="43">
        <v>138.34813932607693</v>
      </c>
      <c r="D3574" s="43">
        <v>139.57311098722738</v>
      </c>
      <c r="E3574" s="43">
        <v>140.65282018953945</v>
      </c>
      <c r="F3574" s="43">
        <v>141.59014026130649</v>
      </c>
      <c r="G3574" s="43">
        <v>142.39061011570544</v>
      </c>
      <c r="H3574" s="43">
        <v>143.06157285572328</v>
      </c>
      <c r="I3574" s="43">
        <v>143.61145889173451</v>
      </c>
    </row>
    <row r="3575" spans="1:9">
      <c r="A3575" s="19">
        <v>716.9</v>
      </c>
      <c r="B3575" s="43">
        <v>136.99621102223512</v>
      </c>
      <c r="C3575" s="43">
        <v>138.36586862881791</v>
      </c>
      <c r="D3575" s="43">
        <v>139.59103732730119</v>
      </c>
      <c r="E3575" s="43">
        <v>140.67096404462575</v>
      </c>
      <c r="F3575" s="43">
        <v>141.60851635623442</v>
      </c>
      <c r="G3575" s="43">
        <v>142.4092277333653</v>
      </c>
      <c r="H3575" s="43">
        <v>143.08043644049451</v>
      </c>
      <c r="I3575" s="43">
        <v>143.63056878930871</v>
      </c>
    </row>
    <row r="3576" spans="1:9">
      <c r="A3576" s="19">
        <v>717</v>
      </c>
      <c r="B3576" s="43">
        <v>137.01376919004991</v>
      </c>
      <c r="C3576" s="43">
        <v>138.38359771273144</v>
      </c>
      <c r="D3576" s="43">
        <v>139.60896338768032</v>
      </c>
      <c r="E3576" s="43">
        <v>140.68910756209499</v>
      </c>
      <c r="F3576" s="43">
        <v>141.62689206087049</v>
      </c>
      <c r="G3576" s="43">
        <v>142.42784491472281</v>
      </c>
      <c r="H3576" s="43">
        <v>143.09929955042617</v>
      </c>
      <c r="I3576" s="43">
        <v>143.64967818124722</v>
      </c>
    </row>
    <row r="3577" spans="1:9">
      <c r="A3577" s="19">
        <v>717.1</v>
      </c>
      <c r="B3577" s="43">
        <v>137.03132720021051</v>
      </c>
      <c r="C3577" s="43">
        <v>138.40132657827093</v>
      </c>
      <c r="D3577" s="43">
        <v>139.62688916882223</v>
      </c>
      <c r="E3577" s="43">
        <v>140.70725074240812</v>
      </c>
      <c r="F3577" s="43">
        <v>141.64526737562016</v>
      </c>
      <c r="G3577" s="43">
        <v>142.44646166016167</v>
      </c>
      <c r="H3577" s="43">
        <v>143.11816218588621</v>
      </c>
      <c r="I3577" s="43">
        <v>143.66878706783694</v>
      </c>
    </row>
    <row r="3578" spans="1:9">
      <c r="A3578" s="19">
        <v>717.2</v>
      </c>
      <c r="B3578" s="43">
        <v>137.04888505269815</v>
      </c>
      <c r="C3578" s="43">
        <v>138.41905522539923</v>
      </c>
      <c r="D3578" s="43">
        <v>139.64481467076951</v>
      </c>
      <c r="E3578" s="43">
        <v>140.72539358558032</v>
      </c>
      <c r="F3578" s="43">
        <v>141.66364230050073</v>
      </c>
      <c r="G3578" s="43">
        <v>142.46507796973106</v>
      </c>
      <c r="H3578" s="43">
        <v>143.13702434690623</v>
      </c>
      <c r="I3578" s="43">
        <v>143.68789544912983</v>
      </c>
    </row>
    <row r="3579" spans="1:9">
      <c r="A3579" s="19">
        <v>717.3</v>
      </c>
      <c r="B3579" s="43">
        <v>137.06644274768252</v>
      </c>
      <c r="C3579" s="43">
        <v>138.43678365437239</v>
      </c>
      <c r="D3579" s="43">
        <v>139.66273989368187</v>
      </c>
      <c r="E3579" s="43">
        <v>140.74353609181424</v>
      </c>
      <c r="F3579" s="43">
        <v>141.68201683575239</v>
      </c>
      <c r="G3579" s="43">
        <v>142.48369384359324</v>
      </c>
      <c r="H3579" s="43">
        <v>143.15588603363574</v>
      </c>
      <c r="I3579" s="43">
        <v>143.7070033253321</v>
      </c>
    </row>
    <row r="3580" spans="1:9">
      <c r="A3580" s="19">
        <v>717.4</v>
      </c>
      <c r="B3580" s="43">
        <v>137.0840002851682</v>
      </c>
      <c r="C3580" s="43">
        <v>138.45451186514094</v>
      </c>
      <c r="D3580" s="43">
        <v>139.680664837611</v>
      </c>
      <c r="E3580" s="43">
        <v>140.76167826123014</v>
      </c>
      <c r="F3580" s="43">
        <v>141.70039098142848</v>
      </c>
      <c r="G3580" s="43">
        <v>142.50230928187904</v>
      </c>
      <c r="H3580" s="43">
        <v>143.17474724625527</v>
      </c>
      <c r="I3580" s="43">
        <v>143.72611069649139</v>
      </c>
    </row>
    <row r="3581" spans="1:9">
      <c r="A3581" s="19">
        <v>717.5</v>
      </c>
      <c r="B3581" s="43">
        <v>137.10155766537667</v>
      </c>
      <c r="C3581" s="43">
        <v>138.47223985798092</v>
      </c>
      <c r="D3581" s="43">
        <v>139.69858950280201</v>
      </c>
      <c r="E3581" s="43">
        <v>140.77982009395419</v>
      </c>
      <c r="F3581" s="43">
        <v>141.71876473768958</v>
      </c>
      <c r="G3581" s="43">
        <v>142.5209242847605</v>
      </c>
      <c r="H3581" s="43">
        <v>143.19360798491618</v>
      </c>
      <c r="I3581" s="43">
        <v>143.745217562763</v>
      </c>
    </row>
    <row r="3582" spans="1:9">
      <c r="A3582" s="19">
        <v>717.6</v>
      </c>
      <c r="B3582" s="43">
        <v>137.11911488810819</v>
      </c>
      <c r="C3582" s="43">
        <v>138.48996763272601</v>
      </c>
      <c r="D3582" s="43">
        <v>139.71651388916274</v>
      </c>
      <c r="E3582" s="43">
        <v>140.79796158998982</v>
      </c>
      <c r="F3582" s="43">
        <v>141.73713810463585</v>
      </c>
      <c r="G3582" s="43">
        <v>142.53953885222819</v>
      </c>
      <c r="H3582" s="43">
        <v>143.21246824958877</v>
      </c>
      <c r="I3582" s="43">
        <v>143.76432392421452</v>
      </c>
    </row>
    <row r="3583" spans="1:9">
      <c r="A3583" s="19">
        <v>717.7</v>
      </c>
      <c r="B3583" s="43">
        <v>137.13667195386438</v>
      </c>
      <c r="C3583" s="43">
        <v>138.50769518986954</v>
      </c>
      <c r="D3583" s="43">
        <v>139.73443799715199</v>
      </c>
      <c r="E3583" s="43">
        <v>140.81610274975424</v>
      </c>
      <c r="F3583" s="43">
        <v>141.75551108257133</v>
      </c>
      <c r="G3583" s="43">
        <v>142.55815298466956</v>
      </c>
      <c r="H3583" s="43">
        <v>143.23132804063749</v>
      </c>
      <c r="I3583" s="43">
        <v>143.78342978110214</v>
      </c>
    </row>
    <row r="3584" spans="1:9">
      <c r="A3584" s="19">
        <v>717.8</v>
      </c>
      <c r="B3584" s="43">
        <v>137.15422886221353</v>
      </c>
      <c r="C3584" s="43">
        <v>138.52542252906562</v>
      </c>
      <c r="D3584" s="43">
        <v>139.75236182642288</v>
      </c>
      <c r="E3584" s="43">
        <v>140.83424357299572</v>
      </c>
      <c r="F3584" s="43">
        <v>141.77388367130601</v>
      </c>
      <c r="G3584" s="43">
        <v>142.57676668190618</v>
      </c>
      <c r="H3584" s="43">
        <v>143.25018735791673</v>
      </c>
      <c r="I3584" s="43">
        <v>143.80253513337095</v>
      </c>
    </row>
    <row r="3585" spans="1:9">
      <c r="A3585" s="19">
        <v>717.9</v>
      </c>
      <c r="B3585" s="43">
        <v>137.17178561384719</v>
      </c>
      <c r="C3585" s="43">
        <v>138.54314965090055</v>
      </c>
      <c r="D3585" s="43">
        <v>139.770285377611</v>
      </c>
      <c r="E3585" s="43">
        <v>140.85238406027548</v>
      </c>
      <c r="F3585" s="43">
        <v>141.79225587134948</v>
      </c>
      <c r="G3585" s="43">
        <v>142.59537994442491</v>
      </c>
      <c r="H3585" s="43">
        <v>143.26904620186804</v>
      </c>
      <c r="I3585" s="43">
        <v>143.82163998132029</v>
      </c>
    </row>
    <row r="3586" spans="1:9">
      <c r="A3586" s="19">
        <v>718</v>
      </c>
      <c r="B3586" s="43">
        <v>137.18934220850838</v>
      </c>
      <c r="C3586" s="43">
        <v>138.56087655521799</v>
      </c>
      <c r="D3586" s="43">
        <v>139.78820865058304</v>
      </c>
      <c r="E3586" s="43">
        <v>140.8705242114616</v>
      </c>
      <c r="F3586" s="43">
        <v>141.81062768263058</v>
      </c>
      <c r="G3586" s="43">
        <v>142.61399277213587</v>
      </c>
      <c r="H3586" s="43">
        <v>143.28790457244344</v>
      </c>
      <c r="I3586" s="43">
        <v>143.84074432499932</v>
      </c>
    </row>
    <row r="3587" spans="1:9">
      <c r="A3587" s="19">
        <v>718.1</v>
      </c>
      <c r="B3587" s="43">
        <v>137.20689864634812</v>
      </c>
      <c r="C3587" s="43">
        <v>138.57860324215847</v>
      </c>
      <c r="D3587" s="43">
        <v>139.80613164550812</v>
      </c>
      <c r="E3587" s="43">
        <v>140.88866402677093</v>
      </c>
      <c r="F3587" s="43">
        <v>141.82899910535787</v>
      </c>
      <c r="G3587" s="43">
        <v>142.63260516524048</v>
      </c>
      <c r="H3587" s="43">
        <v>143.30676246979897</v>
      </c>
      <c r="I3587" s="43">
        <v>143.8598481645534</v>
      </c>
    </row>
    <row r="3588" spans="1:9">
      <c r="A3588" s="19">
        <v>718.2</v>
      </c>
      <c r="B3588" s="43">
        <v>137.22445492740167</v>
      </c>
      <c r="C3588" s="43">
        <v>138.59632971187403</v>
      </c>
      <c r="D3588" s="43">
        <v>139.82405436241697</v>
      </c>
      <c r="E3588" s="43">
        <v>140.90680350624257</v>
      </c>
      <c r="F3588" s="43">
        <v>141.84737013961421</v>
      </c>
      <c r="G3588" s="43">
        <v>142.65121712385763</v>
      </c>
      <c r="H3588" s="43">
        <v>143.32561989405485</v>
      </c>
      <c r="I3588" s="43">
        <v>143.87895150005784</v>
      </c>
    </row>
    <row r="3589" spans="1:9">
      <c r="A3589" s="19">
        <v>718.3</v>
      </c>
      <c r="B3589" s="43">
        <v>137.2420110519339</v>
      </c>
      <c r="C3589" s="43">
        <v>138.61405596446531</v>
      </c>
      <c r="D3589" s="43">
        <v>139.841976801589</v>
      </c>
      <c r="E3589" s="43">
        <v>140.92494265019843</v>
      </c>
      <c r="F3589" s="43">
        <v>141.86574078558903</v>
      </c>
      <c r="G3589" s="43">
        <v>142.66982864816606</v>
      </c>
      <c r="H3589" s="43">
        <v>143.34447684543176</v>
      </c>
      <c r="I3589" s="43">
        <v>143.89805433170579</v>
      </c>
    </row>
    <row r="3590" spans="1:9">
      <c r="A3590" s="19">
        <v>718.4</v>
      </c>
      <c r="B3590" s="43">
        <v>137.2595670199035</v>
      </c>
      <c r="C3590" s="43">
        <v>138.63178200006445</v>
      </c>
      <c r="D3590" s="43">
        <v>139.85989896309968</v>
      </c>
      <c r="E3590" s="43">
        <v>140.94308145864846</v>
      </c>
      <c r="F3590" s="43">
        <v>141.8841110434596</v>
      </c>
      <c r="G3590" s="43">
        <v>142.68843973830576</v>
      </c>
      <c r="H3590" s="43">
        <v>143.36333332399118</v>
      </c>
      <c r="I3590" s="43">
        <v>143.91715665961692</v>
      </c>
    </row>
    <row r="3591" spans="1:9">
      <c r="A3591" s="19">
        <v>718.5</v>
      </c>
      <c r="B3591" s="43">
        <v>137.27712283159093</v>
      </c>
      <c r="C3591" s="43">
        <v>138.64950781891571</v>
      </c>
      <c r="D3591" s="43">
        <v>139.87782084716645</v>
      </c>
      <c r="E3591" s="43">
        <v>140.96121993183169</v>
      </c>
      <c r="F3591" s="43">
        <v>141.90248091337315</v>
      </c>
      <c r="G3591" s="43">
        <v>142.70705039443465</v>
      </c>
      <c r="H3591" s="43">
        <v>143.38218932996637</v>
      </c>
      <c r="I3591" s="43">
        <v>143.93625848390724</v>
      </c>
    </row>
    <row r="3592" spans="1:9">
      <c r="A3592" s="19">
        <v>718.6</v>
      </c>
      <c r="B3592" s="43">
        <v>137.29467848664433</v>
      </c>
      <c r="C3592" s="43">
        <v>138.66723342067468</v>
      </c>
      <c r="D3592" s="43">
        <v>139.89574245358568</v>
      </c>
      <c r="E3592" s="43">
        <v>140.97935806962209</v>
      </c>
      <c r="F3592" s="43">
        <v>141.92085039522527</v>
      </c>
      <c r="G3592" s="43">
        <v>142.72566061651571</v>
      </c>
      <c r="H3592" s="43">
        <v>143.40104486323986</v>
      </c>
      <c r="I3592" s="43">
        <v>143.95535980460733</v>
      </c>
    </row>
    <row r="3593" spans="1:9">
      <c r="A3593" s="19">
        <v>718.7</v>
      </c>
      <c r="B3593" s="43">
        <v>137.31223398561457</v>
      </c>
      <c r="C3593" s="43">
        <v>138.68495880590632</v>
      </c>
      <c r="D3593" s="43">
        <v>139.91366378282089</v>
      </c>
      <c r="E3593" s="43">
        <v>140.99749587244486</v>
      </c>
      <c r="F3593" s="43">
        <v>141.93921948944296</v>
      </c>
      <c r="G3593" s="43">
        <v>142.74427040491247</v>
      </c>
      <c r="H3593" s="43">
        <v>143.41989992419701</v>
      </c>
      <c r="I3593" s="43">
        <v>143.97446062199145</v>
      </c>
    </row>
    <row r="3594" spans="1:9">
      <c r="A3594" s="19">
        <v>718.8</v>
      </c>
      <c r="B3594" s="43">
        <v>137.3297893285598</v>
      </c>
      <c r="C3594" s="43">
        <v>138.70268397466589</v>
      </c>
      <c r="D3594" s="43">
        <v>139.93158483500139</v>
      </c>
      <c r="E3594" s="43">
        <v>141.01563334040856</v>
      </c>
      <c r="F3594" s="43">
        <v>141.95758819614298</v>
      </c>
      <c r="G3594" s="43">
        <v>142.76287975972394</v>
      </c>
      <c r="H3594" s="43">
        <v>143.43875451297009</v>
      </c>
      <c r="I3594" s="43">
        <v>143.99356093617274</v>
      </c>
    </row>
    <row r="3595" spans="1:9">
      <c r="A3595" s="19">
        <v>718.9</v>
      </c>
      <c r="B3595" s="43">
        <v>137.34734451521786</v>
      </c>
      <c r="C3595" s="43">
        <v>138.72040892678694</v>
      </c>
      <c r="D3595" s="43">
        <v>139.94950560997569</v>
      </c>
      <c r="E3595" s="43">
        <v>141.0337704734082</v>
      </c>
      <c r="F3595" s="43">
        <v>141.97595651522596</v>
      </c>
      <c r="G3595" s="43">
        <v>142.78148868092376</v>
      </c>
      <c r="H3595" s="43">
        <v>143.45760862947617</v>
      </c>
      <c r="I3595" s="43">
        <v>144.01266074712538</v>
      </c>
    </row>
    <row r="3596" spans="1:9">
      <c r="A3596" s="19">
        <v>719</v>
      </c>
      <c r="B3596" s="43">
        <v>137.36489954601802</v>
      </c>
      <c r="C3596" s="43">
        <v>138.73813366272765</v>
      </c>
      <c r="D3596" s="43">
        <v>139.96742610807911</v>
      </c>
      <c r="E3596" s="43">
        <v>141.0519072717816</v>
      </c>
      <c r="F3596" s="43">
        <v>141.99432444708754</v>
      </c>
      <c r="G3596" s="43">
        <v>142.80009716880687</v>
      </c>
      <c r="H3596" s="43">
        <v>143.47646227405033</v>
      </c>
      <c r="I3596" s="43">
        <v>144.03176005510693</v>
      </c>
    </row>
    <row r="3597" spans="1:9">
      <c r="A3597" s="19">
        <v>719.1</v>
      </c>
      <c r="B3597" s="43">
        <v>137.38245442096809</v>
      </c>
      <c r="C3597" s="43">
        <v>138.75585818238</v>
      </c>
      <c r="D3597" s="43">
        <v>139.98534632946723</v>
      </c>
      <c r="E3597" s="43">
        <v>141.07004373567491</v>
      </c>
      <c r="F3597" s="43">
        <v>142.01269199179251</v>
      </c>
      <c r="G3597" s="43">
        <v>142.81870522351801</v>
      </c>
      <c r="H3597" s="43">
        <v>143.49531544679803</v>
      </c>
      <c r="I3597" s="43">
        <v>144.05085886026524</v>
      </c>
    </row>
    <row r="3598" spans="1:9">
      <c r="A3598" s="19">
        <v>719.2</v>
      </c>
      <c r="B3598" s="43">
        <v>137.40000914014189</v>
      </c>
      <c r="C3598" s="43">
        <v>138.77358248594572</v>
      </c>
      <c r="D3598" s="43">
        <v>140.00326627412818</v>
      </c>
      <c r="E3598" s="43">
        <v>141.08817986518682</v>
      </c>
      <c r="F3598" s="43">
        <v>142.03105914944672</v>
      </c>
      <c r="G3598" s="43">
        <v>142.83731284512754</v>
      </c>
      <c r="H3598" s="43">
        <v>143.51416814776172</v>
      </c>
      <c r="I3598" s="43">
        <v>144.06995716265232</v>
      </c>
    </row>
    <row r="3599" spans="1:9">
      <c r="A3599" s="19">
        <v>719.3</v>
      </c>
      <c r="B3599" s="43">
        <v>137.41756370364322</v>
      </c>
      <c r="C3599" s="43">
        <v>138.79130657348878</v>
      </c>
      <c r="D3599" s="43">
        <v>140.02118594228062</v>
      </c>
      <c r="E3599" s="43">
        <v>141.10631566039274</v>
      </c>
      <c r="F3599" s="43">
        <v>142.0494259201725</v>
      </c>
      <c r="G3599" s="43">
        <v>142.85592003380674</v>
      </c>
      <c r="H3599" s="43">
        <v>143.53302037713672</v>
      </c>
      <c r="I3599" s="43">
        <v>144.08905496242465</v>
      </c>
    </row>
    <row r="3600" spans="1:9">
      <c r="A3600" s="19">
        <v>719.4</v>
      </c>
      <c r="B3600" s="43">
        <v>137.4351181116217</v>
      </c>
      <c r="C3600" s="43">
        <v>138.80903044528753</v>
      </c>
      <c r="D3600" s="43">
        <v>140.03910533409402</v>
      </c>
      <c r="E3600" s="43">
        <v>141.12445112152631</v>
      </c>
      <c r="F3600" s="43">
        <v>142.06779230419659</v>
      </c>
      <c r="G3600" s="43">
        <v>142.8745267897059</v>
      </c>
      <c r="H3600" s="43">
        <v>143.55187213511812</v>
      </c>
      <c r="I3600" s="43">
        <v>144.108152259723</v>
      </c>
    </row>
    <row r="3601" spans="1:9">
      <c r="A3601" s="19">
        <v>719.5</v>
      </c>
      <c r="B3601" s="43">
        <v>137.45267236402702</v>
      </c>
      <c r="C3601" s="43">
        <v>138.82675410115581</v>
      </c>
      <c r="D3601" s="43">
        <v>140.05702444954335</v>
      </c>
      <c r="E3601" s="43">
        <v>141.14258624864357</v>
      </c>
      <c r="F3601" s="43">
        <v>142.08615830160289</v>
      </c>
      <c r="G3601" s="43">
        <v>142.89313311290272</v>
      </c>
      <c r="H3601" s="43">
        <v>143.57072342170846</v>
      </c>
      <c r="I3601" s="43">
        <v>144.1272490546358</v>
      </c>
    </row>
    <row r="3602" spans="1:9">
      <c r="A3602" s="19">
        <v>719.6</v>
      </c>
      <c r="B3602" s="43">
        <v>137.47022646115676</v>
      </c>
      <c r="C3602" s="43">
        <v>138.84447754149409</v>
      </c>
      <c r="D3602" s="43">
        <v>140.07494328895223</v>
      </c>
      <c r="E3602" s="43">
        <v>141.16072104195467</v>
      </c>
      <c r="F3602" s="43">
        <v>142.10452391253671</v>
      </c>
      <c r="G3602" s="43">
        <v>142.91173900362497</v>
      </c>
      <c r="H3602" s="43">
        <v>143.58957423720204</v>
      </c>
      <c r="I3602" s="43">
        <v>144.14634534733239</v>
      </c>
    </row>
    <row r="3603" spans="1:9">
      <c r="A3603" s="19">
        <v>719.7</v>
      </c>
      <c r="B3603" s="43">
        <v>137.48778040272077</v>
      </c>
      <c r="C3603" s="43">
        <v>138.86220076600762</v>
      </c>
      <c r="D3603" s="43">
        <v>140.09286185209766</v>
      </c>
      <c r="E3603" s="43">
        <v>141.17885550136737</v>
      </c>
      <c r="F3603" s="43">
        <v>142.12288913700377</v>
      </c>
      <c r="G3603" s="43">
        <v>142.93034446184726</v>
      </c>
      <c r="H3603" s="43">
        <v>143.60842458147704</v>
      </c>
      <c r="I3603" s="43">
        <v>144.16544113782368</v>
      </c>
    </row>
    <row r="3604" spans="1:9">
      <c r="A3604" s="19">
        <v>719.8</v>
      </c>
      <c r="B3604" s="43">
        <v>137.50533418929859</v>
      </c>
      <c r="C3604" s="43">
        <v>138.87992377536557</v>
      </c>
      <c r="D3604" s="43">
        <v>140.11078013956671</v>
      </c>
      <c r="E3604" s="43">
        <v>141.19698962737755</v>
      </c>
      <c r="F3604" s="43">
        <v>142.1412539754424</v>
      </c>
      <c r="G3604" s="43">
        <v>142.9489494879532</v>
      </c>
      <c r="H3604" s="43">
        <v>143.62727445498138</v>
      </c>
      <c r="I3604" s="43">
        <v>144.18453642643061</v>
      </c>
    </row>
    <row r="3605" spans="1:9">
      <c r="A3605" s="19">
        <v>719.9</v>
      </c>
      <c r="B3605" s="43">
        <v>137.52288782069064</v>
      </c>
      <c r="C3605" s="43">
        <v>138.89764656931573</v>
      </c>
      <c r="D3605" s="43">
        <v>140.12869815120206</v>
      </c>
      <c r="E3605" s="43">
        <v>141.21512341989887</v>
      </c>
      <c r="F3605" s="43">
        <v>142.15961842772504</v>
      </c>
      <c r="G3605" s="43">
        <v>142.96755408191382</v>
      </c>
      <c r="H3605" s="43">
        <v>143.64612385762882</v>
      </c>
      <c r="I3605" s="43">
        <v>144.20363121313949</v>
      </c>
    </row>
    <row r="3606" spans="1:9">
      <c r="A3606" s="19">
        <v>720</v>
      </c>
      <c r="B3606" s="43">
        <v>137.53670234357946</v>
      </c>
      <c r="C3606" s="43">
        <v>138.91160689374476</v>
      </c>
      <c r="D3606" s="43">
        <v>140.1428647399751</v>
      </c>
      <c r="E3606" s="43">
        <v>141.22955271861952</v>
      </c>
      <c r="F3606" s="43">
        <v>142.17436103187464</v>
      </c>
      <c r="G3606" s="43">
        <v>142.98265383838742</v>
      </c>
      <c r="H3606" s="43">
        <v>143.66161766628761</v>
      </c>
      <c r="I3606" s="43">
        <v>144.21954929483144</v>
      </c>
    </row>
    <row r="3607" spans="1:9">
      <c r="A3607" s="19">
        <v>720.1</v>
      </c>
      <c r="B3607" s="43">
        <v>137.55050547128786</v>
      </c>
      <c r="C3607" s="43">
        <v>138.92555542913374</v>
      </c>
      <c r="D3607" s="43">
        <v>140.15701911716172</v>
      </c>
      <c r="E3607" s="43">
        <v>141.24396937244751</v>
      </c>
      <c r="F3607" s="43">
        <v>142.18909056276834</v>
      </c>
      <c r="G3607" s="43">
        <v>142.99774011060737</v>
      </c>
      <c r="H3607" s="43">
        <v>143.67709760632721</v>
      </c>
      <c r="I3607" s="43">
        <v>144.23545315656298</v>
      </c>
    </row>
    <row r="3608" spans="1:9">
      <c r="A3608" s="19">
        <v>720.2</v>
      </c>
      <c r="B3608" s="43">
        <v>137.56804780481184</v>
      </c>
      <c r="C3608" s="43">
        <v>138.94326640792104</v>
      </c>
      <c r="D3608" s="43">
        <v>140.17492473543911</v>
      </c>
      <c r="E3608" s="43">
        <v>141.26209015526098</v>
      </c>
      <c r="F3608" s="43">
        <v>142.20744137147972</v>
      </c>
      <c r="G3608" s="43">
        <v>143.01633042664446</v>
      </c>
      <c r="H3608" s="43">
        <v>143.69593210975171</v>
      </c>
      <c r="I3608" s="43">
        <v>144.25453244558133</v>
      </c>
    </row>
    <row r="3609" spans="1:9">
      <c r="A3609" s="19">
        <v>720.3</v>
      </c>
      <c r="B3609" s="43">
        <v>137.58558998135845</v>
      </c>
      <c r="C3609" s="43">
        <v>138.96097716973452</v>
      </c>
      <c r="D3609" s="43">
        <v>140.19283007648136</v>
      </c>
      <c r="E3609" s="43">
        <v>141.2802106033609</v>
      </c>
      <c r="F3609" s="43">
        <v>142.22579179295985</v>
      </c>
      <c r="G3609" s="43">
        <v>143.03492030944312</v>
      </c>
      <c r="H3609" s="43">
        <v>143.71476614125066</v>
      </c>
      <c r="I3609" s="43">
        <v>144.27361123153594</v>
      </c>
    </row>
    <row r="3610" spans="1:9">
      <c r="A3610" s="19">
        <v>720.4</v>
      </c>
      <c r="B3610" s="43">
        <v>137.60313200103826</v>
      </c>
      <c r="C3610" s="43">
        <v>138.97868771473156</v>
      </c>
      <c r="D3610" s="43">
        <v>140.21073514046896</v>
      </c>
      <c r="E3610" s="43">
        <v>141.29833071683998</v>
      </c>
      <c r="F3610" s="43">
        <v>142.24414182732215</v>
      </c>
      <c r="G3610" s="43">
        <v>143.05350975916178</v>
      </c>
      <c r="H3610" s="43">
        <v>143.73359970095891</v>
      </c>
      <c r="I3610" s="43">
        <v>144.2926895146303</v>
      </c>
    </row>
    <row r="3611" spans="1:9">
      <c r="A3611" s="19">
        <v>720.5</v>
      </c>
      <c r="B3611" s="43">
        <v>137.62067386377521</v>
      </c>
      <c r="C3611" s="43">
        <v>138.99639804286613</v>
      </c>
      <c r="D3611" s="43">
        <v>140.22863992736973</v>
      </c>
      <c r="E3611" s="43">
        <v>141.31645049577691</v>
      </c>
      <c r="F3611" s="43">
        <v>142.26249147463841</v>
      </c>
      <c r="G3611" s="43">
        <v>143.07209877582142</v>
      </c>
      <c r="H3611" s="43">
        <v>143.75243278897699</v>
      </c>
      <c r="I3611" s="43">
        <v>144.31176729491483</v>
      </c>
    </row>
    <row r="3612" spans="1:9">
      <c r="A3612" s="19">
        <v>720.6</v>
      </c>
      <c r="B3612" s="43">
        <v>137.6382155699074</v>
      </c>
      <c r="C3612" s="43">
        <v>139.01410815446155</v>
      </c>
      <c r="D3612" s="43">
        <v>140.24654443745919</v>
      </c>
      <c r="E3612" s="43">
        <v>141.33456994042342</v>
      </c>
      <c r="F3612" s="43">
        <v>142.28084073518164</v>
      </c>
      <c r="G3612" s="43">
        <v>143.09068735970919</v>
      </c>
      <c r="H3612" s="43">
        <v>143.77126540553934</v>
      </c>
      <c r="I3612" s="43">
        <v>144.33084457257246</v>
      </c>
    </row>
    <row r="3613" spans="1:9">
      <c r="A3613" s="19">
        <v>720.7</v>
      </c>
      <c r="B3613" s="43">
        <v>137.65575711931444</v>
      </c>
      <c r="C3613" s="43">
        <v>139.03181804937725</v>
      </c>
      <c r="D3613" s="43">
        <v>140.26444867074036</v>
      </c>
      <c r="E3613" s="43">
        <v>141.35268905073372</v>
      </c>
      <c r="F3613" s="43">
        <v>142.29918960889449</v>
      </c>
      <c r="G3613" s="43">
        <v>143.10927551082398</v>
      </c>
      <c r="H3613" s="43">
        <v>143.79009755061503</v>
      </c>
      <c r="I3613" s="43">
        <v>144.34992134764303</v>
      </c>
    </row>
    <row r="3614" spans="1:9">
      <c r="A3614" s="19">
        <v>720.8</v>
      </c>
      <c r="B3614" s="43">
        <v>137.67329851219046</v>
      </c>
      <c r="C3614" s="43">
        <v>139.049527727932</v>
      </c>
      <c r="D3614" s="43">
        <v>140.2823526274758</v>
      </c>
      <c r="E3614" s="43">
        <v>141.37080782704027</v>
      </c>
      <c r="F3614" s="43">
        <v>142.31753809614378</v>
      </c>
      <c r="G3614" s="43">
        <v>143.12786322939979</v>
      </c>
      <c r="H3614" s="43">
        <v>143.80892922446287</v>
      </c>
      <c r="I3614" s="43">
        <v>144.36899762034767</v>
      </c>
    </row>
    <row r="3615" spans="1:9">
      <c r="A3615" s="19">
        <v>720.9</v>
      </c>
      <c r="B3615" s="43">
        <v>137.69083974871552</v>
      </c>
      <c r="C3615" s="43">
        <v>139.06723719023893</v>
      </c>
      <c r="D3615" s="43">
        <v>140.30025630774537</v>
      </c>
      <c r="E3615" s="43">
        <v>141.38892626941612</v>
      </c>
      <c r="F3615" s="43">
        <v>142.33588619693154</v>
      </c>
      <c r="G3615" s="43">
        <v>143.14645051558767</v>
      </c>
      <c r="H3615" s="43">
        <v>143.82776042722134</v>
      </c>
      <c r="I3615" s="43">
        <v>144.38807339080955</v>
      </c>
    </row>
    <row r="3616" spans="1:9">
      <c r="A3616" s="19">
        <v>721</v>
      </c>
      <c r="B3616" s="43">
        <v>137.70838082875696</v>
      </c>
      <c r="C3616" s="43">
        <v>139.08494643619667</v>
      </c>
      <c r="D3616" s="43">
        <v>140.31815971154958</v>
      </c>
      <c r="E3616" s="43">
        <v>141.40704437787758</v>
      </c>
      <c r="F3616" s="43">
        <v>142.35423391135811</v>
      </c>
      <c r="G3616" s="43">
        <v>143.16503736939228</v>
      </c>
      <c r="H3616" s="43">
        <v>143.84659115892799</v>
      </c>
      <c r="I3616" s="43">
        <v>144.40714865904096</v>
      </c>
    </row>
    <row r="3617" spans="1:9">
      <c r="A3617" s="19">
        <v>721.1</v>
      </c>
      <c r="B3617" s="43">
        <v>137.72592175246035</v>
      </c>
      <c r="C3617" s="43">
        <v>139.10265546598902</v>
      </c>
      <c r="D3617" s="43">
        <v>140.33606283907022</v>
      </c>
      <c r="E3617" s="43">
        <v>141.42516215260076</v>
      </c>
      <c r="F3617" s="43">
        <v>142.37258123957815</v>
      </c>
      <c r="G3617" s="43">
        <v>143.18362379103536</v>
      </c>
      <c r="H3617" s="43">
        <v>143.86542141973553</v>
      </c>
      <c r="I3617" s="43">
        <v>144.42622342524777</v>
      </c>
    </row>
    <row r="3618" spans="1:9">
      <c r="A3618" s="19">
        <v>721.2</v>
      </c>
      <c r="B3618" s="43">
        <v>137.74346251998168</v>
      </c>
      <c r="C3618" s="43">
        <v>139.12036427979086</v>
      </c>
      <c r="D3618" s="43">
        <v>140.35396569043724</v>
      </c>
      <c r="E3618" s="43">
        <v>141.44327959376204</v>
      </c>
      <c r="F3618" s="43">
        <v>142.39092818176022</v>
      </c>
      <c r="G3618" s="43">
        <v>143.20220978061542</v>
      </c>
      <c r="H3618" s="43">
        <v>143.88425120981606</v>
      </c>
      <c r="I3618" s="43">
        <v>144.44529768952822</v>
      </c>
    </row>
    <row r="3619" spans="1:9">
      <c r="A3619" s="19">
        <v>721.3</v>
      </c>
      <c r="B3619" s="43">
        <v>137.76100313148652</v>
      </c>
      <c r="C3619" s="43">
        <v>139.13807287774978</v>
      </c>
      <c r="D3619" s="43">
        <v>140.37186826587725</v>
      </c>
      <c r="E3619" s="43">
        <v>141.4613967015664</v>
      </c>
      <c r="F3619" s="43">
        <v>142.40927473809813</v>
      </c>
      <c r="G3619" s="43">
        <v>143.22079533837888</v>
      </c>
      <c r="H3619" s="43">
        <v>143.90308052932551</v>
      </c>
      <c r="I3619" s="43">
        <v>144.46437145204118</v>
      </c>
    </row>
    <row r="3620" spans="1:9">
      <c r="A3620" s="19">
        <v>721.4</v>
      </c>
      <c r="B3620" s="43">
        <v>137.77854358689973</v>
      </c>
      <c r="C3620" s="43">
        <v>139.15578125990959</v>
      </c>
      <c r="D3620" s="43">
        <v>140.38977056544604</v>
      </c>
      <c r="E3620" s="43">
        <v>141.47951347601764</v>
      </c>
      <c r="F3620" s="43">
        <v>142.4276209086733</v>
      </c>
      <c r="G3620" s="43">
        <v>143.2393804643753</v>
      </c>
      <c r="H3620" s="43">
        <v>143.92190937834187</v>
      </c>
      <c r="I3620" s="43">
        <v>144.48344471291114</v>
      </c>
    </row>
    <row r="3621" spans="1:9">
      <c r="A3621" s="19">
        <v>721.5</v>
      </c>
      <c r="B3621" s="43">
        <v>137.79608388647875</v>
      </c>
      <c r="C3621" s="43">
        <v>139.17348942647573</v>
      </c>
      <c r="D3621" s="43">
        <v>140.40767258923216</v>
      </c>
      <c r="E3621" s="43">
        <v>141.49762991737646</v>
      </c>
      <c r="F3621" s="43">
        <v>142.44596669366376</v>
      </c>
      <c r="G3621" s="43">
        <v>143.25796515875714</v>
      </c>
      <c r="H3621" s="43">
        <v>143.94073775707199</v>
      </c>
      <c r="I3621" s="43">
        <v>144.50251747229458</v>
      </c>
    </row>
    <row r="3622" spans="1:9">
      <c r="A3622" s="19">
        <v>721.6</v>
      </c>
      <c r="B3622" s="43">
        <v>137.81362403021524</v>
      </c>
      <c r="C3622" s="43">
        <v>139.19119737736565</v>
      </c>
      <c r="D3622" s="43">
        <v>140.4255743373742</v>
      </c>
      <c r="E3622" s="43">
        <v>141.51574602563966</v>
      </c>
      <c r="F3622" s="43">
        <v>142.46431209311976</v>
      </c>
      <c r="G3622" s="43">
        <v>143.27654942166566</v>
      </c>
      <c r="H3622" s="43">
        <v>143.95956566554929</v>
      </c>
      <c r="I3622" s="43">
        <v>144.52158973020585</v>
      </c>
    </row>
    <row r="3623" spans="1:9">
      <c r="A3623" s="19">
        <v>721.7</v>
      </c>
      <c r="B3623" s="43">
        <v>137.83116401829125</v>
      </c>
      <c r="C3623" s="43">
        <v>139.20890511291043</v>
      </c>
      <c r="D3623" s="43">
        <v>140.44347581011334</v>
      </c>
      <c r="E3623" s="43">
        <v>141.53386180106929</v>
      </c>
      <c r="F3623" s="43">
        <v>142.48265710732176</v>
      </c>
      <c r="G3623" s="43">
        <v>143.29513325326582</v>
      </c>
      <c r="H3623" s="43">
        <v>143.97839310401264</v>
      </c>
      <c r="I3623" s="43">
        <v>144.54066148693096</v>
      </c>
    </row>
    <row r="3624" spans="1:9">
      <c r="A3624" s="19">
        <v>721.8</v>
      </c>
      <c r="B3624" s="43">
        <v>137.84870385068547</v>
      </c>
      <c r="C3624" s="43">
        <v>139.22661263310357</v>
      </c>
      <c r="D3624" s="43">
        <v>140.46137700742776</v>
      </c>
      <c r="E3624" s="43">
        <v>141.55197724372493</v>
      </c>
      <c r="F3624" s="43">
        <v>142.50100173626674</v>
      </c>
      <c r="G3624" s="43">
        <v>143.31371665364139</v>
      </c>
      <c r="H3624" s="43">
        <v>143.99722007251142</v>
      </c>
      <c r="I3624" s="43">
        <v>144.55973274242427</v>
      </c>
    </row>
    <row r="3625" spans="1:9">
      <c r="A3625" s="19">
        <v>721.9</v>
      </c>
      <c r="B3625" s="43">
        <v>137.86624352769604</v>
      </c>
      <c r="C3625" s="43">
        <v>139.24431993818519</v>
      </c>
      <c r="D3625" s="43">
        <v>140.47927792960803</v>
      </c>
      <c r="E3625" s="43">
        <v>141.57009235389148</v>
      </c>
      <c r="F3625" s="43">
        <v>142.5193459803051</v>
      </c>
      <c r="G3625" s="43">
        <v>143.33229962307939</v>
      </c>
      <c r="H3625" s="43">
        <v>144.01604657131941</v>
      </c>
      <c r="I3625" s="43">
        <v>144.57880349701884</v>
      </c>
    </row>
    <row r="3626" spans="1:9">
      <c r="A3626" s="19">
        <v>722</v>
      </c>
      <c r="B3626" s="43">
        <v>137.88378304913584</v>
      </c>
      <c r="C3626" s="43">
        <v>139.26202702805</v>
      </c>
      <c r="D3626" s="43">
        <v>140.49717857654309</v>
      </c>
      <c r="E3626" s="43">
        <v>141.58820713144627</v>
      </c>
      <c r="F3626" s="43">
        <v>142.53768983929325</v>
      </c>
      <c r="G3626" s="43">
        <v>143.35088216151553</v>
      </c>
      <c r="H3626" s="43">
        <v>144.03487260037247</v>
      </c>
      <c r="I3626" s="43">
        <v>144.59787375064718</v>
      </c>
    </row>
    <row r="3627" spans="1:9">
      <c r="A3627" s="19">
        <v>722.1</v>
      </c>
      <c r="B3627" s="43">
        <v>137.90132241519916</v>
      </c>
      <c r="C3627" s="43">
        <v>139.27973390284734</v>
      </c>
      <c r="D3627" s="43">
        <v>140.51507894844053</v>
      </c>
      <c r="E3627" s="43">
        <v>141.60632157663179</v>
      </c>
      <c r="F3627" s="43">
        <v>142.55603331343622</v>
      </c>
      <c r="G3627" s="43">
        <v>143.36946426913369</v>
      </c>
      <c r="H3627" s="43">
        <v>144.05369815987018</v>
      </c>
      <c r="I3627" s="43">
        <v>144.61694350348529</v>
      </c>
    </row>
    <row r="3628" spans="1:9">
      <c r="A3628" s="19">
        <v>722.2</v>
      </c>
      <c r="B3628" s="43">
        <v>137.91886162591027</v>
      </c>
      <c r="C3628" s="43">
        <v>139.29744056274149</v>
      </c>
      <c r="D3628" s="43">
        <v>140.53297904543638</v>
      </c>
      <c r="E3628" s="43">
        <v>141.62443568952818</v>
      </c>
      <c r="F3628" s="43">
        <v>142.57437640294285</v>
      </c>
      <c r="G3628" s="43">
        <v>143.38804594604949</v>
      </c>
      <c r="H3628" s="43">
        <v>144.0725232499463</v>
      </c>
      <c r="I3628" s="43">
        <v>144.63601275559404</v>
      </c>
    </row>
    <row r="3629" spans="1:9">
      <c r="A3629" s="19">
        <v>722.3</v>
      </c>
      <c r="B3629" s="43">
        <v>137.93640068161</v>
      </c>
      <c r="C3629" s="43">
        <v>139.31514700793872</v>
      </c>
      <c r="D3629" s="43">
        <v>140.55087886777892</v>
      </c>
      <c r="E3629" s="43">
        <v>141.64254947046425</v>
      </c>
      <c r="F3629" s="43">
        <v>142.59271910801021</v>
      </c>
      <c r="G3629" s="43">
        <v>143.40662719255619</v>
      </c>
      <c r="H3629" s="43">
        <v>144.09134787080927</v>
      </c>
      <c r="I3629" s="43">
        <v>144.65508150730244</v>
      </c>
    </row>
    <row r="3630" spans="1:9">
      <c r="A3630" s="19">
        <v>722.4</v>
      </c>
      <c r="B3630" s="43">
        <v>137.95393958218972</v>
      </c>
      <c r="C3630" s="43">
        <v>139.33285323841602</v>
      </c>
      <c r="D3630" s="43">
        <v>140.56877841543189</v>
      </c>
      <c r="E3630" s="43">
        <v>141.66066291938358</v>
      </c>
      <c r="F3630" s="43">
        <v>142.61106142867925</v>
      </c>
      <c r="G3630" s="43">
        <v>143.42520800867919</v>
      </c>
      <c r="H3630" s="43">
        <v>144.11017202251389</v>
      </c>
      <c r="I3630" s="43">
        <v>144.6741497585719</v>
      </c>
    </row>
    <row r="3631" spans="1:9">
      <c r="A3631" s="19">
        <v>722.5</v>
      </c>
      <c r="B3631" s="43">
        <v>137.97147832779564</v>
      </c>
      <c r="C3631" s="43">
        <v>139.35055925436501</v>
      </c>
      <c r="D3631" s="43">
        <v>140.58667768864916</v>
      </c>
      <c r="E3631" s="43">
        <v>141.67877603652619</v>
      </c>
      <c r="F3631" s="43">
        <v>142.62940336513549</v>
      </c>
      <c r="G3631" s="43">
        <v>143.44378839453321</v>
      </c>
      <c r="H3631" s="43">
        <v>144.12899570524593</v>
      </c>
      <c r="I3631" s="43">
        <v>144.69321750961882</v>
      </c>
    </row>
    <row r="3632" spans="1:9">
      <c r="A3632" s="19">
        <v>722.6</v>
      </c>
      <c r="B3632" s="43">
        <v>137.9890169185295</v>
      </c>
      <c r="C3632" s="43">
        <v>139.36826505589295</v>
      </c>
      <c r="D3632" s="43">
        <v>140.60457668741645</v>
      </c>
      <c r="E3632" s="43">
        <v>141.69688882198682</v>
      </c>
      <c r="F3632" s="43">
        <v>142.64774491749125</v>
      </c>
      <c r="G3632" s="43">
        <v>143.46236835032721</v>
      </c>
      <c r="H3632" s="43">
        <v>144.14781891912293</v>
      </c>
      <c r="I3632" s="43">
        <v>144.71228476049862</v>
      </c>
    </row>
    <row r="3633" spans="1:9">
      <c r="A3633" s="19">
        <v>722.7</v>
      </c>
      <c r="B3633" s="43">
        <v>138.00655535443968</v>
      </c>
      <c r="C3633" s="43">
        <v>139.38597064306083</v>
      </c>
      <c r="D3633" s="43">
        <v>140.62247541203192</v>
      </c>
      <c r="E3633" s="43">
        <v>141.71500127587876</v>
      </c>
      <c r="F3633" s="43">
        <v>142.66608608589701</v>
      </c>
      <c r="G3633" s="43">
        <v>143.48094787618498</v>
      </c>
      <c r="H3633" s="43">
        <v>144.16664166427836</v>
      </c>
      <c r="I3633" s="43">
        <v>144.73135151136057</v>
      </c>
    </row>
    <row r="3634" spans="1:9">
      <c r="A3634" s="19">
        <v>722.8</v>
      </c>
      <c r="B3634" s="43">
        <v>138.02409363562248</v>
      </c>
      <c r="C3634" s="43">
        <v>139.40367601594545</v>
      </c>
      <c r="D3634" s="43">
        <v>140.64037386241961</v>
      </c>
      <c r="E3634" s="43">
        <v>141.7331133983447</v>
      </c>
      <c r="F3634" s="43">
        <v>142.68442687045223</v>
      </c>
      <c r="G3634" s="43">
        <v>143.49952697220687</v>
      </c>
      <c r="H3634" s="43">
        <v>144.18546394079624</v>
      </c>
      <c r="I3634" s="43">
        <v>144.75041776234912</v>
      </c>
    </row>
    <row r="3635" spans="1:9">
      <c r="A3635" s="19">
        <v>722.9</v>
      </c>
      <c r="B3635" s="43">
        <v>138.0416317623509</v>
      </c>
      <c r="C3635" s="43">
        <v>139.42138117489793</v>
      </c>
      <c r="D3635" s="43">
        <v>140.65827203897368</v>
      </c>
      <c r="E3635" s="43">
        <v>141.7512251896365</v>
      </c>
      <c r="F3635" s="43">
        <v>142.70276727147564</v>
      </c>
      <c r="G3635" s="43">
        <v>143.51810563862472</v>
      </c>
      <c r="H3635" s="43">
        <v>144.20428574892424</v>
      </c>
      <c r="I3635" s="43">
        <v>144.76948351359061</v>
      </c>
    </row>
    <row r="3636" spans="1:9">
      <c r="A3636" s="19">
        <v>723</v>
      </c>
      <c r="B3636" s="43">
        <v>138.05916973446057</v>
      </c>
      <c r="C3636" s="43">
        <v>139.43908611970033</v>
      </c>
      <c r="D3636" s="43">
        <v>140.67616994154679</v>
      </c>
      <c r="E3636" s="43">
        <v>141.76933664972864</v>
      </c>
      <c r="F3636" s="43">
        <v>142.72110728883689</v>
      </c>
      <c r="G3636" s="43">
        <v>143.53668387543701</v>
      </c>
      <c r="H3636" s="43">
        <v>144.22310708870378</v>
      </c>
      <c r="I3636" s="43">
        <v>144.78854876519813</v>
      </c>
    </row>
    <row r="3637" spans="1:9">
      <c r="A3637" s="19">
        <v>723.1</v>
      </c>
      <c r="B3637" s="43">
        <v>138.07670755214019</v>
      </c>
      <c r="C3637" s="43">
        <v>139.45679085063989</v>
      </c>
      <c r="D3637" s="43">
        <v>140.69406757035074</v>
      </c>
      <c r="E3637" s="43">
        <v>141.78744777877233</v>
      </c>
      <c r="F3637" s="43">
        <v>142.73944692279758</v>
      </c>
      <c r="G3637" s="43">
        <v>143.55526168283791</v>
      </c>
      <c r="H3637" s="43">
        <v>144.24192796024755</v>
      </c>
      <c r="I3637" s="43">
        <v>144.80761351725516</v>
      </c>
    </row>
    <row r="3638" spans="1:9">
      <c r="A3638" s="19">
        <v>723.2</v>
      </c>
      <c r="B3638" s="43">
        <v>138.09424521529496</v>
      </c>
      <c r="C3638" s="43">
        <v>139.47449536762099</v>
      </c>
      <c r="D3638" s="43">
        <v>140.71196492541986</v>
      </c>
      <c r="E3638" s="43">
        <v>141.80555857679923</v>
      </c>
      <c r="F3638" s="43">
        <v>142.75778617339608</v>
      </c>
      <c r="G3638" s="43">
        <v>143.57383906086756</v>
      </c>
      <c r="H3638" s="43">
        <v>144.26074836362454</v>
      </c>
      <c r="I3638" s="43">
        <v>144.82667776986148</v>
      </c>
    </row>
    <row r="3639" spans="1:9">
      <c r="A3639" s="19">
        <v>723.3</v>
      </c>
      <c r="B3639" s="43">
        <v>138.11178272432505</v>
      </c>
      <c r="C3639" s="43">
        <v>139.49219967105006</v>
      </c>
      <c r="D3639" s="43">
        <v>140.72986200702655</v>
      </c>
      <c r="E3639" s="43">
        <v>141.82366904416955</v>
      </c>
      <c r="F3639" s="43">
        <v>142.77612504092764</v>
      </c>
      <c r="G3639" s="43">
        <v>143.59241600981454</v>
      </c>
      <c r="H3639" s="43">
        <v>144.27956829915973</v>
      </c>
      <c r="I3639" s="43">
        <v>144.84574152325678</v>
      </c>
    </row>
    <row r="3640" spans="1:9">
      <c r="A3640" s="19">
        <v>723.4</v>
      </c>
      <c r="B3640" s="43">
        <v>138.12932007931283</v>
      </c>
      <c r="C3640" s="43">
        <v>139.5099037610031</v>
      </c>
      <c r="D3640" s="43">
        <v>140.74775881537045</v>
      </c>
      <c r="E3640" s="43">
        <v>141.84177918103757</v>
      </c>
      <c r="F3640" s="43">
        <v>142.79446352553595</v>
      </c>
      <c r="G3640" s="43">
        <v>143.61099252985667</v>
      </c>
      <c r="H3640" s="43">
        <v>144.29838776694078</v>
      </c>
      <c r="I3640" s="43">
        <v>144.86480477756737</v>
      </c>
    </row>
    <row r="3641" spans="1:9">
      <c r="A3641" s="19">
        <v>723.5</v>
      </c>
      <c r="B3641" s="43">
        <v>138.14685728010727</v>
      </c>
      <c r="C3641" s="43">
        <v>139.52760763737706</v>
      </c>
      <c r="D3641" s="43">
        <v>140.76565535036781</v>
      </c>
      <c r="E3641" s="43">
        <v>141.85988898730801</v>
      </c>
      <c r="F3641" s="43">
        <v>142.81280162724784</v>
      </c>
      <c r="G3641" s="43">
        <v>143.62956862098855</v>
      </c>
      <c r="H3641" s="43">
        <v>144.31720676701326</v>
      </c>
      <c r="I3641" s="43">
        <v>144.88386753282583</v>
      </c>
    </row>
    <row r="3642" spans="1:9">
      <c r="A3642" s="19">
        <v>723.6</v>
      </c>
      <c r="B3642" s="43">
        <v>138.16439432705999</v>
      </c>
      <c r="C3642" s="43">
        <v>139.54531130048724</v>
      </c>
      <c r="D3642" s="43">
        <v>140.78355161231531</v>
      </c>
      <c r="E3642" s="43">
        <v>141.87799846332695</v>
      </c>
      <c r="F3642" s="43">
        <v>142.83113934629017</v>
      </c>
      <c r="G3642" s="43">
        <v>143.64814428340634</v>
      </c>
      <c r="H3642" s="43">
        <v>144.33602529959967</v>
      </c>
      <c r="I3642" s="43">
        <v>144.90292978924606</v>
      </c>
    </row>
    <row r="3643" spans="1:9">
      <c r="A3643" s="19">
        <v>723.7</v>
      </c>
      <c r="B3643" s="43">
        <v>138.18193122006141</v>
      </c>
      <c r="C3643" s="43">
        <v>139.56301475034371</v>
      </c>
      <c r="D3643" s="43">
        <v>140.80144760119907</v>
      </c>
      <c r="E3643" s="43">
        <v>141.89610760906635</v>
      </c>
      <c r="F3643" s="43">
        <v>142.84947668271656</v>
      </c>
      <c r="G3643" s="43">
        <v>143.66671951727653</v>
      </c>
      <c r="H3643" s="43">
        <v>144.35484336474616</v>
      </c>
      <c r="I3643" s="43">
        <v>144.92199154686784</v>
      </c>
    </row>
    <row r="3644" spans="1:9">
      <c r="A3644" s="19">
        <v>723.8</v>
      </c>
      <c r="B3644" s="43">
        <v>138.19946795929798</v>
      </c>
      <c r="C3644" s="43">
        <v>139.58071798704509</v>
      </c>
      <c r="D3644" s="43">
        <v>140.81934331719924</v>
      </c>
      <c r="E3644" s="43">
        <v>141.91421642473478</v>
      </c>
      <c r="F3644" s="43">
        <v>142.86781363671082</v>
      </c>
      <c r="G3644" s="43">
        <v>143.68529432269401</v>
      </c>
      <c r="H3644" s="43">
        <v>144.37366096263838</v>
      </c>
      <c r="I3644" s="43">
        <v>144.94105280589304</v>
      </c>
    </row>
    <row r="3645" spans="1:9">
      <c r="A3645" s="19">
        <v>723.9</v>
      </c>
      <c r="B3645" s="43">
        <v>138.21700454492503</v>
      </c>
      <c r="C3645" s="43">
        <v>139.59842101085661</v>
      </c>
      <c r="D3645" s="43">
        <v>140.83723876054012</v>
      </c>
      <c r="E3645" s="43">
        <v>141.932324910548</v>
      </c>
      <c r="F3645" s="43">
        <v>142.88615020847942</v>
      </c>
      <c r="G3645" s="43">
        <v>143.70386869983872</v>
      </c>
      <c r="H3645" s="43">
        <v>144.39247809344499</v>
      </c>
      <c r="I3645" s="43">
        <v>144.96011356642043</v>
      </c>
    </row>
    <row r="3646" spans="1:9">
      <c r="A3646" s="19">
        <v>724</v>
      </c>
      <c r="B3646" s="43">
        <v>138.23454097681935</v>
      </c>
      <c r="C3646" s="43">
        <v>139.61612382165396</v>
      </c>
      <c r="D3646" s="43">
        <v>140.85513393115338</v>
      </c>
      <c r="E3646" s="43">
        <v>141.95043306646232</v>
      </c>
      <c r="F3646" s="43">
        <v>142.90448639801525</v>
      </c>
      <c r="G3646" s="43">
        <v>143.72244264877685</v>
      </c>
      <c r="H3646" s="43">
        <v>144.4112947571877</v>
      </c>
      <c r="I3646" s="43">
        <v>144.9791738285565</v>
      </c>
    </row>
    <row r="3647" spans="1:9">
      <c r="A3647" s="19">
        <v>724.1</v>
      </c>
      <c r="B3647" s="43">
        <v>138.25207725529361</v>
      </c>
      <c r="C3647" s="43">
        <v>139.63382641968406</v>
      </c>
      <c r="D3647" s="43">
        <v>140.87302882926042</v>
      </c>
      <c r="E3647" s="43">
        <v>141.96854089272438</v>
      </c>
      <c r="F3647" s="43">
        <v>142.92282220553506</v>
      </c>
      <c r="G3647" s="43">
        <v>143.74101616968875</v>
      </c>
      <c r="H3647" s="43">
        <v>144.43011095411259</v>
      </c>
      <c r="I3647" s="43">
        <v>144.99823359242981</v>
      </c>
    </row>
    <row r="3648" spans="1:9">
      <c r="A3648" s="19">
        <v>724.2</v>
      </c>
      <c r="B3648" s="43">
        <v>138.26961338018862</v>
      </c>
      <c r="C3648" s="43">
        <v>139.65152880488478</v>
      </c>
      <c r="D3648" s="43">
        <v>140.89092345490002</v>
      </c>
      <c r="E3648" s="43">
        <v>141.98664838932331</v>
      </c>
      <c r="F3648" s="43">
        <v>142.94115763108482</v>
      </c>
      <c r="G3648" s="43">
        <v>143.75958926261683</v>
      </c>
      <c r="H3648" s="43">
        <v>144.44892668419828</v>
      </c>
      <c r="I3648" s="43">
        <v>145.01729285812468</v>
      </c>
    </row>
    <row r="3649" spans="1:9">
      <c r="A3649" s="19">
        <v>724.3</v>
      </c>
      <c r="B3649" s="43">
        <v>138.28714935180602</v>
      </c>
      <c r="C3649" s="43">
        <v>139.66923097758053</v>
      </c>
      <c r="D3649" s="43">
        <v>140.9088178083162</v>
      </c>
      <c r="E3649" s="43">
        <v>142.00475555660267</v>
      </c>
      <c r="F3649" s="43">
        <v>142.95949267491739</v>
      </c>
      <c r="G3649" s="43">
        <v>143.77816192784627</v>
      </c>
      <c r="H3649" s="43">
        <v>144.46774194775116</v>
      </c>
      <c r="I3649" s="43">
        <v>145.03635162584379</v>
      </c>
    </row>
    <row r="3650" spans="1:9">
      <c r="A3650" s="19">
        <v>724.4</v>
      </c>
      <c r="B3650" s="43">
        <v>138.3046851703287</v>
      </c>
      <c r="C3650" s="43">
        <v>139.68693293791887</v>
      </c>
      <c r="D3650" s="43">
        <v>140.9267118896845</v>
      </c>
      <c r="E3650" s="43">
        <v>142.02286239461836</v>
      </c>
      <c r="F3650" s="43">
        <v>142.97782733723272</v>
      </c>
      <c r="G3650" s="43">
        <v>143.79673416550804</v>
      </c>
      <c r="H3650" s="43">
        <v>144.48655674487759</v>
      </c>
      <c r="I3650" s="43">
        <v>145.0554098957021</v>
      </c>
    </row>
    <row r="3651" spans="1:9">
      <c r="A3651" s="19">
        <v>724.5</v>
      </c>
      <c r="B3651" s="43">
        <v>138.32222083552244</v>
      </c>
      <c r="C3651" s="43">
        <v>139.70463468574923</v>
      </c>
      <c r="D3651" s="43">
        <v>140.9446056988798</v>
      </c>
      <c r="E3651" s="43">
        <v>142.04096890339406</v>
      </c>
      <c r="F3651" s="43">
        <v>142.99616161792005</v>
      </c>
      <c r="G3651" s="43">
        <v>143.81530597558765</v>
      </c>
      <c r="H3651" s="43">
        <v>144.50537107559092</v>
      </c>
      <c r="I3651" s="43">
        <v>145.0744676677885</v>
      </c>
    </row>
    <row r="3652" spans="1:9">
      <c r="A3652" s="19">
        <v>724.6</v>
      </c>
      <c r="B3652" s="43">
        <v>138.33975634780194</v>
      </c>
      <c r="C3652" s="43">
        <v>139.72233622145882</v>
      </c>
      <c r="D3652" s="43">
        <v>140.96249923634946</v>
      </c>
      <c r="E3652" s="43">
        <v>142.0590750832834</v>
      </c>
      <c r="F3652" s="43">
        <v>143.01449551740069</v>
      </c>
      <c r="G3652" s="43">
        <v>143.83387735841507</v>
      </c>
      <c r="H3652" s="43">
        <v>144.52418494017172</v>
      </c>
      <c r="I3652" s="43">
        <v>145.09352494229023</v>
      </c>
    </row>
    <row r="3653" spans="1:9">
      <c r="A3653" s="19">
        <v>724.7</v>
      </c>
      <c r="B3653" s="43">
        <v>138.3572917070673</v>
      </c>
      <c r="C3653" s="43">
        <v>139.74003754500438</v>
      </c>
      <c r="D3653" s="43">
        <v>140.9803925019595</v>
      </c>
      <c r="E3653" s="43">
        <v>142.07718093424165</v>
      </c>
      <c r="F3653" s="43">
        <v>143.03282903565099</v>
      </c>
      <c r="G3653" s="43">
        <v>143.85244831400485</v>
      </c>
      <c r="H3653" s="43">
        <v>144.54299833865014</v>
      </c>
      <c r="I3653" s="43">
        <v>145.11258171924135</v>
      </c>
    </row>
    <row r="3654" spans="1:9">
      <c r="A3654" s="19">
        <v>724.8</v>
      </c>
      <c r="B3654" s="43">
        <v>138.37482691345912</v>
      </c>
      <c r="C3654" s="43">
        <v>139.75773865646272</v>
      </c>
      <c r="D3654" s="43">
        <v>140.99828549594582</v>
      </c>
      <c r="E3654" s="43">
        <v>142.09528645641751</v>
      </c>
      <c r="F3654" s="43">
        <v>143.0511621728046</v>
      </c>
      <c r="G3654" s="43">
        <v>143.87101884251808</v>
      </c>
      <c r="H3654" s="43">
        <v>144.56181127117645</v>
      </c>
      <c r="I3654" s="43">
        <v>145.13163799885717</v>
      </c>
    </row>
    <row r="3655" spans="1:9">
      <c r="A3655" s="19">
        <v>724.9</v>
      </c>
      <c r="B3655" s="43">
        <v>138.39236196716877</v>
      </c>
      <c r="C3655" s="43">
        <v>139.77543955611065</v>
      </c>
      <c r="D3655" s="43">
        <v>141.01617821848396</v>
      </c>
      <c r="E3655" s="43">
        <v>142.11339165006626</v>
      </c>
      <c r="F3655" s="43">
        <v>143.06949492909848</v>
      </c>
      <c r="G3655" s="43">
        <v>143.88958894414583</v>
      </c>
      <c r="H3655" s="43">
        <v>144.5806237379731</v>
      </c>
      <c r="I3655" s="43">
        <v>145.15069378124815</v>
      </c>
    </row>
    <row r="3656" spans="1:9">
      <c r="A3656" s="19">
        <v>725</v>
      </c>
      <c r="B3656" s="43">
        <v>138.4098968680745</v>
      </c>
      <c r="C3656" s="43">
        <v>139.79314024388168</v>
      </c>
      <c r="D3656" s="43">
        <v>141.0340706695186</v>
      </c>
      <c r="E3656" s="43">
        <v>142.13149651515147</v>
      </c>
      <c r="F3656" s="43">
        <v>143.08782730450605</v>
      </c>
      <c r="G3656" s="43">
        <v>143.90815861889746</v>
      </c>
      <c r="H3656" s="43">
        <v>144.59943573904678</v>
      </c>
      <c r="I3656" s="43">
        <v>145.16974906647624</v>
      </c>
    </row>
    <row r="3657" spans="1:9">
      <c r="A3657" s="19">
        <v>725.1</v>
      </c>
      <c r="B3657" s="43">
        <v>138.42743161645853</v>
      </c>
      <c r="C3657" s="43">
        <v>139.81084071995519</v>
      </c>
      <c r="D3657" s="43">
        <v>141.05196284934317</v>
      </c>
      <c r="E3657" s="43">
        <v>142.14960105192893</v>
      </c>
      <c r="F3657" s="43">
        <v>143.10615929934374</v>
      </c>
      <c r="G3657" s="43">
        <v>143.92672786704793</v>
      </c>
      <c r="H3657" s="43">
        <v>144.61824727457883</v>
      </c>
      <c r="I3657" s="43">
        <v>145.18880385471931</v>
      </c>
    </row>
    <row r="3658" spans="1:9">
      <c r="A3658" s="19">
        <v>725.2</v>
      </c>
      <c r="B3658" s="43">
        <v>138.44496621217479</v>
      </c>
      <c r="C3658" s="43">
        <v>139.82854098429016</v>
      </c>
      <c r="D3658" s="43">
        <v>141.06985475788832</v>
      </c>
      <c r="E3658" s="43">
        <v>142.16770526038869</v>
      </c>
      <c r="F3658" s="43">
        <v>143.12449091355444</v>
      </c>
      <c r="G3658" s="43">
        <v>143.94529668856302</v>
      </c>
      <c r="H3658" s="43">
        <v>144.637058344661</v>
      </c>
      <c r="I3658" s="43">
        <v>145.20785814602328</v>
      </c>
    </row>
    <row r="3659" spans="1:9">
      <c r="A3659" s="19">
        <v>725.3</v>
      </c>
      <c r="B3659" s="43">
        <v>138.46250065559906</v>
      </c>
      <c r="C3659" s="43">
        <v>139.8462410373171</v>
      </c>
      <c r="D3659" s="43">
        <v>141.08774639551933</v>
      </c>
      <c r="E3659" s="43">
        <v>142.18580914083662</v>
      </c>
      <c r="F3659" s="43">
        <v>143.14282214746248</v>
      </c>
      <c r="G3659" s="43">
        <v>143.96386508379959</v>
      </c>
      <c r="H3659" s="43">
        <v>144.65586894954725</v>
      </c>
      <c r="I3659" s="43">
        <v>145.22691194064936</v>
      </c>
    </row>
    <row r="3660" spans="1:9">
      <c r="A3660" s="19">
        <v>725.4</v>
      </c>
      <c r="B3660" s="43">
        <v>138.48003494664351</v>
      </c>
      <c r="C3660" s="43">
        <v>139.86394087888743</v>
      </c>
      <c r="D3660" s="43">
        <v>141.1056377621502</v>
      </c>
      <c r="E3660" s="43">
        <v>142.20391269327979</v>
      </c>
      <c r="F3660" s="43">
        <v>143.16115300108953</v>
      </c>
      <c r="G3660" s="43">
        <v>143.98243305271598</v>
      </c>
      <c r="H3660" s="43">
        <v>144.67467908922725</v>
      </c>
      <c r="I3660" s="43">
        <v>145.24596523861373</v>
      </c>
    </row>
    <row r="3661" spans="1:9">
      <c r="A3661" s="19">
        <v>725.5</v>
      </c>
      <c r="B3661" s="43">
        <v>138.49756908549017</v>
      </c>
      <c r="C3661" s="43">
        <v>139.88164050921972</v>
      </c>
      <c r="D3661" s="43">
        <v>141.12352885809275</v>
      </c>
      <c r="E3661" s="43">
        <v>142.22201591797165</v>
      </c>
      <c r="F3661" s="43">
        <v>143.17948347465966</v>
      </c>
      <c r="G3661" s="43">
        <v>144.00100059557133</v>
      </c>
      <c r="H3661" s="43">
        <v>144.69348876397481</v>
      </c>
      <c r="I3661" s="43">
        <v>145.26501804011849</v>
      </c>
    </row>
    <row r="3662" spans="1:9">
      <c r="A3662" s="19">
        <v>725.6</v>
      </c>
      <c r="B3662" s="43">
        <v>138.51510307217484</v>
      </c>
      <c r="C3662" s="43">
        <v>139.8993399283778</v>
      </c>
      <c r="D3662" s="43">
        <v>141.14141968332382</v>
      </c>
      <c r="E3662" s="43">
        <v>142.24011881491748</v>
      </c>
      <c r="F3662" s="43">
        <v>143.1978135682167</v>
      </c>
      <c r="G3662" s="43">
        <v>144.01956771241402</v>
      </c>
      <c r="H3662" s="43">
        <v>144.71229797378089</v>
      </c>
      <c r="I3662" s="43">
        <v>145.28407034523894</v>
      </c>
    </row>
    <row r="3663" spans="1:9">
      <c r="A3663" s="19">
        <v>725.7</v>
      </c>
      <c r="B3663" s="43">
        <v>138.53263690685748</v>
      </c>
      <c r="C3663" s="43">
        <v>139.9170391365567</v>
      </c>
      <c r="D3663" s="43">
        <v>141.15931023807866</v>
      </c>
      <c r="E3663" s="43">
        <v>142.25822138437002</v>
      </c>
      <c r="F3663" s="43">
        <v>143.21614328195392</v>
      </c>
      <c r="G3663" s="43">
        <v>144.03813440343947</v>
      </c>
      <c r="H3663" s="43">
        <v>144.73110671888998</v>
      </c>
      <c r="I3663" s="43">
        <v>145.30312215412005</v>
      </c>
    </row>
    <row r="3664" spans="1:9">
      <c r="A3664" s="19">
        <v>725.8</v>
      </c>
      <c r="B3664" s="43">
        <v>138.55017058948107</v>
      </c>
      <c r="C3664" s="43">
        <v>139.93473813371645</v>
      </c>
      <c r="D3664" s="43">
        <v>141.17720052235012</v>
      </c>
      <c r="E3664" s="43">
        <v>142.27632362636484</v>
      </c>
      <c r="F3664" s="43">
        <v>143.23447261599455</v>
      </c>
      <c r="G3664" s="43">
        <v>144.05670066873938</v>
      </c>
      <c r="H3664" s="43">
        <v>144.74991499933367</v>
      </c>
      <c r="I3664" s="43">
        <v>145.32217346685678</v>
      </c>
    </row>
    <row r="3665" spans="1:9">
      <c r="A3665" s="19">
        <v>725.9</v>
      </c>
      <c r="B3665" s="43">
        <v>138.56770412045046</v>
      </c>
      <c r="C3665" s="43">
        <v>139.95243692021779</v>
      </c>
      <c r="D3665" s="43">
        <v>141.19509053649119</v>
      </c>
      <c r="E3665" s="43">
        <v>142.29442554118958</v>
      </c>
      <c r="F3665" s="43">
        <v>143.25280157058603</v>
      </c>
      <c r="G3665" s="43">
        <v>144.07526650856909</v>
      </c>
      <c r="H3665" s="43">
        <v>144.76872281543223</v>
      </c>
      <c r="I3665" s="43">
        <v>145.34122428369545</v>
      </c>
    </row>
    <row r="3666" spans="1:9">
      <c r="A3666" s="19">
        <v>726</v>
      </c>
      <c r="B3666" s="43">
        <v>138.58523749948637</v>
      </c>
      <c r="C3666" s="43">
        <v>139.97013549587717</v>
      </c>
      <c r="D3666" s="43">
        <v>141.21298028035733</v>
      </c>
      <c r="E3666" s="43">
        <v>142.31252712872737</v>
      </c>
      <c r="F3666" s="43">
        <v>143.27113014568579</v>
      </c>
      <c r="G3666" s="43">
        <v>144.09383192290284</v>
      </c>
      <c r="H3666" s="43">
        <v>144.78753016710897</v>
      </c>
      <c r="I3666" s="43">
        <v>145.36027460457552</v>
      </c>
    </row>
    <row r="3667" spans="1:9">
      <c r="A3667" s="19">
        <v>726.1</v>
      </c>
      <c r="B3667" s="43">
        <v>138.6027707268571</v>
      </c>
      <c r="C3667" s="43">
        <v>139.98783386094436</v>
      </c>
      <c r="D3667" s="43">
        <v>141.23086975415117</v>
      </c>
      <c r="E3667" s="43">
        <v>142.33062838926128</v>
      </c>
      <c r="F3667" s="43">
        <v>143.28945834144639</v>
      </c>
      <c r="G3667" s="43">
        <v>144.11239691190161</v>
      </c>
      <c r="H3667" s="43">
        <v>144.80633705456535</v>
      </c>
      <c r="I3667" s="43">
        <v>145.37932442976296</v>
      </c>
    </row>
    <row r="3668" spans="1:9">
      <c r="A3668" s="19">
        <v>726.2</v>
      </c>
      <c r="B3668" s="43">
        <v>138.620303802455</v>
      </c>
      <c r="C3668" s="43">
        <v>140.00553201530556</v>
      </c>
      <c r="D3668" s="43">
        <v>141.24875895793173</v>
      </c>
      <c r="E3668" s="43">
        <v>142.34872932276295</v>
      </c>
      <c r="F3668" s="43">
        <v>143.30778615799937</v>
      </c>
      <c r="G3668" s="43">
        <v>144.13096147568234</v>
      </c>
      <c r="H3668" s="43">
        <v>144.82514347785525</v>
      </c>
      <c r="I3668" s="43">
        <v>145.39837375918421</v>
      </c>
    </row>
    <row r="3669" spans="1:9">
      <c r="A3669" s="19">
        <v>726.3</v>
      </c>
      <c r="B3669" s="43">
        <v>138.63783672670132</v>
      </c>
      <c r="C3669" s="43">
        <v>140.02322995947719</v>
      </c>
      <c r="D3669" s="43">
        <v>141.26664789203824</v>
      </c>
      <c r="E3669" s="43">
        <v>142.36682992965626</v>
      </c>
      <c r="F3669" s="43">
        <v>143.32611359566727</v>
      </c>
      <c r="G3669" s="43">
        <v>144.14952561454174</v>
      </c>
      <c r="H3669" s="43">
        <v>144.84394943728194</v>
      </c>
      <c r="I3669" s="43">
        <v>145.41742259324383</v>
      </c>
    </row>
    <row r="3670" spans="1:9">
      <c r="A3670" s="19">
        <v>726.4</v>
      </c>
      <c r="B3670" s="43">
        <v>138.65536949952019</v>
      </c>
      <c r="C3670" s="43">
        <v>140.04092769329299</v>
      </c>
      <c r="D3670" s="43">
        <v>141.28453655644086</v>
      </c>
      <c r="E3670" s="43">
        <v>142.38493020989256</v>
      </c>
      <c r="F3670" s="43">
        <v>143.34444065439254</v>
      </c>
      <c r="G3670" s="43">
        <v>144.16808932848949</v>
      </c>
      <c r="H3670" s="43">
        <v>144.86275493289565</v>
      </c>
      <c r="I3670" s="43">
        <v>145.43647093190276</v>
      </c>
    </row>
    <row r="3671" spans="1:9">
      <c r="A3671" s="19">
        <v>726.5</v>
      </c>
      <c r="B3671" s="43">
        <v>138.67290212105456</v>
      </c>
      <c r="C3671" s="43">
        <v>140.05862521702574</v>
      </c>
      <c r="D3671" s="43">
        <v>141.30242495135707</v>
      </c>
      <c r="E3671" s="43">
        <v>142.40303016367915</v>
      </c>
      <c r="F3671" s="43">
        <v>143.36276733444151</v>
      </c>
      <c r="G3671" s="43">
        <v>144.18665261773191</v>
      </c>
      <c r="H3671" s="43">
        <v>144.88155996485938</v>
      </c>
      <c r="I3671" s="43">
        <v>145.4555187753619</v>
      </c>
    </row>
    <row r="3672" spans="1:9">
      <c r="A3672" s="19">
        <v>726.6</v>
      </c>
      <c r="B3672" s="43">
        <v>138.6904345912597</v>
      </c>
      <c r="C3672" s="43">
        <v>140.07632253055436</v>
      </c>
      <c r="D3672" s="43">
        <v>141.32031307668854</v>
      </c>
      <c r="E3672" s="43">
        <v>142.42112979097266</v>
      </c>
      <c r="F3672" s="43">
        <v>143.38109363577018</v>
      </c>
      <c r="G3672" s="43">
        <v>144.20521548226964</v>
      </c>
      <c r="H3672" s="43">
        <v>144.90036453319641</v>
      </c>
      <c r="I3672" s="43">
        <v>145.47456612363254</v>
      </c>
    </row>
    <row r="3673" spans="1:9">
      <c r="A3673" s="19">
        <v>726.7</v>
      </c>
      <c r="B3673" s="43">
        <v>138.70796691031831</v>
      </c>
      <c r="C3673" s="43">
        <v>140.09401963420544</v>
      </c>
      <c r="D3673" s="43">
        <v>141.3382009328115</v>
      </c>
      <c r="E3673" s="43">
        <v>142.43922909210124</v>
      </c>
      <c r="F3673" s="43">
        <v>143.39941955870972</v>
      </c>
      <c r="G3673" s="43">
        <v>144.22377792239843</v>
      </c>
      <c r="H3673" s="43">
        <v>144.9191686381514</v>
      </c>
      <c r="I3673" s="43">
        <v>145.49361297693127</v>
      </c>
    </row>
    <row r="3674" spans="1:9">
      <c r="A3674" s="19">
        <v>726.8</v>
      </c>
      <c r="B3674" s="43">
        <v>138.7254990783992</v>
      </c>
      <c r="C3674" s="43">
        <v>140.11171652802176</v>
      </c>
      <c r="D3674" s="43">
        <v>141.35608851974854</v>
      </c>
      <c r="E3674" s="43">
        <v>142.45732806717479</v>
      </c>
      <c r="F3674" s="43">
        <v>143.41774510335313</v>
      </c>
      <c r="G3674" s="43">
        <v>144.24233993817711</v>
      </c>
      <c r="H3674" s="43">
        <v>144.93797227984919</v>
      </c>
      <c r="I3674" s="43">
        <v>145.51265933538343</v>
      </c>
    </row>
    <row r="3675" spans="1:9">
      <c r="A3675" s="19">
        <v>726.9</v>
      </c>
      <c r="B3675" s="43">
        <v>138.74303109559639</v>
      </c>
      <c r="C3675" s="43">
        <v>140.12941321219711</v>
      </c>
      <c r="D3675" s="43">
        <v>141.37397583776203</v>
      </c>
      <c r="E3675" s="43">
        <v>142.47542671633568</v>
      </c>
      <c r="F3675" s="43">
        <v>143.43607026988923</v>
      </c>
      <c r="G3675" s="43">
        <v>144.2609015298263</v>
      </c>
      <c r="H3675" s="43">
        <v>144.95677545843739</v>
      </c>
      <c r="I3675" s="43">
        <v>145.53170519917666</v>
      </c>
    </row>
    <row r="3676" spans="1:9">
      <c r="A3676" s="19">
        <v>727</v>
      </c>
      <c r="B3676" s="43">
        <v>138.76056296180116</v>
      </c>
      <c r="C3676" s="43">
        <v>140.14710968659546</v>
      </c>
      <c r="D3676" s="43">
        <v>141.39186288667673</v>
      </c>
      <c r="E3676" s="43">
        <v>142.49352503959142</v>
      </c>
      <c r="F3676" s="43">
        <v>143.45439505823032</v>
      </c>
      <c r="G3676" s="43">
        <v>144.27946269734474</v>
      </c>
      <c r="H3676" s="43">
        <v>144.97557817397359</v>
      </c>
      <c r="I3676" s="43">
        <v>145.55075056826888</v>
      </c>
    </row>
    <row r="3677" spans="1:9">
      <c r="A3677" s="19">
        <v>727.1</v>
      </c>
      <c r="B3677" s="43">
        <v>138.77809467719095</v>
      </c>
      <c r="C3677" s="43">
        <v>140.16480595145282</v>
      </c>
      <c r="D3677" s="43">
        <v>141.40974966680909</v>
      </c>
      <c r="E3677" s="43">
        <v>142.51162303710362</v>
      </c>
      <c r="F3677" s="43">
        <v>143.47271946866158</v>
      </c>
      <c r="G3677" s="43">
        <v>144.29802344091667</v>
      </c>
      <c r="H3677" s="43">
        <v>144.99438042658244</v>
      </c>
      <c r="I3677" s="43">
        <v>145.56979544286702</v>
      </c>
    </row>
    <row r="3678" spans="1:9">
      <c r="A3678" s="19">
        <v>727.2</v>
      </c>
      <c r="B3678" s="43">
        <v>138.79562624181256</v>
      </c>
      <c r="C3678" s="43">
        <v>140.1825020068469</v>
      </c>
      <c r="D3678" s="43">
        <v>141.42763617811283</v>
      </c>
      <c r="E3678" s="43">
        <v>142.52972070896789</v>
      </c>
      <c r="F3678" s="43">
        <v>143.49104350127584</v>
      </c>
      <c r="G3678" s="43">
        <v>144.31658376065576</v>
      </c>
      <c r="H3678" s="43">
        <v>145.01318221640815</v>
      </c>
      <c r="I3678" s="43">
        <v>145.58883982305804</v>
      </c>
    </row>
    <row r="3679" spans="1:9">
      <c r="A3679" s="19">
        <v>727.3</v>
      </c>
      <c r="B3679" s="43">
        <v>138.8131576558867</v>
      </c>
      <c r="C3679" s="43">
        <v>140.20019785298518</v>
      </c>
      <c r="D3679" s="43">
        <v>141.4455224209612</v>
      </c>
      <c r="E3679" s="43">
        <v>142.54781805545963</v>
      </c>
      <c r="F3679" s="43">
        <v>143.5093671562795</v>
      </c>
      <c r="G3679" s="43">
        <v>144.33514365675251</v>
      </c>
      <c r="H3679" s="43">
        <v>145.03198354361319</v>
      </c>
      <c r="I3679" s="43">
        <v>145.60788370901975</v>
      </c>
    </row>
    <row r="3680" spans="1:9">
      <c r="A3680" s="19">
        <v>727.4</v>
      </c>
      <c r="B3680" s="43">
        <v>138.83068891955094</v>
      </c>
      <c r="C3680" s="43">
        <v>140.21789348995691</v>
      </c>
      <c r="D3680" s="43">
        <v>141.46340839539351</v>
      </c>
      <c r="E3680" s="43">
        <v>142.56591507669708</v>
      </c>
      <c r="F3680" s="43">
        <v>143.5276904337772</v>
      </c>
      <c r="G3680" s="43">
        <v>144.35370312937647</v>
      </c>
      <c r="H3680" s="43">
        <v>145.05078440838696</v>
      </c>
      <c r="I3680" s="43">
        <v>145.62692710093359</v>
      </c>
    </row>
    <row r="3681" spans="1:9">
      <c r="A3681" s="19">
        <v>727.5</v>
      </c>
      <c r="B3681" s="43">
        <v>138.84822003261462</v>
      </c>
      <c r="C3681" s="43">
        <v>140.23558891779919</v>
      </c>
      <c r="D3681" s="43">
        <v>141.4812941014132</v>
      </c>
      <c r="E3681" s="43">
        <v>142.58401177266825</v>
      </c>
      <c r="F3681" s="43">
        <v>143.5460133338712</v>
      </c>
      <c r="G3681" s="43">
        <v>144.37226217856988</v>
      </c>
      <c r="H3681" s="43">
        <v>145.06958481073383</v>
      </c>
      <c r="I3681" s="43">
        <v>145.64596999879979</v>
      </c>
    </row>
    <row r="3682" spans="1:9">
      <c r="A3682" s="19">
        <v>727.6</v>
      </c>
      <c r="B3682" s="43">
        <v>138.86575099553977</v>
      </c>
      <c r="C3682" s="43">
        <v>140.2532841367107</v>
      </c>
      <c r="D3682" s="43">
        <v>141.49917953931623</v>
      </c>
      <c r="E3682" s="43">
        <v>142.60210814368043</v>
      </c>
      <c r="F3682" s="43">
        <v>143.56433585681822</v>
      </c>
      <c r="G3682" s="43">
        <v>144.39082080457672</v>
      </c>
      <c r="H3682" s="43">
        <v>145.08838475094609</v>
      </c>
      <c r="I3682" s="43">
        <v>145.66501240283469</v>
      </c>
    </row>
    <row r="3683" spans="1:9">
      <c r="A3683" s="19">
        <v>727.7</v>
      </c>
      <c r="B3683" s="43">
        <v>138.88328180803722</v>
      </c>
      <c r="C3683" s="43">
        <v>140.27097914661942</v>
      </c>
      <c r="D3683" s="43">
        <v>141.51706470904907</v>
      </c>
      <c r="E3683" s="43">
        <v>142.62020418969576</v>
      </c>
      <c r="F3683" s="43">
        <v>143.58265800254509</v>
      </c>
      <c r="G3683" s="43">
        <v>144.40937900739488</v>
      </c>
      <c r="H3683" s="43">
        <v>145.10718422898719</v>
      </c>
      <c r="I3683" s="43">
        <v>145.68405431308514</v>
      </c>
    </row>
    <row r="3684" spans="1:9">
      <c r="A3684" s="19">
        <v>727.8</v>
      </c>
      <c r="B3684" s="43">
        <v>138.90081247050017</v>
      </c>
      <c r="C3684" s="43">
        <v>140.28867394789296</v>
      </c>
      <c r="D3684" s="43">
        <v>141.53494961092144</v>
      </c>
      <c r="E3684" s="43">
        <v>142.63829991099351</v>
      </c>
      <c r="F3684" s="43">
        <v>143.60097977139583</v>
      </c>
      <c r="G3684" s="43">
        <v>144.4279367872989</v>
      </c>
      <c r="H3684" s="43">
        <v>145.12598324513266</v>
      </c>
      <c r="I3684" s="43">
        <v>145.7030957297851</v>
      </c>
    </row>
    <row r="3685" spans="1:9">
      <c r="A3685" s="19">
        <v>727.9</v>
      </c>
      <c r="B3685" s="43">
        <v>138.91834298300745</v>
      </c>
      <c r="C3685" s="43">
        <v>140.30636854058611</v>
      </c>
      <c r="D3685" s="43">
        <v>141.55283424497043</v>
      </c>
      <c r="E3685" s="43">
        <v>142.65639530772393</v>
      </c>
      <c r="F3685" s="43">
        <v>143.61930116347281</v>
      </c>
      <c r="G3685" s="43">
        <v>144.44649414442034</v>
      </c>
      <c r="H3685" s="43">
        <v>145.14478179946929</v>
      </c>
      <c r="I3685" s="43">
        <v>145.72213665304236</v>
      </c>
    </row>
    <row r="3686" spans="1:9">
      <c r="A3686" s="19">
        <v>728</v>
      </c>
      <c r="B3686" s="43">
        <v>138.93587334538705</v>
      </c>
      <c r="C3686" s="43">
        <v>140.32406292457779</v>
      </c>
      <c r="D3686" s="43">
        <v>141.5707186112358</v>
      </c>
      <c r="E3686" s="43">
        <v>142.67449037981834</v>
      </c>
      <c r="F3686" s="43">
        <v>143.63762217878832</v>
      </c>
      <c r="G3686" s="43">
        <v>144.46505107875549</v>
      </c>
      <c r="H3686" s="43">
        <v>145.16357989206574</v>
      </c>
      <c r="I3686" s="43">
        <v>145.7411770828424</v>
      </c>
    </row>
    <row r="3687" spans="1:9">
      <c r="A3687" s="19">
        <v>728.1</v>
      </c>
      <c r="B3687" s="43">
        <v>138.95340355787607</v>
      </c>
      <c r="C3687" s="43">
        <v>140.34175710013011</v>
      </c>
      <c r="D3687" s="43">
        <v>141.5886027098806</v>
      </c>
      <c r="E3687" s="43">
        <v>142.69258512752623</v>
      </c>
      <c r="F3687" s="43">
        <v>143.65594281747542</v>
      </c>
      <c r="G3687" s="43">
        <v>144.48360759049257</v>
      </c>
      <c r="H3687" s="43">
        <v>145.18237752306794</v>
      </c>
      <c r="I3687" s="43">
        <v>145.76021701940448</v>
      </c>
    </row>
    <row r="3688" spans="1:9">
      <c r="A3688" s="19">
        <v>728.2</v>
      </c>
      <c r="B3688" s="43">
        <v>138.97093362044041</v>
      </c>
      <c r="C3688" s="43">
        <v>140.35945106724017</v>
      </c>
      <c r="D3688" s="43">
        <v>141.60648654097031</v>
      </c>
      <c r="E3688" s="43">
        <v>142.71067955084663</v>
      </c>
      <c r="F3688" s="43">
        <v>143.67426307969805</v>
      </c>
      <c r="G3688" s="43">
        <v>144.50216367972462</v>
      </c>
      <c r="H3688" s="43">
        <v>145.20117469255263</v>
      </c>
      <c r="I3688" s="43">
        <v>145.779256462788</v>
      </c>
    </row>
    <row r="3689" spans="1:9">
      <c r="A3689" s="19">
        <v>728.3</v>
      </c>
      <c r="B3689" s="43">
        <v>138.98846353341469</v>
      </c>
      <c r="C3689" s="43">
        <v>140.37714482619168</v>
      </c>
      <c r="D3689" s="43">
        <v>141.62437010480824</v>
      </c>
      <c r="E3689" s="43">
        <v>142.72877365015808</v>
      </c>
      <c r="F3689" s="43">
        <v>143.69258296571093</v>
      </c>
      <c r="G3689" s="43">
        <v>144.52071934674711</v>
      </c>
      <c r="H3689" s="43">
        <v>145.21997140082664</v>
      </c>
      <c r="I3689" s="43">
        <v>145.7982954132591</v>
      </c>
    </row>
    <row r="3690" spans="1:9">
      <c r="A3690" s="19">
        <v>728.4</v>
      </c>
      <c r="B3690" s="43">
        <v>139.00599329670962</v>
      </c>
      <c r="C3690" s="43">
        <v>140.39483837703119</v>
      </c>
      <c r="D3690" s="43">
        <v>141.64225340138495</v>
      </c>
      <c r="E3690" s="43">
        <v>142.74686742545282</v>
      </c>
      <c r="F3690" s="43">
        <v>143.71090247555628</v>
      </c>
      <c r="G3690" s="43">
        <v>144.53927459156455</v>
      </c>
      <c r="H3690" s="43">
        <v>145.23876764793971</v>
      </c>
      <c r="I3690" s="43">
        <v>145.81733387085086</v>
      </c>
    </row>
    <row r="3691" spans="1:9">
      <c r="A3691" s="19">
        <v>728.5</v>
      </c>
      <c r="B3691" s="43">
        <v>139.02352291060765</v>
      </c>
      <c r="C3691" s="43">
        <v>140.41253171992599</v>
      </c>
      <c r="D3691" s="43">
        <v>141.6601364309293</v>
      </c>
      <c r="E3691" s="43">
        <v>142.76496087694517</v>
      </c>
      <c r="F3691" s="43">
        <v>143.72922160943864</v>
      </c>
      <c r="G3691" s="43">
        <v>144.55782941446813</v>
      </c>
      <c r="H3691" s="43">
        <v>145.25756343404379</v>
      </c>
      <c r="I3691" s="43">
        <v>145.83637183574359</v>
      </c>
    </row>
    <row r="3692" spans="1:9">
      <c r="A3692" s="19">
        <v>728.6</v>
      </c>
      <c r="B3692" s="43">
        <v>139.04105237501841</v>
      </c>
      <c r="C3692" s="43">
        <v>140.43022485488291</v>
      </c>
      <c r="D3692" s="43">
        <v>141.67801919347579</v>
      </c>
      <c r="E3692" s="43">
        <v>142.78305400471521</v>
      </c>
      <c r="F3692" s="43">
        <v>143.74754036745645</v>
      </c>
      <c r="G3692" s="43">
        <v>144.57638381542813</v>
      </c>
      <c r="H3692" s="43">
        <v>145.27635875922982</v>
      </c>
      <c r="I3692" s="43">
        <v>145.8554093080167</v>
      </c>
    </row>
    <row r="3693" spans="1:9">
      <c r="A3693" s="19">
        <v>728.7</v>
      </c>
      <c r="B3693" s="43">
        <v>139.05858168999322</v>
      </c>
      <c r="C3693" s="43">
        <v>140.44791778198231</v>
      </c>
      <c r="D3693" s="43">
        <v>141.69590168905154</v>
      </c>
      <c r="E3693" s="43">
        <v>142.80114680877836</v>
      </c>
      <c r="F3693" s="43">
        <v>143.76585874964366</v>
      </c>
      <c r="G3693" s="43">
        <v>144.59493779457887</v>
      </c>
      <c r="H3693" s="43">
        <v>145.29515362357341</v>
      </c>
      <c r="I3693" s="43">
        <v>145.87444628774801</v>
      </c>
    </row>
    <row r="3694" spans="1:9">
      <c r="A3694" s="19">
        <v>728.8</v>
      </c>
      <c r="B3694" s="43">
        <v>139.07611085584955</v>
      </c>
      <c r="C3694" s="43">
        <v>140.46561050148</v>
      </c>
      <c r="D3694" s="43">
        <v>141.71378391801932</v>
      </c>
      <c r="E3694" s="43">
        <v>142.81923928946782</v>
      </c>
      <c r="F3694" s="43">
        <v>143.78417675631266</v>
      </c>
      <c r="G3694" s="43">
        <v>144.61349135219371</v>
      </c>
      <c r="H3694" s="43">
        <v>145.31394802737719</v>
      </c>
      <c r="I3694" s="43">
        <v>145.8934827751836</v>
      </c>
    </row>
    <row r="3695" spans="1:9">
      <c r="A3695" s="19">
        <v>728.9</v>
      </c>
      <c r="B3695" s="43">
        <v>139.09363987249969</v>
      </c>
      <c r="C3695" s="43">
        <v>140.4833030133691</v>
      </c>
      <c r="D3695" s="43">
        <v>141.73166588035383</v>
      </c>
      <c r="E3695" s="43">
        <v>142.83733144682577</v>
      </c>
      <c r="F3695" s="43">
        <v>143.80249438747336</v>
      </c>
      <c r="G3695" s="43">
        <v>144.63204448831334</v>
      </c>
      <c r="H3695" s="43">
        <v>145.33274197064674</v>
      </c>
      <c r="I3695" s="43">
        <v>145.91251877038724</v>
      </c>
    </row>
    <row r="3696" spans="1:9">
      <c r="A3696" s="19">
        <v>729</v>
      </c>
      <c r="B3696" s="43">
        <v>139.11116874006274</v>
      </c>
      <c r="C3696" s="43">
        <v>140.50099531776505</v>
      </c>
      <c r="D3696" s="43">
        <v>141.74954757614404</v>
      </c>
      <c r="E3696" s="43">
        <v>142.85542328092782</v>
      </c>
      <c r="F3696" s="43">
        <v>143.82081164329702</v>
      </c>
      <c r="G3696" s="43">
        <v>144.65059720305754</v>
      </c>
      <c r="H3696" s="43">
        <v>145.35153545349368</v>
      </c>
      <c r="I3696" s="43">
        <v>145.93155427342276</v>
      </c>
    </row>
    <row r="3697" spans="1:9">
      <c r="A3697" s="19">
        <v>729.1</v>
      </c>
      <c r="B3697" s="43">
        <v>139.12869745865015</v>
      </c>
      <c r="C3697" s="43">
        <v>140.51868741480877</v>
      </c>
      <c r="D3697" s="43">
        <v>141.76742900560737</v>
      </c>
      <c r="E3697" s="43">
        <v>142.87351479200242</v>
      </c>
      <c r="F3697" s="43">
        <v>143.83912852391603</v>
      </c>
      <c r="G3697" s="43">
        <v>144.66914949660219</v>
      </c>
      <c r="H3697" s="43">
        <v>145.37032847616638</v>
      </c>
      <c r="I3697" s="43">
        <v>145.95058928450931</v>
      </c>
    </row>
    <row r="3698" spans="1:9">
      <c r="A3698" s="19">
        <v>729.2</v>
      </c>
      <c r="B3698" s="43">
        <v>139.14622602811875</v>
      </c>
      <c r="C3698" s="43">
        <v>140.5363793043843</v>
      </c>
      <c r="D3698" s="43">
        <v>141.7853101685879</v>
      </c>
      <c r="E3698" s="43">
        <v>142.89160597993185</v>
      </c>
      <c r="F3698" s="43">
        <v>143.85744502934426</v>
      </c>
      <c r="G3698" s="43">
        <v>144.68770136896791</v>
      </c>
      <c r="H3698" s="43">
        <v>145.38912103856592</v>
      </c>
      <c r="I3698" s="43">
        <v>145.96962380361703</v>
      </c>
    </row>
    <row r="3699" spans="1:9">
      <c r="A3699" s="19">
        <v>729.3</v>
      </c>
      <c r="B3699" s="43">
        <v>139.16375444900706</v>
      </c>
      <c r="C3699" s="43">
        <v>140.55407098702602</v>
      </c>
      <c r="D3699" s="43">
        <v>141.8031910656477</v>
      </c>
      <c r="E3699" s="43">
        <v>142.90969684522338</v>
      </c>
      <c r="F3699" s="43">
        <v>143.87576116000531</v>
      </c>
      <c r="G3699" s="43">
        <v>144.70625282050634</v>
      </c>
      <c r="H3699" s="43">
        <v>145.40791314113358</v>
      </c>
      <c r="I3699" s="43">
        <v>145.98865783109721</v>
      </c>
    </row>
    <row r="3700" spans="1:9">
      <c r="A3700" s="19">
        <v>729.4</v>
      </c>
      <c r="B3700" s="43">
        <v>139.1812827210187</v>
      </c>
      <c r="C3700" s="43">
        <v>140.57176246247974</v>
      </c>
      <c r="D3700" s="43">
        <v>141.82107169659167</v>
      </c>
      <c r="E3700" s="43">
        <v>142.92778738775024</v>
      </c>
      <c r="F3700" s="43">
        <v>143.89407691576707</v>
      </c>
      <c r="G3700" s="43">
        <v>144.72480385120122</v>
      </c>
      <c r="H3700" s="43">
        <v>145.4267047837605</v>
      </c>
      <c r="I3700" s="43">
        <v>146.00769136690866</v>
      </c>
    </row>
    <row r="3701" spans="1:9">
      <c r="A3701" s="19">
        <v>729.5</v>
      </c>
      <c r="B3701" s="43">
        <v>139.19881084452777</v>
      </c>
      <c r="C3701" s="43">
        <v>140.58945373114705</v>
      </c>
      <c r="D3701" s="43">
        <v>141.83895206174122</v>
      </c>
      <c r="E3701" s="43">
        <v>142.94587760780547</v>
      </c>
      <c r="F3701" s="43">
        <v>143.91239229695663</v>
      </c>
      <c r="G3701" s="43">
        <v>144.74335446124036</v>
      </c>
      <c r="H3701" s="43">
        <v>145.445495966728</v>
      </c>
      <c r="I3701" s="43">
        <v>146.02672441128482</v>
      </c>
    </row>
    <row r="3702" spans="1:9">
      <c r="A3702" s="19">
        <v>729.6</v>
      </c>
      <c r="B3702" s="43">
        <v>139.21633881939107</v>
      </c>
      <c r="C3702" s="43">
        <v>140.60714479285349</v>
      </c>
      <c r="D3702" s="43">
        <v>141.85683216106497</v>
      </c>
      <c r="E3702" s="43">
        <v>142.96396750538236</v>
      </c>
      <c r="F3702" s="43">
        <v>143.93070730355777</v>
      </c>
      <c r="G3702" s="43">
        <v>144.76190465070812</v>
      </c>
      <c r="H3702" s="43">
        <v>145.46428669007224</v>
      </c>
      <c r="I3702" s="43">
        <v>146.04575696423188</v>
      </c>
    </row>
    <row r="3703" spans="1:9">
      <c r="A3703" s="19">
        <v>729.7</v>
      </c>
      <c r="B3703" s="43">
        <v>139.23386664586485</v>
      </c>
      <c r="C3703" s="43">
        <v>140.62483564791012</v>
      </c>
      <c r="D3703" s="43">
        <v>141.87471199474578</v>
      </c>
      <c r="E3703" s="43">
        <v>142.98205708067275</v>
      </c>
      <c r="F3703" s="43">
        <v>143.94902193579873</v>
      </c>
      <c r="G3703" s="43">
        <v>144.78045441983375</v>
      </c>
      <c r="H3703" s="43">
        <v>145.48307695400058</v>
      </c>
      <c r="I3703" s="43">
        <v>146.06478902599332</v>
      </c>
    </row>
    <row r="3704" spans="1:9">
      <c r="A3704" s="19">
        <v>729.8</v>
      </c>
      <c r="B3704" s="43">
        <v>139.2513943239735</v>
      </c>
      <c r="C3704" s="43">
        <v>140.64252629632199</v>
      </c>
      <c r="D3704" s="43">
        <v>141.89259156289796</v>
      </c>
      <c r="E3704" s="43">
        <v>143.00014633384836</v>
      </c>
      <c r="F3704" s="43">
        <v>143.96733619380677</v>
      </c>
      <c r="G3704" s="43">
        <v>144.79900376869165</v>
      </c>
      <c r="H3704" s="43">
        <v>145.50186675858134</v>
      </c>
      <c r="I3704" s="43">
        <v>146.08382059659448</v>
      </c>
    </row>
    <row r="3705" spans="1:9">
      <c r="A3705" s="19">
        <v>729.9</v>
      </c>
      <c r="B3705" s="43">
        <v>139.26892185383878</v>
      </c>
      <c r="C3705" s="43">
        <v>140.66021673830448</v>
      </c>
      <c r="D3705" s="43">
        <v>141.91047086572712</v>
      </c>
      <c r="E3705" s="43">
        <v>143.01823526499629</v>
      </c>
      <c r="F3705" s="43">
        <v>143.98565007773368</v>
      </c>
      <c r="G3705" s="43">
        <v>144.81755269744843</v>
      </c>
      <c r="H3705" s="43">
        <v>145.52065610401871</v>
      </c>
      <c r="I3705" s="43">
        <v>146.10285167627165</v>
      </c>
    </row>
    <row r="3706" spans="1:9">
      <c r="A3706" s="19">
        <v>730</v>
      </c>
      <c r="B3706" s="43">
        <v>139.273526546825</v>
      </c>
      <c r="C3706" s="43">
        <v>140.66507154917821</v>
      </c>
      <c r="D3706" s="43">
        <v>141.91570499670934</v>
      </c>
      <c r="E3706" s="43">
        <v>143.02397437088905</v>
      </c>
      <c r="F3706" s="43">
        <v>143.99201116469607</v>
      </c>
      <c r="G3706" s="43">
        <v>144.8246409213566</v>
      </c>
      <c r="H3706" s="43">
        <v>145.52856318002659</v>
      </c>
      <c r="I3706" s="43">
        <v>146.11165550709103</v>
      </c>
    </row>
    <row r="3707" spans="1:9">
      <c r="A3707" s="19">
        <v>730.1</v>
      </c>
      <c r="B3707" s="43">
        <v>139.27813239322307</v>
      </c>
      <c r="C3707" s="43">
        <v>140.6699273988533</v>
      </c>
      <c r="D3707" s="43">
        <v>141.92093975599266</v>
      </c>
      <c r="E3707" s="43">
        <v>143.02971345981177</v>
      </c>
      <c r="F3707" s="43">
        <v>143.99837141640859</v>
      </c>
      <c r="G3707" s="43">
        <v>144.83172737588723</v>
      </c>
      <c r="H3707" s="43">
        <v>145.53646748574408</v>
      </c>
      <c r="I3707" s="43">
        <v>146.12045553937736</v>
      </c>
    </row>
    <row r="3708" spans="1:9">
      <c r="A3708" s="19">
        <v>730.2</v>
      </c>
      <c r="B3708" s="43">
        <v>139.29565966978038</v>
      </c>
      <c r="C3708" s="43">
        <v>140.68761728551709</v>
      </c>
      <c r="D3708" s="43">
        <v>141.93881796445277</v>
      </c>
      <c r="E3708" s="43">
        <v>143.0478005705591</v>
      </c>
      <c r="F3708" s="43">
        <v>144.01668261672927</v>
      </c>
      <c r="G3708" s="43">
        <v>144.85027266618914</v>
      </c>
      <c r="H3708" s="43">
        <v>145.55525218499247</v>
      </c>
      <c r="I3708" s="43">
        <v>146.13948094385319</v>
      </c>
    </row>
    <row r="3709" spans="1:9">
      <c r="A3709" s="19">
        <v>730.3</v>
      </c>
      <c r="B3709" s="43">
        <v>139.31318679933361</v>
      </c>
      <c r="C3709" s="43">
        <v>140.70530696762961</v>
      </c>
      <c r="D3709" s="43">
        <v>141.95669591004491</v>
      </c>
      <c r="E3709" s="43">
        <v>143.06588736242145</v>
      </c>
      <c r="F3709" s="43">
        <v>144.03499344657956</v>
      </c>
      <c r="G3709" s="43">
        <v>144.86881754029548</v>
      </c>
      <c r="H3709" s="43">
        <v>145.57403642924794</v>
      </c>
      <c r="I3709" s="43">
        <v>146.15850586171462</v>
      </c>
    </row>
    <row r="3710" spans="1:9">
      <c r="A3710" s="19">
        <v>730.4</v>
      </c>
      <c r="B3710" s="43">
        <v>139.33071378171974</v>
      </c>
      <c r="C3710" s="43">
        <v>140.72299644502209</v>
      </c>
      <c r="D3710" s="43">
        <v>141.9745735927433</v>
      </c>
      <c r="E3710" s="43">
        <v>143.08397383528558</v>
      </c>
      <c r="F3710" s="43">
        <v>144.05330390577785</v>
      </c>
      <c r="G3710" s="43">
        <v>144.88736199817077</v>
      </c>
      <c r="H3710" s="43">
        <v>145.59282021847559</v>
      </c>
      <c r="I3710" s="43">
        <v>146.17753029292652</v>
      </c>
    </row>
    <row r="3711" spans="1:9">
      <c r="A3711" s="19">
        <v>730.5</v>
      </c>
      <c r="B3711" s="43">
        <v>139.34824061722759</v>
      </c>
      <c r="C3711" s="43">
        <v>140.7406857179721</v>
      </c>
      <c r="D3711" s="43">
        <v>141.99245101272794</v>
      </c>
      <c r="E3711" s="43">
        <v>143.10205998943792</v>
      </c>
      <c r="F3711" s="43">
        <v>144.07161399464161</v>
      </c>
      <c r="G3711" s="43">
        <v>144.90590604007855</v>
      </c>
      <c r="H3711" s="43">
        <v>145.6116035529086</v>
      </c>
      <c r="I3711" s="43">
        <v>146.19655423767858</v>
      </c>
    </row>
    <row r="3712" spans="1:9">
      <c r="A3712" s="19">
        <v>730.6</v>
      </c>
      <c r="B3712" s="43">
        <v>139.36576730572642</v>
      </c>
      <c r="C3712" s="43">
        <v>140.7583747864025</v>
      </c>
      <c r="D3712" s="43">
        <v>142.01032817003124</v>
      </c>
      <c r="E3712" s="43">
        <v>143.12014582482288</v>
      </c>
      <c r="F3712" s="43">
        <v>144.08992371317504</v>
      </c>
      <c r="G3712" s="43">
        <v>144.9244496660308</v>
      </c>
      <c r="H3712" s="43">
        <v>145.63038643254964</v>
      </c>
      <c r="I3712" s="43">
        <v>146.21557769602305</v>
      </c>
    </row>
    <row r="3713" spans="1:9">
      <c r="A3713" s="19">
        <v>730.7</v>
      </c>
      <c r="B3713" s="43">
        <v>139.38329384739347</v>
      </c>
      <c r="C3713" s="43">
        <v>140.77606365057301</v>
      </c>
      <c r="D3713" s="43">
        <v>142.02820506481811</v>
      </c>
      <c r="E3713" s="43">
        <v>143.1382313416928</v>
      </c>
      <c r="F3713" s="43">
        <v>144.10823306161137</v>
      </c>
      <c r="G3713" s="43">
        <v>144.94299287621305</v>
      </c>
      <c r="H3713" s="43">
        <v>145.64916885765541</v>
      </c>
      <c r="I3713" s="43">
        <v>146.23460066810867</v>
      </c>
    </row>
    <row r="3714" spans="1:9">
      <c r="A3714" s="19">
        <v>730.8</v>
      </c>
      <c r="B3714" s="43">
        <v>139.40082024245413</v>
      </c>
      <c r="C3714" s="43">
        <v>140.79375231061971</v>
      </c>
      <c r="D3714" s="43">
        <v>142.04608169727879</v>
      </c>
      <c r="E3714" s="43">
        <v>143.15631654024838</v>
      </c>
      <c r="F3714" s="43">
        <v>144.12654204012449</v>
      </c>
      <c r="G3714" s="43">
        <v>144.96153567082894</v>
      </c>
      <c r="H3714" s="43">
        <v>145.6679508283687</v>
      </c>
      <c r="I3714" s="43">
        <v>146.25362315417374</v>
      </c>
    </row>
    <row r="3715" spans="1:9">
      <c r="A3715" s="19">
        <v>730.9</v>
      </c>
      <c r="B3715" s="43">
        <v>139.4183464907378</v>
      </c>
      <c r="C3715" s="43">
        <v>140.8114407664371</v>
      </c>
      <c r="D3715" s="43">
        <v>142.06395806737163</v>
      </c>
      <c r="E3715" s="43">
        <v>143.1744014204524</v>
      </c>
      <c r="F3715" s="43">
        <v>144.1448506486883</v>
      </c>
      <c r="G3715" s="43">
        <v>144.98007804990038</v>
      </c>
      <c r="H3715" s="43">
        <v>145.68673234470106</v>
      </c>
      <c r="I3715" s="43">
        <v>146.27264515421246</v>
      </c>
    </row>
    <row r="3716" spans="1:9">
      <c r="A3716" s="19">
        <v>731</v>
      </c>
      <c r="B3716" s="43">
        <v>139.43587259247084</v>
      </c>
      <c r="C3716" s="43">
        <v>140.82912901833419</v>
      </c>
      <c r="D3716" s="43">
        <v>142.08183417532621</v>
      </c>
      <c r="E3716" s="43">
        <v>143.19248598249447</v>
      </c>
      <c r="F3716" s="43">
        <v>144.16315888754673</v>
      </c>
      <c r="G3716" s="43">
        <v>144.99862001359742</v>
      </c>
      <c r="H3716" s="43">
        <v>145.705513406855</v>
      </c>
      <c r="I3716" s="43">
        <v>146.29166666833277</v>
      </c>
    </row>
    <row r="3717" spans="1:9">
      <c r="A3717" s="19">
        <v>731.1</v>
      </c>
      <c r="B3717" s="43">
        <v>139.45339854757674</v>
      </c>
      <c r="C3717" s="43">
        <v>140.8468170660563</v>
      </c>
      <c r="D3717" s="43">
        <v>142.09971002110331</v>
      </c>
      <c r="E3717" s="43">
        <v>143.21057022639064</v>
      </c>
      <c r="F3717" s="43">
        <v>144.18146675666884</v>
      </c>
      <c r="G3717" s="43">
        <v>145.01716156196227</v>
      </c>
      <c r="H3717" s="43">
        <v>145.72429401487653</v>
      </c>
      <c r="I3717" s="43">
        <v>146.31068769668349</v>
      </c>
    </row>
    <row r="3718" spans="1:9">
      <c r="A3718" s="19">
        <v>731.2</v>
      </c>
      <c r="B3718" s="43">
        <v>139.470924356512</v>
      </c>
      <c r="C3718" s="43">
        <v>140.86450491030752</v>
      </c>
      <c r="D3718" s="43">
        <v>142.11758560517518</v>
      </c>
      <c r="E3718" s="43">
        <v>143.22865415257979</v>
      </c>
      <c r="F3718" s="43">
        <v>144.19977425651768</v>
      </c>
      <c r="G3718" s="43">
        <v>145.03570269537795</v>
      </c>
      <c r="H3718" s="43">
        <v>145.74307416905356</v>
      </c>
      <c r="I3718" s="43">
        <v>146.32970823951467</v>
      </c>
    </row>
    <row r="3719" spans="1:9">
      <c r="A3719" s="19">
        <v>731.3</v>
      </c>
      <c r="B3719" s="43">
        <v>139.48845001900452</v>
      </c>
      <c r="C3719" s="43">
        <v>140.88219255072073</v>
      </c>
      <c r="D3719" s="43">
        <v>142.13546092729888</v>
      </c>
      <c r="E3719" s="43">
        <v>143.24673776091697</v>
      </c>
      <c r="F3719" s="43">
        <v>144.21808138691318</v>
      </c>
      <c r="G3719" s="43">
        <v>145.05424341373356</v>
      </c>
      <c r="H3719" s="43">
        <v>145.7618538693938</v>
      </c>
      <c r="I3719" s="43">
        <v>146.34872829676425</v>
      </c>
    </row>
    <row r="3720" spans="1:9">
      <c r="A3720" s="19">
        <v>731.4</v>
      </c>
      <c r="B3720" s="43">
        <v>139.50597553533345</v>
      </c>
      <c r="C3720" s="43">
        <v>140.89987998761137</v>
      </c>
      <c r="D3720" s="43">
        <v>142.15333598779517</v>
      </c>
      <c r="E3720" s="43">
        <v>143.2648210515996</v>
      </c>
      <c r="F3720" s="43">
        <v>144.23638814819856</v>
      </c>
      <c r="G3720" s="43">
        <v>145.0727837172833</v>
      </c>
      <c r="H3720" s="43">
        <v>145.78063311610026</v>
      </c>
      <c r="I3720" s="43">
        <v>146.36774786871354</v>
      </c>
    </row>
    <row r="3721" spans="1:9">
      <c r="A3721" s="19">
        <v>731.5</v>
      </c>
      <c r="B3721" s="43">
        <v>139.52350090554506</v>
      </c>
      <c r="C3721" s="43">
        <v>140.91756722098586</v>
      </c>
      <c r="D3721" s="43">
        <v>142.17121078671107</v>
      </c>
      <c r="E3721" s="43">
        <v>143.28290402480707</v>
      </c>
      <c r="F3721" s="43">
        <v>144.25469454033833</v>
      </c>
      <c r="G3721" s="43">
        <v>145.09132360611466</v>
      </c>
      <c r="H3721" s="43">
        <v>145.79941190922182</v>
      </c>
      <c r="I3721" s="43">
        <v>146.38676695533564</v>
      </c>
    </row>
    <row r="3722" spans="1:9">
      <c r="A3722" s="19">
        <v>731.6</v>
      </c>
      <c r="B3722" s="43">
        <v>139.54102612974458</v>
      </c>
      <c r="C3722" s="43">
        <v>140.93525425106935</v>
      </c>
      <c r="D3722" s="43">
        <v>142.18908532426929</v>
      </c>
      <c r="E3722" s="43">
        <v>143.30098668068183</v>
      </c>
      <c r="F3722" s="43">
        <v>144.27300056361253</v>
      </c>
      <c r="G3722" s="43">
        <v>145.109863080445</v>
      </c>
      <c r="H3722" s="43">
        <v>145.81819024899215</v>
      </c>
      <c r="I3722" s="43">
        <v>146.40578555689677</v>
      </c>
    </row>
    <row r="3723" spans="1:9">
      <c r="A3723" s="19">
        <v>731.7</v>
      </c>
      <c r="B3723" s="43">
        <v>139.55855120787254</v>
      </c>
      <c r="C3723" s="43">
        <v>140.9529410777501</v>
      </c>
      <c r="D3723" s="43">
        <v>142.20695960033919</v>
      </c>
      <c r="E3723" s="43">
        <v>143.31906901918569</v>
      </c>
      <c r="F3723" s="43">
        <v>144.29130621801312</v>
      </c>
      <c r="G3723" s="43">
        <v>145.12840214024527</v>
      </c>
      <c r="H3723" s="43">
        <v>145.83696813542542</v>
      </c>
      <c r="I3723" s="43">
        <v>146.42480367340545</v>
      </c>
    </row>
    <row r="3724" spans="1:9">
      <c r="A3724" s="19">
        <v>731.8</v>
      </c>
      <c r="B3724" s="43">
        <v>139.57607614036004</v>
      </c>
      <c r="C3724" s="43">
        <v>140.97062770148676</v>
      </c>
      <c r="D3724" s="43">
        <v>142.22483361543271</v>
      </c>
      <c r="E3724" s="43">
        <v>143.33715104077515</v>
      </c>
      <c r="F3724" s="43">
        <v>144.30961150391096</v>
      </c>
      <c r="G3724" s="43">
        <v>145.146940785943</v>
      </c>
      <c r="H3724" s="43">
        <v>145.85574556881608</v>
      </c>
      <c r="I3724" s="43">
        <v>146.44382130515106</v>
      </c>
    </row>
    <row r="3725" spans="1:9">
      <c r="A3725" s="19">
        <v>731.9</v>
      </c>
      <c r="B3725" s="43">
        <v>139.59360092690014</v>
      </c>
      <c r="C3725" s="43">
        <v>140.98831412198945</v>
      </c>
      <c r="D3725" s="43">
        <v>142.24270736926491</v>
      </c>
      <c r="E3725" s="43">
        <v>143.355232745188</v>
      </c>
      <c r="F3725" s="43">
        <v>144.32791642112772</v>
      </c>
      <c r="G3725" s="43">
        <v>145.16547901729678</v>
      </c>
      <c r="H3725" s="43">
        <v>145.87452254910909</v>
      </c>
      <c r="I3725" s="43">
        <v>146.46283845206642</v>
      </c>
    </row>
    <row r="3726" spans="1:9">
      <c r="A3726" s="19">
        <v>732</v>
      </c>
      <c r="B3726" s="43">
        <v>139.61112556767375</v>
      </c>
      <c r="C3726" s="43">
        <v>141.00600033950195</v>
      </c>
      <c r="D3726" s="43">
        <v>142.26058086209088</v>
      </c>
      <c r="E3726" s="43">
        <v>143.37331413274319</v>
      </c>
      <c r="F3726" s="43">
        <v>144.34622096996054</v>
      </c>
      <c r="G3726" s="43">
        <v>145.18401683463776</v>
      </c>
      <c r="H3726" s="43">
        <v>145.89329907651842</v>
      </c>
      <c r="I3726" s="43">
        <v>146.48185511432166</v>
      </c>
    </row>
    <row r="3727" spans="1:9">
      <c r="A3727" s="19">
        <v>732.1</v>
      </c>
      <c r="B3727" s="43">
        <v>139.62865006283198</v>
      </c>
      <c r="C3727" s="43">
        <v>141.0236863541665</v>
      </c>
      <c r="D3727" s="43">
        <v>142.27845409405279</v>
      </c>
      <c r="E3727" s="43">
        <v>143.39139520353802</v>
      </c>
      <c r="F3727" s="43">
        <v>144.36452515050166</v>
      </c>
      <c r="G3727" s="43">
        <v>145.20255423807299</v>
      </c>
      <c r="H3727" s="43">
        <v>145.91207515113257</v>
      </c>
      <c r="I3727" s="43">
        <v>146.5008712920594</v>
      </c>
    </row>
    <row r="3728" spans="1:9">
      <c r="A3728" s="19">
        <v>732.2</v>
      </c>
      <c r="B3728" s="43">
        <v>139.64617441265403</v>
      </c>
      <c r="C3728" s="43">
        <v>141.04137216626117</v>
      </c>
      <c r="D3728" s="43">
        <v>142.29632706540991</v>
      </c>
      <c r="E3728" s="43">
        <v>143.40947595782353</v>
      </c>
      <c r="F3728" s="43">
        <v>144.38282896302798</v>
      </c>
      <c r="G3728" s="43">
        <v>145.22109122784667</v>
      </c>
      <c r="H3728" s="43">
        <v>145.93085077322633</v>
      </c>
      <c r="I3728" s="43">
        <v>146.5198869855119</v>
      </c>
    </row>
    <row r="3729" spans="1:9">
      <c r="A3729" s="19">
        <v>732.3</v>
      </c>
      <c r="B3729" s="43">
        <v>139.66369861689697</v>
      </c>
      <c r="C3729" s="43">
        <v>141.05905777554653</v>
      </c>
      <c r="D3729" s="43">
        <v>142.31419977608141</v>
      </c>
      <c r="E3729" s="43">
        <v>143.42755639555725</v>
      </c>
      <c r="F3729" s="43">
        <v>144.40113240744438</v>
      </c>
      <c r="G3729" s="43">
        <v>145.23962780389388</v>
      </c>
      <c r="H3729" s="43">
        <v>145.94962594271442</v>
      </c>
      <c r="I3729" s="43">
        <v>146.53890219464284</v>
      </c>
    </row>
    <row r="3730" spans="1:9">
      <c r="A3730" s="19">
        <v>732.4</v>
      </c>
      <c r="B3730" s="43">
        <v>139.68122267583885</v>
      </c>
      <c r="C3730" s="43">
        <v>141.07674318238793</v>
      </c>
      <c r="D3730" s="43">
        <v>142.33207222627578</v>
      </c>
      <c r="E3730" s="43">
        <v>143.44563651696558</v>
      </c>
      <c r="F3730" s="43">
        <v>144.41943548405931</v>
      </c>
      <c r="G3730" s="43">
        <v>145.25816396649469</v>
      </c>
      <c r="H3730" s="43">
        <v>145.96840065992319</v>
      </c>
      <c r="I3730" s="43">
        <v>146.55791691964964</v>
      </c>
    </row>
    <row r="3731" spans="1:9">
      <c r="A3731" s="19">
        <v>732.5</v>
      </c>
      <c r="B3731" s="43">
        <v>139.69874658952602</v>
      </c>
      <c r="C3731" s="43">
        <v>141.09442838675108</v>
      </c>
      <c r="D3731" s="43">
        <v>142.34994441610127</v>
      </c>
      <c r="E3731" s="43">
        <v>143.4637163221492</v>
      </c>
      <c r="F3731" s="43">
        <v>144.43773819293335</v>
      </c>
      <c r="G3731" s="43">
        <v>145.27669971571606</v>
      </c>
      <c r="H3731" s="43">
        <v>145.98717492485218</v>
      </c>
      <c r="I3731" s="43">
        <v>146.57693116066434</v>
      </c>
    </row>
    <row r="3732" spans="1:9">
      <c r="A3732" s="19">
        <v>732.6</v>
      </c>
      <c r="B3732" s="43">
        <v>139.71627035801146</v>
      </c>
      <c r="C3732" s="43">
        <v>141.11211338880048</v>
      </c>
      <c r="D3732" s="43">
        <v>142.36781634562772</v>
      </c>
      <c r="E3732" s="43">
        <v>143.48179581120547</v>
      </c>
      <c r="F3732" s="43">
        <v>144.45604053416537</v>
      </c>
      <c r="G3732" s="43">
        <v>145.29523505171045</v>
      </c>
      <c r="H3732" s="43">
        <v>146.00594873767454</v>
      </c>
      <c r="I3732" s="43">
        <v>146.59594491778699</v>
      </c>
    </row>
    <row r="3733" spans="1:9">
      <c r="A3733" s="19">
        <v>732.7</v>
      </c>
      <c r="B3733" s="43">
        <v>139.73379398155629</v>
      </c>
      <c r="C3733" s="43">
        <v>141.12979818873532</v>
      </c>
      <c r="D3733" s="43">
        <v>142.38568801514242</v>
      </c>
      <c r="E3733" s="43">
        <v>143.49987498440919</v>
      </c>
      <c r="F3733" s="43">
        <v>144.47434250806447</v>
      </c>
      <c r="G3733" s="43">
        <v>145.31376997468658</v>
      </c>
      <c r="H3733" s="43">
        <v>146.02472209861492</v>
      </c>
      <c r="I3733" s="43">
        <v>146.61495819119477</v>
      </c>
    </row>
    <row r="3734" spans="1:9">
      <c r="A3734" s="19">
        <v>732.8</v>
      </c>
      <c r="B3734" s="43">
        <v>139.75131745992826</v>
      </c>
      <c r="C3734" s="43">
        <v>141.14748278643191</v>
      </c>
      <c r="D3734" s="43">
        <v>142.40355942450799</v>
      </c>
      <c r="E3734" s="43">
        <v>143.51795384166667</v>
      </c>
      <c r="F3734" s="43">
        <v>144.49264411453345</v>
      </c>
      <c r="G3734" s="43">
        <v>145.33230448462092</v>
      </c>
      <c r="H3734" s="43">
        <v>146.04349500764931</v>
      </c>
      <c r="I3734" s="43">
        <v>146.63397098091031</v>
      </c>
    </row>
    <row r="3735" spans="1:9">
      <c r="A3735" s="19">
        <v>732.9</v>
      </c>
      <c r="B3735" s="43">
        <v>139.76884079332257</v>
      </c>
      <c r="C3735" s="43">
        <v>141.16516718209346</v>
      </c>
      <c r="D3735" s="43">
        <v>142.42143057396493</v>
      </c>
      <c r="E3735" s="43">
        <v>143.53603238316623</v>
      </c>
      <c r="F3735" s="43">
        <v>144.51094535376501</v>
      </c>
      <c r="G3735" s="43">
        <v>145.35083858170378</v>
      </c>
      <c r="H3735" s="43">
        <v>146.06226746491797</v>
      </c>
      <c r="I3735" s="43">
        <v>146.65298328708263</v>
      </c>
    </row>
    <row r="3736" spans="1:9">
      <c r="A3736" s="19">
        <v>733</v>
      </c>
      <c r="B3736" s="43">
        <v>139.78636398197165</v>
      </c>
      <c r="C3736" s="43">
        <v>141.18285137584689</v>
      </c>
      <c r="D3736" s="43">
        <v>142.4393014636164</v>
      </c>
      <c r="E3736" s="43">
        <v>143.55411060912536</v>
      </c>
      <c r="F3736" s="43">
        <v>144.52924622591939</v>
      </c>
      <c r="G3736" s="43">
        <v>145.36937226612497</v>
      </c>
      <c r="H3736" s="43">
        <v>146.08103947060482</v>
      </c>
      <c r="I3736" s="43">
        <v>146.67199510989997</v>
      </c>
    </row>
    <row r="3737" spans="1:9">
      <c r="A3737" s="19">
        <v>733.1</v>
      </c>
      <c r="B3737" s="43">
        <v>139.8038870259752</v>
      </c>
      <c r="C3737" s="43">
        <v>141.20053536792057</v>
      </c>
      <c r="D3737" s="43">
        <v>142.45717209371469</v>
      </c>
      <c r="E3737" s="43">
        <v>143.572188519679</v>
      </c>
      <c r="F3737" s="43">
        <v>144.54754673123597</v>
      </c>
      <c r="G3737" s="43">
        <v>145.38790553798981</v>
      </c>
      <c r="H3737" s="43">
        <v>146.0998110249169</v>
      </c>
      <c r="I3737" s="43">
        <v>146.69100644945405</v>
      </c>
    </row>
    <row r="3738" spans="1:9">
      <c r="A3738" s="19">
        <v>733.2</v>
      </c>
      <c r="B3738" s="43">
        <v>139.8214099251673</v>
      </c>
      <c r="C3738" s="43">
        <v>141.21821915813598</v>
      </c>
      <c r="D3738" s="43">
        <v>142.47504246413558</v>
      </c>
      <c r="E3738" s="43">
        <v>143.59026611482045</v>
      </c>
      <c r="F3738" s="43">
        <v>144.56584686966045</v>
      </c>
      <c r="G3738" s="43">
        <v>145.4064383973996</v>
      </c>
      <c r="H3738" s="43">
        <v>146.11858212783824</v>
      </c>
      <c r="I3738" s="43">
        <v>146.71001730585368</v>
      </c>
    </row>
    <row r="3739" spans="1:9">
      <c r="A3739" s="19">
        <v>733.3</v>
      </c>
      <c r="B3739" s="43">
        <v>139.83893267991363</v>
      </c>
      <c r="C3739" s="43">
        <v>141.23590274687189</v>
      </c>
      <c r="D3739" s="43">
        <v>142.49291257524675</v>
      </c>
      <c r="E3739" s="43">
        <v>143.6083433948213</v>
      </c>
      <c r="F3739" s="43">
        <v>144.58414664146858</v>
      </c>
      <c r="G3739" s="43">
        <v>145.42497084458233</v>
      </c>
      <c r="H3739" s="43">
        <v>146.13735277961706</v>
      </c>
      <c r="I3739" s="43">
        <v>146.72902767926632</v>
      </c>
    </row>
    <row r="3740" spans="1:9">
      <c r="A3740" s="19">
        <v>733.4</v>
      </c>
      <c r="B3740" s="43">
        <v>139.85645529008787</v>
      </c>
      <c r="C3740" s="43">
        <v>141.25358613404603</v>
      </c>
      <c r="D3740" s="43">
        <v>142.51078242696713</v>
      </c>
      <c r="E3740" s="43">
        <v>143.62642035975273</v>
      </c>
      <c r="F3740" s="43">
        <v>144.60244604675393</v>
      </c>
      <c r="G3740" s="43">
        <v>145.44350287955581</v>
      </c>
      <c r="H3740" s="43">
        <v>146.15612298031107</v>
      </c>
      <c r="I3740" s="43">
        <v>146.74803756975496</v>
      </c>
    </row>
    <row r="3741" spans="1:9">
      <c r="A3741" s="19">
        <v>733.5</v>
      </c>
      <c r="B3741" s="43">
        <v>139.8739777559544</v>
      </c>
      <c r="C3741" s="43">
        <v>141.27126931993377</v>
      </c>
      <c r="D3741" s="43">
        <v>142.52865201957775</v>
      </c>
      <c r="E3741" s="43">
        <v>143.64449700973955</v>
      </c>
      <c r="F3741" s="43">
        <v>144.62074508565047</v>
      </c>
      <c r="G3741" s="43">
        <v>145.46203450253915</v>
      </c>
      <c r="H3741" s="43">
        <v>146.17489273010528</v>
      </c>
      <c r="I3741" s="43">
        <v>146.76704697749341</v>
      </c>
    </row>
    <row r="3742" spans="1:9">
      <c r="A3742" s="19">
        <v>733.6</v>
      </c>
      <c r="B3742" s="43">
        <v>139.89150007755188</v>
      </c>
      <c r="C3742" s="43">
        <v>141.288952304551</v>
      </c>
      <c r="D3742" s="43">
        <v>142.54652135314961</v>
      </c>
      <c r="E3742" s="43">
        <v>143.66257334499988</v>
      </c>
      <c r="F3742" s="43">
        <v>144.63904375829566</v>
      </c>
      <c r="G3742" s="43">
        <v>145.48056571368721</v>
      </c>
      <c r="H3742" s="43">
        <v>146.19366202914591</v>
      </c>
      <c r="I3742" s="43">
        <v>146.78605590266233</v>
      </c>
    </row>
    <row r="3743" spans="1:9">
      <c r="A3743" s="19">
        <v>733.7</v>
      </c>
      <c r="B3743" s="43">
        <v>139.90902225478652</v>
      </c>
      <c r="C3743" s="43">
        <v>141.3066350878579</v>
      </c>
      <c r="D3743" s="43">
        <v>142.56439042765243</v>
      </c>
      <c r="E3743" s="43">
        <v>143.68064936543777</v>
      </c>
      <c r="F3743" s="43">
        <v>144.65734206475372</v>
      </c>
      <c r="G3743" s="43">
        <v>145.49909651297833</v>
      </c>
      <c r="H3743" s="43">
        <v>146.21243087741857</v>
      </c>
      <c r="I3743" s="43">
        <v>146.8050643452134</v>
      </c>
    </row>
    <row r="3744" spans="1:9">
      <c r="A3744" s="19">
        <v>733.8</v>
      </c>
      <c r="B3744" s="43">
        <v>139.92654428778371</v>
      </c>
      <c r="C3744" s="43">
        <v>141.32431767002288</v>
      </c>
      <c r="D3744" s="43">
        <v>142.58225924322267</v>
      </c>
      <c r="E3744" s="43">
        <v>143.69872507124427</v>
      </c>
      <c r="F3744" s="43">
        <v>144.67564000511129</v>
      </c>
      <c r="G3744" s="43">
        <v>145.5176269005803</v>
      </c>
      <c r="H3744" s="43">
        <v>146.23119927510152</v>
      </c>
      <c r="I3744" s="43">
        <v>146.8240723053014</v>
      </c>
    </row>
    <row r="3745" spans="1:9">
      <c r="A3745" s="19">
        <v>733.9</v>
      </c>
      <c r="B3745" s="43">
        <v>139.94406617693011</v>
      </c>
      <c r="C3745" s="43">
        <v>141.34200005137683</v>
      </c>
      <c r="D3745" s="43">
        <v>142.60012780022993</v>
      </c>
      <c r="E3745" s="43">
        <v>143.71680046275361</v>
      </c>
      <c r="F3745" s="43">
        <v>144.69393757975456</v>
      </c>
      <c r="G3745" s="43">
        <v>145.53615687679491</v>
      </c>
      <c r="H3745" s="43">
        <v>146.24996722249972</v>
      </c>
      <c r="I3745" s="43">
        <v>146.84307978321095</v>
      </c>
    </row>
    <row r="3746" spans="1:9">
      <c r="A3746" s="19">
        <v>734</v>
      </c>
      <c r="B3746" s="43">
        <v>139.96158792205739</v>
      </c>
      <c r="C3746" s="43">
        <v>141.35968223181567</v>
      </c>
      <c r="D3746" s="43">
        <v>142.61799609858303</v>
      </c>
      <c r="E3746" s="43">
        <v>143.73487553989247</v>
      </c>
      <c r="F3746" s="43">
        <v>144.71223478852716</v>
      </c>
      <c r="G3746" s="43">
        <v>145.55468644158117</v>
      </c>
      <c r="H3746" s="43">
        <v>146.26873471948664</v>
      </c>
      <c r="I3746" s="43">
        <v>146.8620867789038</v>
      </c>
    </row>
    <row r="3747" spans="1:9">
      <c r="A3747" s="19">
        <v>734.1</v>
      </c>
      <c r="B3747" s="43">
        <v>139.97910952326453</v>
      </c>
      <c r="C3747" s="43">
        <v>141.37736421147133</v>
      </c>
      <c r="D3747" s="43">
        <v>142.63586413845002</v>
      </c>
      <c r="E3747" s="43">
        <v>143.75295030287549</v>
      </c>
      <c r="F3747" s="43">
        <v>144.73053163176763</v>
      </c>
      <c r="G3747" s="43">
        <v>145.57321559517925</v>
      </c>
      <c r="H3747" s="43">
        <v>146.28750176641836</v>
      </c>
      <c r="I3747" s="43">
        <v>146.88109329261289</v>
      </c>
    </row>
    <row r="3748" spans="1:9">
      <c r="A3748" s="19">
        <v>734.2</v>
      </c>
      <c r="B3748" s="43">
        <v>139.99663098072205</v>
      </c>
      <c r="C3748" s="43">
        <v>141.39504599049889</v>
      </c>
      <c r="D3748" s="43">
        <v>142.65373191996144</v>
      </c>
      <c r="E3748" s="43">
        <v>143.77102475179072</v>
      </c>
      <c r="F3748" s="43">
        <v>144.74882810953915</v>
      </c>
      <c r="G3748" s="43">
        <v>145.59174433766009</v>
      </c>
      <c r="H3748" s="43">
        <v>146.30626836327627</v>
      </c>
      <c r="I3748" s="43">
        <v>146.90009932441433</v>
      </c>
    </row>
    <row r="3749" spans="1:9">
      <c r="A3749" s="19">
        <v>734.3</v>
      </c>
      <c r="B3749" s="43">
        <v>140.01415229453033</v>
      </c>
      <c r="C3749" s="43">
        <v>141.41272756900014</v>
      </c>
      <c r="D3749" s="43">
        <v>142.67159944328409</v>
      </c>
      <c r="E3749" s="43">
        <v>143.78909888684007</v>
      </c>
      <c r="F3749" s="43">
        <v>144.76712422198977</v>
      </c>
      <c r="G3749" s="43">
        <v>145.61027266925566</v>
      </c>
      <c r="H3749" s="43">
        <v>146.32503451029748</v>
      </c>
      <c r="I3749" s="43">
        <v>146.91910487445733</v>
      </c>
    </row>
    <row r="3750" spans="1:9">
      <c r="A3750" s="19">
        <v>734.4</v>
      </c>
      <c r="B3750" s="43">
        <v>140.03167346453131</v>
      </c>
      <c r="C3750" s="43">
        <v>141.43040894693144</v>
      </c>
      <c r="D3750" s="43">
        <v>142.68946670838113</v>
      </c>
      <c r="E3750" s="43">
        <v>143.80717270799454</v>
      </c>
      <c r="F3750" s="43">
        <v>144.78541996917795</v>
      </c>
      <c r="G3750" s="43">
        <v>145.62880058994932</v>
      </c>
      <c r="H3750" s="43">
        <v>146.34380020749251</v>
      </c>
      <c r="I3750" s="43">
        <v>146.93810994279579</v>
      </c>
    </row>
    <row r="3751" spans="1:9">
      <c r="A3751" s="19">
        <v>734.5</v>
      </c>
      <c r="B3751" s="43">
        <v>140.04919449123872</v>
      </c>
      <c r="C3751" s="43">
        <v>141.4480901246954</v>
      </c>
      <c r="D3751" s="43">
        <v>142.70733371558458</v>
      </c>
      <c r="E3751" s="43">
        <v>143.82524621564966</v>
      </c>
      <c r="F3751" s="43">
        <v>144.803715351417</v>
      </c>
      <c r="G3751" s="43">
        <v>145.64732810005307</v>
      </c>
      <c r="H3751" s="43">
        <v>146.36256545518449</v>
      </c>
      <c r="I3751" s="43">
        <v>146.95711452970482</v>
      </c>
    </row>
    <row r="3752" spans="1:9">
      <c r="A3752" s="19">
        <v>734.6</v>
      </c>
      <c r="B3752" s="43">
        <v>140.06671537439729</v>
      </c>
      <c r="C3752" s="43">
        <v>141.46577110215014</v>
      </c>
      <c r="D3752" s="43">
        <v>142.72520046481458</v>
      </c>
      <c r="E3752" s="43">
        <v>143.84331940967286</v>
      </c>
      <c r="F3752" s="43">
        <v>144.82201036860261</v>
      </c>
      <c r="G3752" s="43">
        <v>145.66585519952213</v>
      </c>
      <c r="H3752" s="43">
        <v>146.38133025328506</v>
      </c>
      <c r="I3752" s="43">
        <v>146.97611863511651</v>
      </c>
    </row>
    <row r="3753" spans="1:9">
      <c r="A3753" s="19">
        <v>734.7</v>
      </c>
      <c r="B3753" s="43">
        <v>140.08423611396466</v>
      </c>
      <c r="C3753" s="43">
        <v>141.48345187924093</v>
      </c>
      <c r="D3753" s="43">
        <v>142.74306695612756</v>
      </c>
      <c r="E3753" s="43">
        <v>143.86139229009575</v>
      </c>
      <c r="F3753" s="43">
        <v>144.84030502086165</v>
      </c>
      <c r="G3753" s="43">
        <v>145.68438188842026</v>
      </c>
      <c r="H3753" s="43">
        <v>146.40009460189901</v>
      </c>
      <c r="I3753" s="43">
        <v>146.9951222591564</v>
      </c>
    </row>
    <row r="3754" spans="1:9">
      <c r="A3754" s="19">
        <v>734.8</v>
      </c>
      <c r="B3754" s="43">
        <v>140.10175671056163</v>
      </c>
      <c r="C3754" s="43">
        <v>141.50113245656644</v>
      </c>
      <c r="D3754" s="43">
        <v>142.7609331899896</v>
      </c>
      <c r="E3754" s="43">
        <v>143.87946485749751</v>
      </c>
      <c r="F3754" s="43">
        <v>144.85859930862006</v>
      </c>
      <c r="G3754" s="43">
        <v>145.70290816720239</v>
      </c>
      <c r="H3754" s="43">
        <v>146.41885850141449</v>
      </c>
      <c r="I3754" s="43">
        <v>147.01412540216631</v>
      </c>
    </row>
    <row r="3755" spans="1:9">
      <c r="A3755" s="19">
        <v>734.9</v>
      </c>
      <c r="B3755" s="43">
        <v>140.11927716375169</v>
      </c>
      <c r="C3755" s="43">
        <v>141.5188128337964</v>
      </c>
      <c r="D3755" s="43">
        <v>142.77879916618343</v>
      </c>
      <c r="E3755" s="43">
        <v>143.89753711157152</v>
      </c>
      <c r="F3755" s="43">
        <v>144.87689323172577</v>
      </c>
      <c r="G3755" s="43">
        <v>145.72143403572471</v>
      </c>
      <c r="H3755" s="43">
        <v>146.43762195175083</v>
      </c>
      <c r="I3755" s="43">
        <v>147.03312806405194</v>
      </c>
    </row>
    <row r="3756" spans="1:9">
      <c r="A3756" s="19">
        <v>735</v>
      </c>
      <c r="B3756" s="43">
        <v>140.13679747400533</v>
      </c>
      <c r="C3756" s="43">
        <v>141.53649301130918</v>
      </c>
      <c r="D3756" s="43">
        <v>142.79666488503358</v>
      </c>
      <c r="E3756" s="43">
        <v>143.91560905272956</v>
      </c>
      <c r="F3756" s="43">
        <v>144.89518679050917</v>
      </c>
      <c r="G3756" s="43">
        <v>145.73995949435158</v>
      </c>
      <c r="H3756" s="43">
        <v>146.45638495314819</v>
      </c>
      <c r="I3756" s="43">
        <v>147.05213024510658</v>
      </c>
    </row>
    <row r="3757" spans="1:9">
      <c r="A3757" s="19">
        <v>735.1</v>
      </c>
      <c r="B3757" s="43">
        <v>140.15431764105671</v>
      </c>
      <c r="C3757" s="43">
        <v>141.55417298897322</v>
      </c>
      <c r="D3757" s="43">
        <v>142.8145303465069</v>
      </c>
      <c r="E3757" s="43">
        <v>143.93368068090228</v>
      </c>
      <c r="F3757" s="43">
        <v>144.91347998492529</v>
      </c>
      <c r="G3757" s="43">
        <v>145.7584845429314</v>
      </c>
      <c r="H3757" s="43">
        <v>146.47514750563295</v>
      </c>
      <c r="I3757" s="43">
        <v>147.07113194529035</v>
      </c>
    </row>
    <row r="3758" spans="1:9">
      <c r="A3758" s="19">
        <v>735.2</v>
      </c>
      <c r="B3758" s="43">
        <v>140.17183766535464</v>
      </c>
      <c r="C3758" s="43">
        <v>141.57185276711846</v>
      </c>
      <c r="D3758" s="43">
        <v>142.83239555082463</v>
      </c>
      <c r="E3758" s="43">
        <v>143.95175199633678</v>
      </c>
      <c r="F3758" s="43">
        <v>144.93177281524709</v>
      </c>
      <c r="G3758" s="43">
        <v>145.77700918181665</v>
      </c>
      <c r="H3758" s="43">
        <v>146.49390960945942</v>
      </c>
      <c r="I3758" s="43">
        <v>147.09013316483379</v>
      </c>
    </row>
    <row r="3759" spans="1:9">
      <c r="A3759" s="19">
        <v>735.3</v>
      </c>
      <c r="B3759" s="43">
        <v>140.18935754667427</v>
      </c>
      <c r="C3759" s="43">
        <v>141.5895323456682</v>
      </c>
      <c r="D3759" s="43">
        <v>142.85026049808027</v>
      </c>
      <c r="E3759" s="43">
        <v>143.96982299911008</v>
      </c>
      <c r="F3759" s="43">
        <v>144.95006528152504</v>
      </c>
      <c r="G3759" s="43">
        <v>145.79553341107169</v>
      </c>
      <c r="H3759" s="43">
        <v>146.51267126467917</v>
      </c>
      <c r="I3759" s="43">
        <v>147.10913390385809</v>
      </c>
    </row>
    <row r="3760" spans="1:9">
      <c r="A3760" s="19">
        <v>735.4</v>
      </c>
      <c r="B3760" s="43">
        <v>140.20687728536541</v>
      </c>
      <c r="C3760" s="43">
        <v>141.60721172492589</v>
      </c>
      <c r="D3760" s="43">
        <v>142.8681251884401</v>
      </c>
      <c r="E3760" s="43">
        <v>143.98789368943551</v>
      </c>
      <c r="F3760" s="43">
        <v>144.96835738399727</v>
      </c>
      <c r="G3760" s="43">
        <v>145.81405723087568</v>
      </c>
      <c r="H3760" s="43">
        <v>146.53143247148955</v>
      </c>
      <c r="I3760" s="43">
        <v>147.12813416249304</v>
      </c>
    </row>
    <row r="3761" spans="1:9">
      <c r="A3761" s="19">
        <v>735.5</v>
      </c>
      <c r="B3761" s="43">
        <v>140.22439688128651</v>
      </c>
      <c r="C3761" s="43">
        <v>141.62489090478289</v>
      </c>
      <c r="D3761" s="43">
        <v>142.88598962189536</v>
      </c>
      <c r="E3761" s="43">
        <v>144.00596406731074</v>
      </c>
      <c r="F3761" s="43">
        <v>144.98664912264297</v>
      </c>
      <c r="G3761" s="43">
        <v>145.83258064127864</v>
      </c>
      <c r="H3761" s="43">
        <v>146.55019322988136</v>
      </c>
      <c r="I3761" s="43">
        <v>147.1471339407658</v>
      </c>
    </row>
    <row r="3762" spans="1:9">
      <c r="A3762" s="19">
        <v>735.6</v>
      </c>
      <c r="B3762" s="43">
        <v>140.24191633453773</v>
      </c>
      <c r="C3762" s="43">
        <v>141.64256988534817</v>
      </c>
      <c r="D3762" s="43">
        <v>142.90385379854871</v>
      </c>
      <c r="E3762" s="43">
        <v>144.02403413281382</v>
      </c>
      <c r="F3762" s="43">
        <v>145.00494049759533</v>
      </c>
      <c r="G3762" s="43">
        <v>145.85110364233299</v>
      </c>
      <c r="H3762" s="43">
        <v>146.56895353999153</v>
      </c>
      <c r="I3762" s="43">
        <v>147.16613323881501</v>
      </c>
    </row>
    <row r="3763" spans="1:9">
      <c r="A3763" s="19">
        <v>735.7</v>
      </c>
      <c r="B3763" s="43">
        <v>140.25943564528927</v>
      </c>
      <c r="C3763" s="43">
        <v>141.66024866682386</v>
      </c>
      <c r="D3763" s="43">
        <v>142.92171771865299</v>
      </c>
      <c r="E3763" s="43">
        <v>144.04210388619958</v>
      </c>
      <c r="F3763" s="43">
        <v>145.0232315090841</v>
      </c>
      <c r="G3763" s="43">
        <v>145.86962623436631</v>
      </c>
      <c r="H3763" s="43">
        <v>146.58771340211507</v>
      </c>
      <c r="I3763" s="43">
        <v>147.18513205685377</v>
      </c>
    </row>
    <row r="3764" spans="1:9">
      <c r="A3764" s="19">
        <v>735.8</v>
      </c>
      <c r="B3764" s="43">
        <v>140.27695481365112</v>
      </c>
      <c r="C3764" s="43">
        <v>141.67792724932411</v>
      </c>
      <c r="D3764" s="43">
        <v>142.93958138228305</v>
      </c>
      <c r="E3764" s="43">
        <v>144.06017332762065</v>
      </c>
      <c r="F3764" s="43">
        <v>145.04152215727214</v>
      </c>
      <c r="G3764" s="43">
        <v>145.88814841745051</v>
      </c>
      <c r="H3764" s="43">
        <v>146.60647281629622</v>
      </c>
      <c r="I3764" s="43">
        <v>147.20413039495025</v>
      </c>
    </row>
    <row r="3765" spans="1:9">
      <c r="A3765" s="19">
        <v>735.9</v>
      </c>
      <c r="B3765" s="43">
        <v>140.29447383971353</v>
      </c>
      <c r="C3765" s="43">
        <v>141.69560563297176</v>
      </c>
      <c r="D3765" s="43">
        <v>142.95744478957158</v>
      </c>
      <c r="E3765" s="43">
        <v>144.07824245715267</v>
      </c>
      <c r="F3765" s="43">
        <v>145.05981244220823</v>
      </c>
      <c r="G3765" s="43">
        <v>145.90667019167614</v>
      </c>
      <c r="H3765" s="43">
        <v>146.62523178266059</v>
      </c>
      <c r="I3765" s="43">
        <v>147.22312825327452</v>
      </c>
    </row>
    <row r="3766" spans="1:9">
      <c r="A3766" s="19">
        <v>736</v>
      </c>
      <c r="B3766" s="43">
        <v>140.31199272350727</v>
      </c>
      <c r="C3766" s="43">
        <v>141.71328381779182</v>
      </c>
      <c r="D3766" s="43">
        <v>142.97530794055245</v>
      </c>
      <c r="E3766" s="43">
        <v>144.0963112749177</v>
      </c>
      <c r="F3766" s="43">
        <v>145.07810236406516</v>
      </c>
      <c r="G3766" s="43">
        <v>145.92519155720129</v>
      </c>
      <c r="H3766" s="43">
        <v>146.64399030132034</v>
      </c>
      <c r="I3766" s="43">
        <v>147.24212563191941</v>
      </c>
    </row>
    <row r="3767" spans="1:9">
      <c r="A3767" s="19">
        <v>736.1</v>
      </c>
      <c r="B3767" s="43">
        <v>140.32951146502683</v>
      </c>
      <c r="C3767" s="43">
        <v>141.73096180386324</v>
      </c>
      <c r="D3767" s="43">
        <v>142.99317083539751</v>
      </c>
      <c r="E3767" s="43">
        <v>144.11437978101759</v>
      </c>
      <c r="F3767" s="43">
        <v>145.09639192292866</v>
      </c>
      <c r="G3767" s="43">
        <v>145.94371251415453</v>
      </c>
      <c r="H3767" s="43">
        <v>146.66274837241116</v>
      </c>
      <c r="I3767" s="43">
        <v>147.26112253099126</v>
      </c>
    </row>
    <row r="3768" spans="1:9">
      <c r="A3768" s="19">
        <v>736.2</v>
      </c>
      <c r="B3768" s="43">
        <v>140.34703006458489</v>
      </c>
      <c r="C3768" s="43">
        <v>141.74863959137014</v>
      </c>
      <c r="D3768" s="43">
        <v>143.01103347425124</v>
      </c>
      <c r="E3768" s="43">
        <v>144.13244797565557</v>
      </c>
      <c r="F3768" s="43">
        <v>145.11468111898279</v>
      </c>
      <c r="G3768" s="43">
        <v>145.96223306270639</v>
      </c>
      <c r="H3768" s="43">
        <v>146.68150599608958</v>
      </c>
      <c r="I3768" s="43">
        <v>147.28011895062684</v>
      </c>
    </row>
    <row r="3769" spans="1:9">
      <c r="A3769" s="19">
        <v>736.3</v>
      </c>
      <c r="B3769" s="43">
        <v>140.36454852223687</v>
      </c>
      <c r="C3769" s="43">
        <v>141.76631718047963</v>
      </c>
      <c r="D3769" s="43">
        <v>143.02889585732828</v>
      </c>
      <c r="E3769" s="43">
        <v>144.15051585897493</v>
      </c>
      <c r="F3769" s="43">
        <v>145.13296995240927</v>
      </c>
      <c r="G3769" s="43">
        <v>145.98075320299353</v>
      </c>
      <c r="H3769" s="43">
        <v>146.70026317256929</v>
      </c>
      <c r="I3769" s="43">
        <v>147.29911489101772</v>
      </c>
    </row>
    <row r="3770" spans="1:9">
      <c r="A3770" s="19">
        <v>736.4</v>
      </c>
      <c r="B3770" s="43">
        <v>140.38206683780976</v>
      </c>
      <c r="C3770" s="43">
        <v>141.78399457106229</v>
      </c>
      <c r="D3770" s="43">
        <v>143.04675798444487</v>
      </c>
      <c r="E3770" s="43">
        <v>144.16858343090354</v>
      </c>
      <c r="F3770" s="43">
        <v>145.15125842315592</v>
      </c>
      <c r="G3770" s="43">
        <v>145.99927293496665</v>
      </c>
      <c r="H3770" s="43">
        <v>146.7190199017038</v>
      </c>
      <c r="I3770" s="43">
        <v>147.31811035213991</v>
      </c>
    </row>
    <row r="3771" spans="1:9">
      <c r="A3771" s="19">
        <v>736.5</v>
      </c>
      <c r="B3771" s="43">
        <v>140.39958501154399</v>
      </c>
      <c r="C3771" s="43">
        <v>141.80167176339074</v>
      </c>
      <c r="D3771" s="43">
        <v>143.06461985591676</v>
      </c>
      <c r="E3771" s="43">
        <v>144.18665069171431</v>
      </c>
      <c r="F3771" s="43">
        <v>145.16954653146684</v>
      </c>
      <c r="G3771" s="43">
        <v>146.01779225893773</v>
      </c>
      <c r="H3771" s="43">
        <v>146.73777618386129</v>
      </c>
      <c r="I3771" s="43">
        <v>147.3371053341566</v>
      </c>
    </row>
    <row r="3772" spans="1:9">
      <c r="A3772" s="19">
        <v>736.6</v>
      </c>
      <c r="B3772" s="43">
        <v>140.41710304349078</v>
      </c>
      <c r="C3772" s="43">
        <v>141.81934875746452</v>
      </c>
      <c r="D3772" s="43">
        <v>143.0824814718095</v>
      </c>
      <c r="E3772" s="43">
        <v>144.20471764149312</v>
      </c>
      <c r="F3772" s="43">
        <v>145.18783427742846</v>
      </c>
      <c r="G3772" s="43">
        <v>146.03631117498696</v>
      </c>
      <c r="H3772" s="43">
        <v>146.75653201909199</v>
      </c>
      <c r="I3772" s="43">
        <v>147.35609983723856</v>
      </c>
    </row>
    <row r="3773" spans="1:9">
      <c r="A3773" s="19">
        <v>736.7</v>
      </c>
      <c r="B3773" s="43">
        <v>140.4346209339036</v>
      </c>
      <c r="C3773" s="43">
        <v>141.83702555357888</v>
      </c>
      <c r="D3773" s="43">
        <v>143.10034283233375</v>
      </c>
      <c r="E3773" s="43">
        <v>144.2227842804985</v>
      </c>
      <c r="F3773" s="43">
        <v>145.2061216613215</v>
      </c>
      <c r="G3773" s="43">
        <v>146.0548296833245</v>
      </c>
      <c r="H3773" s="43">
        <v>146.77528740755895</v>
      </c>
      <c r="I3773" s="43">
        <v>147.37509386156609</v>
      </c>
    </row>
    <row r="3774" spans="1:9">
      <c r="A3774" s="19">
        <v>736.8</v>
      </c>
      <c r="B3774" s="43">
        <v>140.45213868261732</v>
      </c>
      <c r="C3774" s="43">
        <v>141.85470215159762</v>
      </c>
      <c r="D3774" s="43">
        <v>143.1182039374321</v>
      </c>
      <c r="E3774" s="43">
        <v>144.24085060866179</v>
      </c>
      <c r="F3774" s="43">
        <v>145.22440868308598</v>
      </c>
      <c r="G3774" s="43">
        <v>146.07334778395017</v>
      </c>
      <c r="H3774" s="43">
        <v>146.79404234933679</v>
      </c>
      <c r="I3774" s="43">
        <v>147.39408740713765</v>
      </c>
    </row>
    <row r="3775" spans="1:9">
      <c r="A3775" s="19">
        <v>736.9</v>
      </c>
      <c r="B3775" s="43">
        <v>140.46965629002193</v>
      </c>
      <c r="C3775" s="43">
        <v>141.87237855184162</v>
      </c>
      <c r="D3775" s="43">
        <v>143.13606478747613</v>
      </c>
      <c r="E3775" s="43">
        <v>144.25891662627419</v>
      </c>
      <c r="F3775" s="43">
        <v>145.24269534301845</v>
      </c>
      <c r="G3775" s="43">
        <v>146.09186547713978</v>
      </c>
      <c r="H3775" s="43">
        <v>146.81279684464818</v>
      </c>
      <c r="I3775" s="43">
        <v>147.41308047418801</v>
      </c>
    </row>
    <row r="3776" spans="1:9">
      <c r="A3776" s="19">
        <v>737</v>
      </c>
      <c r="B3776" s="43">
        <v>140.48717375587006</v>
      </c>
      <c r="C3776" s="43">
        <v>141.89005475427268</v>
      </c>
      <c r="D3776" s="43">
        <v>143.15392538235017</v>
      </c>
      <c r="E3776" s="43">
        <v>144.2769823333719</v>
      </c>
      <c r="F3776" s="43">
        <v>145.2609816411711</v>
      </c>
      <c r="G3776" s="43">
        <v>146.11038276291066</v>
      </c>
      <c r="H3776" s="43">
        <v>146.83155089358155</v>
      </c>
      <c r="I3776" s="43">
        <v>147.43207306279487</v>
      </c>
    </row>
    <row r="3777" spans="1:9">
      <c r="A3777" s="19">
        <v>737.1</v>
      </c>
      <c r="B3777" s="43">
        <v>140.50469108041551</v>
      </c>
      <c r="C3777" s="43">
        <v>141.90773075902661</v>
      </c>
      <c r="D3777" s="43">
        <v>143.17178572227755</v>
      </c>
      <c r="E3777" s="43">
        <v>144.29504773006818</v>
      </c>
      <c r="F3777" s="43">
        <v>145.27926757763316</v>
      </c>
      <c r="G3777" s="43">
        <v>146.12889964143272</v>
      </c>
      <c r="H3777" s="43">
        <v>146.85030449621576</v>
      </c>
      <c r="I3777" s="43">
        <v>147.45106517303702</v>
      </c>
    </row>
    <row r="3778" spans="1:9">
      <c r="A3778" s="19">
        <v>737.2</v>
      </c>
      <c r="B3778" s="43">
        <v>140.52220826391124</v>
      </c>
      <c r="C3778" s="43">
        <v>141.92540656631945</v>
      </c>
      <c r="D3778" s="43">
        <v>143.18964580748951</v>
      </c>
      <c r="E3778" s="43">
        <v>144.31311281663068</v>
      </c>
      <c r="F3778" s="43">
        <v>145.29755315268915</v>
      </c>
      <c r="G3778" s="43">
        <v>146.14741611292726</v>
      </c>
      <c r="H3778" s="43">
        <v>146.8690576527863</v>
      </c>
      <c r="I3778" s="43">
        <v>147.470056805166</v>
      </c>
    </row>
    <row r="3779" spans="1:9">
      <c r="A3779" s="19">
        <v>737.3</v>
      </c>
      <c r="B3779" s="43">
        <v>140.53972530609877</v>
      </c>
      <c r="C3779" s="43">
        <v>141.94308217602958</v>
      </c>
      <c r="D3779" s="43">
        <v>143.20750563778847</v>
      </c>
      <c r="E3779" s="43">
        <v>144.33117759295993</v>
      </c>
      <c r="F3779" s="43">
        <v>145.31583836623059</v>
      </c>
      <c r="G3779" s="43">
        <v>146.1659321773281</v>
      </c>
      <c r="H3779" s="43">
        <v>146.88781036322274</v>
      </c>
      <c r="I3779" s="43">
        <v>147.48904795910516</v>
      </c>
    </row>
    <row r="3780" spans="1:9">
      <c r="A3780" s="19">
        <v>737.4</v>
      </c>
      <c r="B3780" s="43">
        <v>140.55724220709573</v>
      </c>
      <c r="C3780" s="43">
        <v>141.96075758831631</v>
      </c>
      <c r="D3780" s="43">
        <v>143.22536521343744</v>
      </c>
      <c r="E3780" s="43">
        <v>144.34924205921493</v>
      </c>
      <c r="F3780" s="43">
        <v>145.33412321846305</v>
      </c>
      <c r="G3780" s="43">
        <v>146.18444783482806</v>
      </c>
      <c r="H3780" s="43">
        <v>146.90656262776361</v>
      </c>
      <c r="I3780" s="43">
        <v>147.50803863505701</v>
      </c>
    </row>
    <row r="3781" spans="1:9">
      <c r="A3781" s="19">
        <v>737.5</v>
      </c>
      <c r="B3781" s="43">
        <v>140.57475896721922</v>
      </c>
      <c r="C3781" s="43">
        <v>141.97843280339089</v>
      </c>
      <c r="D3781" s="43">
        <v>143.24322453463549</v>
      </c>
      <c r="E3781" s="43">
        <v>144.36730621566898</v>
      </c>
      <c r="F3781" s="43">
        <v>145.35240770966584</v>
      </c>
      <c r="G3781" s="43">
        <v>146.20296308568885</v>
      </c>
      <c r="H3781" s="43">
        <v>146.92531444662808</v>
      </c>
      <c r="I3781" s="43">
        <v>147.52702883322479</v>
      </c>
    </row>
    <row r="3782" spans="1:9">
      <c r="A3782" s="19">
        <v>737.6</v>
      </c>
      <c r="B3782" s="43">
        <v>140.5922755864587</v>
      </c>
      <c r="C3782" s="43">
        <v>141.996107821328</v>
      </c>
      <c r="D3782" s="43">
        <v>143.26108360143888</v>
      </c>
      <c r="E3782" s="43">
        <v>144.3853700624507</v>
      </c>
      <c r="F3782" s="43">
        <v>145.3706918398596</v>
      </c>
      <c r="G3782" s="43">
        <v>146.22147792993195</v>
      </c>
      <c r="H3782" s="43">
        <v>146.94406581986283</v>
      </c>
      <c r="I3782" s="43">
        <v>147.54601855369282</v>
      </c>
    </row>
    <row r="3783" spans="1:9">
      <c r="A3783" s="19">
        <v>737.7</v>
      </c>
      <c r="B3783" s="43">
        <v>140.60979206484564</v>
      </c>
      <c r="C3783" s="43">
        <v>142.01378264218016</v>
      </c>
      <c r="D3783" s="43">
        <v>143.27894241400105</v>
      </c>
      <c r="E3783" s="43">
        <v>144.40343359954005</v>
      </c>
      <c r="F3783" s="43">
        <v>145.38897560917331</v>
      </c>
      <c r="G3783" s="43">
        <v>146.23999236772147</v>
      </c>
      <c r="H3783" s="43">
        <v>146.96281674759871</v>
      </c>
      <c r="I3783" s="43">
        <v>147.56500779655448</v>
      </c>
    </row>
    <row r="3784" spans="1:9">
      <c r="A3784" s="19">
        <v>737.8</v>
      </c>
      <c r="B3784" s="43">
        <v>140.62730840249742</v>
      </c>
      <c r="C3784" s="43">
        <v>142.03145726607966</v>
      </c>
      <c r="D3784" s="43">
        <v>143.29680097236451</v>
      </c>
      <c r="E3784" s="43">
        <v>144.42149682716962</v>
      </c>
      <c r="F3784" s="43">
        <v>145.40725901780871</v>
      </c>
      <c r="G3784" s="43">
        <v>146.25850639920856</v>
      </c>
      <c r="H3784" s="43">
        <v>146.98156722999738</v>
      </c>
      <c r="I3784" s="43">
        <v>147.58399656197946</v>
      </c>
    </row>
    <row r="3785" spans="1:9">
      <c r="A3785" s="19">
        <v>737.9</v>
      </c>
      <c r="B3785" s="43">
        <v>140.64482459950199</v>
      </c>
      <c r="C3785" s="43">
        <v>142.04913169312618</v>
      </c>
      <c r="D3785" s="43">
        <v>143.31465927671923</v>
      </c>
      <c r="E3785" s="43">
        <v>144.43955974543337</v>
      </c>
      <c r="F3785" s="43">
        <v>145.42554206578529</v>
      </c>
      <c r="G3785" s="43">
        <v>146.27702002449877</v>
      </c>
      <c r="H3785" s="43">
        <v>147.00031726713001</v>
      </c>
      <c r="I3785" s="43">
        <v>147.60298485005012</v>
      </c>
    </row>
    <row r="3786" spans="1:9">
      <c r="A3786" s="19">
        <v>738</v>
      </c>
      <c r="B3786" s="43">
        <v>140.66234065599116</v>
      </c>
      <c r="C3786" s="43">
        <v>142.06680592341144</v>
      </c>
      <c r="D3786" s="43">
        <v>143.33251732714177</v>
      </c>
      <c r="E3786" s="43">
        <v>144.4576223544517</v>
      </c>
      <c r="F3786" s="43">
        <v>145.44382475333367</v>
      </c>
      <c r="G3786" s="43">
        <v>146.29553324370733</v>
      </c>
      <c r="H3786" s="43">
        <v>147.01906685916146</v>
      </c>
      <c r="I3786" s="43">
        <v>147.62197266089197</v>
      </c>
    </row>
    <row r="3787" spans="1:9">
      <c r="A3787" s="19">
        <v>738.1</v>
      </c>
      <c r="B3787" s="43">
        <v>140.67985657213103</v>
      </c>
      <c r="C3787" s="43">
        <v>142.08447995717529</v>
      </c>
      <c r="D3787" s="43">
        <v>143.35037512389982</v>
      </c>
      <c r="E3787" s="43">
        <v>144.47568465444442</v>
      </c>
      <c r="F3787" s="43">
        <v>145.46210708061005</v>
      </c>
      <c r="G3787" s="43">
        <v>146.31404605708781</v>
      </c>
      <c r="H3787" s="43">
        <v>147.03781600630094</v>
      </c>
      <c r="I3787" s="43">
        <v>147.64095999470078</v>
      </c>
    </row>
    <row r="3788" spans="1:9">
      <c r="A3788" s="19">
        <v>738.2</v>
      </c>
      <c r="B3788" s="43">
        <v>140.69737234777085</v>
      </c>
      <c r="C3788" s="43">
        <v>142.10215379427626</v>
      </c>
      <c r="D3788" s="43">
        <v>143.36823266682853</v>
      </c>
      <c r="E3788" s="43">
        <v>144.49374664539511</v>
      </c>
      <c r="F3788" s="43">
        <v>145.48038904759187</v>
      </c>
      <c r="G3788" s="43">
        <v>146.33255846460457</v>
      </c>
      <c r="H3788" s="43">
        <v>147.05656470853467</v>
      </c>
      <c r="I3788" s="43">
        <v>147.65994685145603</v>
      </c>
    </row>
    <row r="3789" spans="1:9">
      <c r="A3789" s="19">
        <v>738.3</v>
      </c>
      <c r="B3789" s="43">
        <v>140.71488798291904</v>
      </c>
      <c r="C3789" s="43">
        <v>142.11982743476864</v>
      </c>
      <c r="D3789" s="43">
        <v>143.38608995605159</v>
      </c>
      <c r="E3789" s="43">
        <v>144.51180832732211</v>
      </c>
      <c r="F3789" s="43">
        <v>145.49867065442197</v>
      </c>
      <c r="G3789" s="43">
        <v>146.35107046632118</v>
      </c>
      <c r="H3789" s="43">
        <v>147.07531296594186</v>
      </c>
      <c r="I3789" s="43">
        <v>147.67893323131119</v>
      </c>
    </row>
    <row r="3790" spans="1:9">
      <c r="A3790" s="19">
        <v>738.4</v>
      </c>
      <c r="B3790" s="43">
        <v>140.73240347802579</v>
      </c>
      <c r="C3790" s="43">
        <v>142.13750087916873</v>
      </c>
      <c r="D3790" s="43">
        <v>143.40394699199271</v>
      </c>
      <c r="E3790" s="43">
        <v>144.52986970072101</v>
      </c>
      <c r="F3790" s="43">
        <v>145.51695190145722</v>
      </c>
      <c r="G3790" s="43">
        <v>146.36958206266871</v>
      </c>
      <c r="H3790" s="43">
        <v>147.09406077890895</v>
      </c>
      <c r="I3790" s="43">
        <v>147.69791913453616</v>
      </c>
    </row>
    <row r="3791" spans="1:9">
      <c r="A3791" s="19">
        <v>738.5</v>
      </c>
      <c r="B3791" s="43">
        <v>140.74991883290846</v>
      </c>
      <c r="C3791" s="43">
        <v>142.15517412714041</v>
      </c>
      <c r="D3791" s="43">
        <v>143.42180377453332</v>
      </c>
      <c r="E3791" s="43">
        <v>144.54793076540034</v>
      </c>
      <c r="F3791" s="43">
        <v>145.53523278857932</v>
      </c>
      <c r="G3791" s="43">
        <v>146.38809325355476</v>
      </c>
      <c r="H3791" s="43">
        <v>147.11280814731714</v>
      </c>
      <c r="I3791" s="43">
        <v>147.71690456110514</v>
      </c>
    </row>
    <row r="3792" spans="1:9">
      <c r="A3792" s="19">
        <v>738.6</v>
      </c>
      <c r="B3792" s="43">
        <v>140.76743404783417</v>
      </c>
      <c r="C3792" s="43">
        <v>142.17284717912179</v>
      </c>
      <c r="D3792" s="43">
        <v>143.43966030389106</v>
      </c>
      <c r="E3792" s="43">
        <v>144.56599152169036</v>
      </c>
      <c r="F3792" s="43">
        <v>145.55351331608637</v>
      </c>
      <c r="G3792" s="43">
        <v>146.40660403922226</v>
      </c>
      <c r="H3792" s="43">
        <v>147.13155507150196</v>
      </c>
      <c r="I3792" s="43">
        <v>147.73588951125896</v>
      </c>
    </row>
    <row r="3793" spans="1:9">
      <c r="A3793" s="19">
        <v>738.7</v>
      </c>
      <c r="B3793" s="43">
        <v>140.7849491226624</v>
      </c>
      <c r="C3793" s="43">
        <v>142.19052003491544</v>
      </c>
      <c r="D3793" s="43">
        <v>143.45751658006799</v>
      </c>
      <c r="E3793" s="43">
        <v>144.5840519694836</v>
      </c>
      <c r="F3793" s="43">
        <v>145.57179348400064</v>
      </c>
      <c r="G3793" s="43">
        <v>146.42511441966576</v>
      </c>
      <c r="H3793" s="43">
        <v>147.15030155137737</v>
      </c>
      <c r="I3793" s="43">
        <v>147.75487398496574</v>
      </c>
    </row>
    <row r="3794" spans="1:9">
      <c r="A3794" s="19">
        <v>738.8</v>
      </c>
      <c r="B3794" s="43">
        <v>140.80246405771055</v>
      </c>
      <c r="C3794" s="43">
        <v>142.20819269486952</v>
      </c>
      <c r="D3794" s="43">
        <v>143.47537260329909</v>
      </c>
      <c r="E3794" s="43">
        <v>144.60211210915651</v>
      </c>
      <c r="F3794" s="43">
        <v>145.59007329247135</v>
      </c>
      <c r="G3794" s="43">
        <v>146.44362439515419</v>
      </c>
      <c r="H3794" s="43">
        <v>147.16904758725633</v>
      </c>
      <c r="I3794" s="43">
        <v>147.77385798250367</v>
      </c>
    </row>
    <row r="3795" spans="1:9">
      <c r="A3795" s="19">
        <v>738.9</v>
      </c>
      <c r="B3795" s="43">
        <v>140.81997885286177</v>
      </c>
      <c r="C3795" s="43">
        <v>142.22586515891953</v>
      </c>
      <c r="D3795" s="43">
        <v>143.4932283735925</v>
      </c>
      <c r="E3795" s="43">
        <v>144.62017194066715</v>
      </c>
      <c r="F3795" s="43">
        <v>145.60835274170859</v>
      </c>
      <c r="G3795" s="43">
        <v>146.46213396576422</v>
      </c>
      <c r="H3795" s="43">
        <v>147.18779317913516</v>
      </c>
      <c r="I3795" s="43">
        <v>147.79284150388207</v>
      </c>
    </row>
    <row r="3796" spans="1:9">
      <c r="A3796" s="19">
        <v>739</v>
      </c>
      <c r="B3796" s="43">
        <v>140.83749350853151</v>
      </c>
      <c r="C3796" s="43">
        <v>142.24353742743835</v>
      </c>
      <c r="D3796" s="43">
        <v>143.51108389131269</v>
      </c>
      <c r="E3796" s="43">
        <v>144.63823146434981</v>
      </c>
      <c r="F3796" s="43">
        <v>145.62663183184031</v>
      </c>
      <c r="G3796" s="43">
        <v>146.48064313170624</v>
      </c>
      <c r="H3796" s="43">
        <v>147.20653832728516</v>
      </c>
      <c r="I3796" s="43">
        <v>147.81182454934083</v>
      </c>
    </row>
    <row r="3797" spans="1:9">
      <c r="A3797" s="19">
        <v>739.1</v>
      </c>
      <c r="B3797" s="43">
        <v>140.85500802437008</v>
      </c>
      <c r="C3797" s="43">
        <v>142.26120950017003</v>
      </c>
      <c r="D3797" s="43">
        <v>143.52893915623315</v>
      </c>
      <c r="E3797" s="43">
        <v>144.65629068003193</v>
      </c>
      <c r="F3797" s="43">
        <v>145.6449105628875</v>
      </c>
      <c r="G3797" s="43">
        <v>146.49915189296104</v>
      </c>
      <c r="H3797" s="43">
        <v>147.22528303168025</v>
      </c>
      <c r="I3797" s="43">
        <v>147.83080711887175</v>
      </c>
    </row>
    <row r="3798" spans="1:9">
      <c r="A3798" s="19">
        <v>739.2</v>
      </c>
      <c r="B3798" s="43">
        <v>140.87252240067966</v>
      </c>
      <c r="C3798" s="43">
        <v>142.27888137731617</v>
      </c>
      <c r="D3798" s="43">
        <v>143.54679416862962</v>
      </c>
      <c r="E3798" s="43">
        <v>144.67434958799487</v>
      </c>
      <c r="F3798" s="43">
        <v>145.6631889349988</v>
      </c>
      <c r="G3798" s="43">
        <v>146.51766024973705</v>
      </c>
      <c r="H3798" s="43">
        <v>147.24402729256286</v>
      </c>
      <c r="I3798" s="43">
        <v>147.84978921267185</v>
      </c>
    </row>
    <row r="3799" spans="1:9">
      <c r="A3799" s="19">
        <v>739.3</v>
      </c>
      <c r="B3799" s="43">
        <v>140.89003663734735</v>
      </c>
      <c r="C3799" s="43">
        <v>142.29655305890259</v>
      </c>
      <c r="D3799" s="43">
        <v>143.56464892845037</v>
      </c>
      <c r="E3799" s="43">
        <v>144.69240818822209</v>
      </c>
      <c r="F3799" s="43">
        <v>145.68146694824748</v>
      </c>
      <c r="G3799" s="43">
        <v>146.53616820206105</v>
      </c>
      <c r="H3799" s="43">
        <v>147.26277110988229</v>
      </c>
      <c r="I3799" s="43">
        <v>147.86877083078019</v>
      </c>
    </row>
    <row r="3800" spans="1:9">
      <c r="A3800" s="19">
        <v>739.4</v>
      </c>
      <c r="B3800" s="43">
        <v>140.90755073482262</v>
      </c>
      <c r="C3800" s="43">
        <v>142.31422454534629</v>
      </c>
      <c r="D3800" s="43">
        <v>143.58250343616749</v>
      </c>
      <c r="E3800" s="43">
        <v>144.71046648109558</v>
      </c>
      <c r="F3800" s="43">
        <v>145.69974460297601</v>
      </c>
      <c r="G3800" s="43">
        <v>146.55467575028001</v>
      </c>
      <c r="H3800" s="43">
        <v>147.28151448399166</v>
      </c>
      <c r="I3800" s="43">
        <v>147.88775197342744</v>
      </c>
    </row>
    <row r="3801" spans="1:9">
      <c r="A3801" s="19">
        <v>739.5</v>
      </c>
      <c r="B3801" s="43">
        <v>140.92506469289924</v>
      </c>
      <c r="C3801" s="43">
        <v>142.33189583653325</v>
      </c>
      <c r="D3801" s="43">
        <v>143.60035769158242</v>
      </c>
      <c r="E3801" s="43">
        <v>144.728524466625</v>
      </c>
      <c r="F3801" s="43">
        <v>145.71802189919197</v>
      </c>
      <c r="G3801" s="43">
        <v>146.57318289442077</v>
      </c>
      <c r="H3801" s="43">
        <v>147.3002574149383</v>
      </c>
      <c r="I3801" s="43">
        <v>147.90673264075934</v>
      </c>
    </row>
    <row r="3802" spans="1:9">
      <c r="A3802" s="19">
        <v>739.6</v>
      </c>
      <c r="B3802" s="43">
        <v>140.94257851182755</v>
      </c>
      <c r="C3802" s="43">
        <v>142.3495669326108</v>
      </c>
      <c r="D3802" s="43">
        <v>143.61821169502804</v>
      </c>
      <c r="E3802" s="43">
        <v>144.74658214490404</v>
      </c>
      <c r="F3802" s="43">
        <v>145.73629883704427</v>
      </c>
      <c r="G3802" s="43">
        <v>146.59168963458768</v>
      </c>
      <c r="H3802" s="43">
        <v>147.31899990283711</v>
      </c>
      <c r="I3802" s="43">
        <v>147.92571283280034</v>
      </c>
    </row>
    <row r="3803" spans="1:9">
      <c r="A3803" s="19">
        <v>739.7</v>
      </c>
      <c r="B3803" s="43">
        <v>140.96009219158037</v>
      </c>
      <c r="C3803" s="43">
        <v>142.36723783361066</v>
      </c>
      <c r="D3803" s="43">
        <v>143.63606544645887</v>
      </c>
      <c r="E3803" s="43">
        <v>144.76463951607229</v>
      </c>
      <c r="F3803" s="43">
        <v>145.7545754166083</v>
      </c>
      <c r="G3803" s="43">
        <v>146.61019597090842</v>
      </c>
      <c r="H3803" s="43">
        <v>147.33774194781796</v>
      </c>
      <c r="I3803" s="43">
        <v>147.94469254972165</v>
      </c>
    </row>
    <row r="3804" spans="1:9">
      <c r="A3804" s="19">
        <v>739.8</v>
      </c>
      <c r="B3804" s="43">
        <v>140.97760573242169</v>
      </c>
      <c r="C3804" s="43">
        <v>142.3849085398067</v>
      </c>
      <c r="D3804" s="43">
        <v>143.65391894611963</v>
      </c>
      <c r="E3804" s="43">
        <v>144.78269658031275</v>
      </c>
      <c r="F3804" s="43">
        <v>145.77285163812007</v>
      </c>
      <c r="G3804" s="43">
        <v>146.62870190358404</v>
      </c>
      <c r="H3804" s="43">
        <v>147.35648355000836</v>
      </c>
      <c r="I3804" s="43">
        <v>147.96367179162564</v>
      </c>
    </row>
    <row r="3805" spans="1:9">
      <c r="A3805" s="19">
        <v>739.9</v>
      </c>
      <c r="B3805" s="43">
        <v>140.99511913427904</v>
      </c>
      <c r="C3805" s="43">
        <v>142.40257905111656</v>
      </c>
      <c r="D3805" s="43">
        <v>143.67177219406153</v>
      </c>
      <c r="E3805" s="43">
        <v>144.80075333772146</v>
      </c>
      <c r="F3805" s="43">
        <v>145.79112750165393</v>
      </c>
      <c r="G3805" s="43">
        <v>146.64720743273313</v>
      </c>
      <c r="H3805" s="43">
        <v>147.37522470959942</v>
      </c>
      <c r="I3805" s="43">
        <v>147.98265055867745</v>
      </c>
    </row>
    <row r="3806" spans="1:9">
      <c r="A3806" s="19">
        <v>740</v>
      </c>
      <c r="B3806" s="43">
        <v>141.01088116008975</v>
      </c>
      <c r="C3806" s="43">
        <v>142.41848243052482</v>
      </c>
      <c r="D3806" s="43">
        <v>143.68783999069757</v>
      </c>
      <c r="E3806" s="43">
        <v>144.81700424870633</v>
      </c>
      <c r="F3806" s="43">
        <v>145.80757556751905</v>
      </c>
      <c r="G3806" s="43">
        <v>146.66386216171207</v>
      </c>
      <c r="H3806" s="43">
        <v>147.39209147550548</v>
      </c>
      <c r="I3806" s="43">
        <v>147.99973114659696</v>
      </c>
    </row>
    <row r="3808" spans="1:9">
      <c r="A3808" s="41" t="s">
        <v>120</v>
      </c>
      <c r="B3808" s="41"/>
      <c r="C3808" s="41"/>
      <c r="D3808" s="41"/>
      <c r="E3808" s="41"/>
      <c r="F3808" s="41"/>
      <c r="G3808" s="41"/>
      <c r="H3808" s="41"/>
      <c r="I3808" s="41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결과</vt:lpstr>
      <vt:lpstr>설정</vt:lpstr>
      <vt:lpstr>Nb2O5 입력</vt:lpstr>
      <vt:lpstr>2층 입력</vt:lpstr>
      <vt:lpstr>굴절률</vt:lpstr>
      <vt:lpstr>TMM 계산표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Huiseong Jeong</cp:lastModifiedBy>
  <dcterms:modified xsi:type="dcterms:W3CDTF">2026-10-07T07:24:44Z</dcterms:modified>
</cp:coreProperties>
</file>
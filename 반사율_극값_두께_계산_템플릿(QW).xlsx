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e4f55fe4d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결과" sheetId="1" r:id="R430c5cb285794df5"/>
    <x:sheet xmlns:r="http://schemas.openxmlformats.org/officeDocument/2006/relationships" name="설정" sheetId="2" r:id="Rf3a0636ef4ab4f37"/>
    <x:sheet xmlns:r="http://schemas.openxmlformats.org/officeDocument/2006/relationships" name="Nb2O5 입력" sheetId="3" r:id="R7c71cfdc625f40a9"/>
    <x:sheet xmlns:r="http://schemas.openxmlformats.org/officeDocument/2006/relationships" name="2층 입력" sheetId="4" r:id="R7a00201b5c4a4f96"/>
    <x:sheet xmlns:r="http://schemas.openxmlformats.org/officeDocument/2006/relationships" name="굴절률" sheetId="5" r:id="R092d0278cf52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%"/>
    <x:numFmt numFmtId="202" formatCode="0"/>
    <x:numFmt numFmtId="203" formatCode="0.0"/>
    <x:numFmt numFmtId="204" formatCode="0.00000"/>
    <x:numFmt numFmtId="205" formatCode="0&quot;nm&quot;"/>
  </x:numFmts>
  <x:fonts count="7">
    <x:font>
      <x:sz val="11"/>
      <x:name val="Carlito"/>
    </x:font>
    <x:font>
      <x:b/>
      <x:sz val="15"/>
      <x:color rgb="FF1F4E78"/>
      <x:name val="Arial"/>
    </x:font>
    <x:font>
      <x:i/>
      <x:sz val="9"/>
      <x:color rgb="FF5F6B7A"/>
      <x:name val="Arial"/>
    </x:font>
    <x:font>
      <x:b/>
      <x:sz val="10"/>
      <x:color rgb="FF1F4E78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8"/>
      <x:color rgb="FF5F6B7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0">
    <x:border/>
    <x:border>
      <x:bottom style="thin">
        <x:color rgb="FF5B9BD5"/>
      </x:bottom>
    </x:border>
    <x:border>
      <x:left style="thin">
        <x:color rgb="FF5B9BD5"/>
      </x:left>
      <x:top style="thin">
        <x:color rgb="FF5B9BD5"/>
      </x:top>
      <x:bottom style="thin">
        <x:color rgb="FF5B9BD5"/>
      </x:bottom>
    </x:border>
    <x:border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bottom style="thin">
        <x:color rgb="FF1F4E78"/>
      </x:bottom>
    </x:border>
    <x:border>
      <x:top style="thin">
        <x:color rgb="FF5B9BD5"/>
      </x:top>
      <x:bottom style="thin">
        <x:color rgb="FF5B9BD5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horizontal="right" vertical="center"/>
    </x:xf>
    <x:xf numFmtId="203" fontId="4" fillId="0" borderId="4" xfId="0" applyNumberFormat="1" applyFont="1" applyFill="1" applyBorder="1" applyAlignment="1">
      <x:alignment horizontal="right" vertical="center"/>
    </x:xf>
    <x:xf numFmtId="204" fontId="4" fillId="0" borderId="4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2" fontId="4" fillId="0" borderId="5" xfId="0" applyNumberFormat="1" applyFont="1" applyFill="1" applyBorder="1" applyAlignment="1">
      <x:alignment horizontal="right" vertical="center"/>
    </x:xf>
    <x:xf numFmtId="203" fontId="4" fillId="0" borderId="5" xfId="0" applyNumberFormat="1" applyFont="1" applyFill="1" applyBorder="1" applyAlignment="1">
      <x:alignment horizontal="right" vertical="center"/>
    </x:xf>
    <x:xf numFmtId="204" fontId="4" fillId="0" borderId="5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left" vertical="center"/>
    </x:xf>
    <x:xf numFmtId="0" fontId="4" fillId="0" borderId="5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4" borderId="4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2" fontId="4" fillId="4" borderId="4" xfId="0" applyNumberFormat="1" applyFont="1" applyFill="1" applyBorder="1" applyAlignment="1">
      <x:alignment horizontal="right" vertical="center"/>
    </x:xf>
    <x:xf numFmtId="202" fontId="4" fillId="4" borderId="5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 wrapText="1"/>
    </x:xf>
    <x:xf numFmtId="205" fontId="5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3" fontId="4" fillId="4" borderId="4" xfId="0" applyNumberFormat="1" applyFont="1" applyFill="1" applyBorder="1" applyAlignment="1">
      <x:alignment vertical="center"/>
    </x:xf>
    <x:xf numFmtId="203" fontId="4" fillId="4" borderId="5" xfId="0" applyNumberFormat="1" applyFont="1" applyFill="1" applyBorder="1" applyAlignment="1">
      <x:alignment vertical="center"/>
    </x:xf>
    <x:xf numFmtId="203" fontId="4" fillId="4" borderId="4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right" vertical="center"/>
    </x:xf>
    <x:xf numFmtId="203" fontId="4" fillId="4" borderId="5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0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8257253584987" /><Relationship Type="http://schemas.openxmlformats.org/officeDocument/2006/relationships/theme" Target="/xl/theme/theme1.xml" Id="R8667e69ed740429f" /><Relationship Type="http://schemas.openxmlformats.org/officeDocument/2006/relationships/sharedStrings" Target="/xl/sharedStrings.xml" Id="R08786ce18dda4958" /><Relationship Type="http://schemas.openxmlformats.org/officeDocument/2006/relationships/worksheet" Target="/xl/worksheets/sheet1.xml" Id="R430c5cb285794df5" /><Relationship Type="http://schemas.openxmlformats.org/officeDocument/2006/relationships/worksheet" Target="/xl/worksheets/sheet2.xml" Id="Rf3a0636ef4ab4f37" /><Relationship Type="http://schemas.openxmlformats.org/officeDocument/2006/relationships/worksheet" Target="/xl/worksheets/sheet3.xml" Id="R7c71cfdc625f40a9" /><Relationship Type="http://schemas.openxmlformats.org/officeDocument/2006/relationships/worksheet" Target="/xl/worksheets/sheet4.xml" Id="R7a00201b5c4a4f96" /><Relationship Type="http://schemas.openxmlformats.org/officeDocument/2006/relationships/worksheet" Target="/xl/worksheets/sheet5.xml" Id="R092d0278cf5244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3cca6d5faa44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위치별 추정 두께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Nb 두께(nm)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'결과'!$B$12:$B$24</c:f>
              <c:strCache>
                <c:ptCount val="0"/>
              </c:strCache>
            </c:strRef>
          </c:cat>
          <c:val>
            <c:numRef>
              <c:f>'결과'!$G$12:$G$24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SiO2 QW 등가(nm)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'결과'!$B$12:$B$24</c:f>
              <c:strCache>
                <c:ptCount val="0"/>
              </c:strCache>
            </c:strRef>
          </c:cat>
          <c:val>
            <c:numRef>
              <c:f>'결과'!$M$12:$M$24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위치 (mm)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두께 (nm)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3cca6d5faa44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a9111c8f2f417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</x:cols>
  <x:sheetData>
    <x:row r="2" ht="24" customHeight="1">
      <x:c r="A2" s="2" t="str">
        <x:v>반사율 극값 기반 두께 추정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5" t="str">
        <x:v>Nb2O5 단층 두께와 Nb2O5/SiO2 적층의 SiO2 QW 등가 두께를 13개 위치에서 계산합니다.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A4" s="10" t="str">
        <x:v>Nb2O5 (1L)</x:v>
      </x:c>
      <x:c r="B4" s="11" t="str">
        <x:v>값</x:v>
      </x:c>
      <x:c r="D4" s="10" t="str">
        <x:v>SiO2 QW 등가</x:v>
      </x:c>
      <x:c r="E4" s="11" t="str">
        <x:v>값</x:v>
      </x:c>
    </x:row>
    <x:row r="5">
      <x:c r="A5" s="14" t="str">
        <x:v>평균 (nm)</x:v>
      </x:c>
      <x:c r="B5" s="16" t="n">
        <x:f>IF(COUNT(G12:G24)=0,"",AVERAGE(G12:G24))</x:f>
        <x:v>104.67340532610928</x:v>
      </x:c>
      <x:c r="D5" s="14" t="str">
        <x:v>평균 (nm)</x:v>
      </x:c>
      <x:c r="E5" s="16" t="n">
        <x:f>IF(COUNT(M12:M24)=0,"",AVERAGE(M12:M24))</x:f>
        <x:v>81.52820802504301</x:v>
      </x:c>
    </x:row>
    <x:row r="6">
      <x:c r="A6" s="15" t="str">
        <x:v>최소 (nm)</x:v>
      </x:c>
      <x:c r="B6" s="17" t="n">
        <x:f>IF(COUNT(G12:G24)=0,"",MIN(G12:G24))</x:f>
        <x:v>94.37761111390748</x:v>
      </x:c>
      <x:c r="D6" s="15" t="str">
        <x:v>최소 (nm)</x:v>
      </x:c>
      <x:c r="E6" s="17" t="n">
        <x:f>IF(COUNT(M12:M24)=0,"",MIN(M12:M24))</x:f>
        <x:v>79.87709125022944</x:v>
      </x:c>
    </x:row>
    <x:row r="7">
      <x:c r="A7" s="15" t="str">
        <x:v>최대 (nm)</x:v>
      </x:c>
      <x:c r="B7" s="17" t="n">
        <x:f>IF(COUNT(G12:G24)=0,"",MAX(G12:G24))</x:f>
        <x:v>113.7431807743979</x:v>
      </x:c>
      <x:c r="D7" s="15" t="str">
        <x:v>최대 (nm)</x:v>
      </x:c>
      <x:c r="E7" s="17" t="n">
        <x:f>IF(COUNT(M12:M24)=0,"",MAX(M12:M24))</x:f>
        <x:v>84.16935895255908</x:v>
      </x:c>
    </x:row>
    <x:row r="8">
      <x:c r="A8" s="15" t="str">
        <x:v>P-P (nm)</x:v>
      </x:c>
      <x:c r="B8" s="17" t="n">
        <x:f>IF(COUNT(G12:G24)=0,"",MAX(G12:G24)-MIN(G12:G24))</x:f>
        <x:v>19.365569660490422</x:v>
      </x:c>
      <x:c r="D8" s="15" t="str">
        <x:v>P-P (nm)</x:v>
      </x:c>
      <x:c r="E8" s="17" t="n">
        <x:f>IF(COUNT(M12:M24)=0,"",MAX(M12:M24)-MIN(M12:M24))</x:f>
        <x:v>4.292267702329639</x:v>
      </x:c>
    </x:row>
    <x:row r="9">
      <x:c r="A9" s="15" t="str">
        <x:v>± 균일도</x:v>
      </x:c>
      <x:c r="B9" s="18" t="n">
        <x:f>IF(COUNT(G12:G24)=0,"",(MAX(G12:G24)-MIN(G12:G24))/(2*AVERAGE(G12:G24)))</x:f>
        <x:v>0.0925047274432179</x:v>
      </x:c>
      <x:c r="D9" s="15" t="str">
        <x:v>± 균일도</x:v>
      </x:c>
      <x:c r="E9" s="18" t="n">
        <x:f>IF(COUNT(M12:M24)=0,"",(MAX(M12:M24)-MIN(M12:M24))/(2*AVERAGE(M12:M24)))</x:f>
        <x:v>0.02632381973249788</x:v>
      </x:c>
    </x:row>
    <x:row r="11">
      <x:c r="A11" s="24" t="str">
        <x:v>시료</x:v>
      </x:c>
      <x:c r="B11" s="25" t="str">
        <x:v>위치(mm)</x:v>
      </x:c>
      <x:c r="C11" s="25" t="str">
        <x:v>Nb 최소 λ</x:v>
      </x:c>
      <x:c r="D11" s="25" t="str">
        <x:v>Nb 최대 λ</x:v>
      </x:c>
      <x:c r="E11" s="25" t="str">
        <x:v>Nb 사용 λ</x:v>
      </x:c>
      <x:c r="F11" s="25" t="str">
        <x:v>Nb n</x:v>
      </x:c>
      <x:c r="G11" s="25" t="str">
        <x:v>Nb 두께(nm)</x:v>
      </x:c>
      <x:c r="H11" s="25" t="str">
        <x:v>Nb 상태</x:v>
      </x:c>
      <x:c r="I11" s="25" t="str">
        <x:v>2L 최소 λ</x:v>
      </x:c>
      <x:c r="J11" s="25" t="str">
        <x:v>2L 최대 λ</x:v>
      </x:c>
      <x:c r="K11" s="25" t="str">
        <x:v>2L 사용 λ</x:v>
      </x:c>
      <x:c r="L11" s="25" t="str">
        <x:v>SiO2 n</x:v>
      </x:c>
      <x:c r="M11" s="25" t="str">
        <x:v>SiO2 QW 등가(nm)</x:v>
      </x:c>
      <x:c r="N11" s="26" t="str">
        <x:v>2L 상태</x:v>
      </x:c>
    </x:row>
    <x:row r="12">
      <x:c r="A12" s="33" t="n">
        <x:f>'Nb2O5 입력'!A6</x:f>
        <x:v>1</x:v>
      </x:c>
      <x:c r="B12" s="33" t="n">
        <x:f>'설정'!B16</x:f>
        <x:v>50</x:v>
      </x:c>
      <x:c r="C12" s="34" t="n">
        <x:f>'Nb2O5 입력'!AV6</x:f>
        <x:v>470</x:v>
      </x:c>
      <x:c r="D12" s="34" t="n">
        <x:f>'Nb2O5 입력'!AX6</x:f>
        <x:v>600</x:v>
      </x:c>
      <x:c r="E12" s="34" t="n">
        <x:f>'Nb2O5 입력'!AZ6</x:f>
        <x:v>470</x:v>
      </x:c>
      <x:c r="F12" s="35" t="n">
        <x:f>'Nb2O5 입력'!BA6</x:f>
        <x:v>2.36641</x:v>
      </x:c>
      <x:c r="G12" s="36" t="n">
        <x:f>'Nb2O5 입력'!BC6</x:f>
        <x:v>99.3065445125739</x:v>
      </x:c>
      <x:c r="H12" s="41" t="str">
        <x:f>'Nb2O5 입력'!BD6</x:f>
        <x:v>완료</x:v>
      </x:c>
      <x:c r="I12" s="34" t="n">
        <x:f>'2층 입력'!AV6</x:f>
        <x:v>475</x:v>
      </x:c>
      <x:c r="J12" s="34" t="n">
        <x:f>'2층 입력'!AX6</x:f>
        <x:v>550</x:v>
      </x:c>
      <x:c r="K12" s="34" t="n">
        <x:f>'2층 입력'!AZ6</x:f>
        <x:v>475</x:v>
      </x:c>
      <x:c r="L12" s="35" t="n">
        <x:f>'2층 입력'!BA6</x:f>
        <x:v>1.47085</x:v>
      </x:c>
      <x:c r="M12" s="36" t="n">
        <x:f>'2층 입력'!BC6</x:f>
        <x:v>80.73562905802767</x:v>
      </x:c>
      <x:c r="N12" s="41" t="str">
        <x:f>'2층 입력'!BD6</x:f>
        <x:v>복수 극값 평균</x:v>
      </x:c>
    </x:row>
    <x:row r="13">
      <x:c r="A13" s="37" t="n">
        <x:f>'Nb2O5 입력'!A7</x:f>
        <x:v>2</x:v>
      </x:c>
      <x:c r="B13" s="37" t="n">
        <x:f>'설정'!B17</x:f>
        <x:v>150</x:v>
      </x:c>
      <x:c r="C13" s="38" t="n">
        <x:f>'Nb2O5 입력'!AV7</x:f>
        <x:v>500</x:v>
      </x:c>
      <x:c r="D13" s="38" t="n">
        <x:f>'Nb2O5 입력'!AX7</x:f>
        <x:v>430</x:v>
      </x:c>
      <x:c r="E13" s="38" t="n">
        <x:f>'Nb2O5 입력'!AZ7</x:f>
        <x:v>500</x:v>
      </x:c>
      <x:c r="F13" s="39" t="n">
        <x:f>'Nb2O5 입력'!BA7</x:f>
        <x:v>2.3457</x:v>
      </x:c>
      <x:c r="G13" s="40" t="n">
        <x:f>'Nb2O5 입력'!BC7</x:f>
        <x:v>106.57799377584517</x:v>
      </x:c>
      <x:c r="H13" s="42" t="str">
        <x:f>'Nb2O5 입력'!BD7</x:f>
        <x:v>완료</x:v>
      </x:c>
      <x:c r="I13" s="38" t="n">
        <x:f>'2층 입력'!AV7</x:f>
        <x:v>495</x:v>
      </x:c>
      <x:c r="J13" s="38" t="n">
        <x:f>'2층 입력'!AX7</x:f>
        <x:v>430</x:v>
      </x:c>
      <x:c r="K13" s="38" t="n">
        <x:f>'2층 입력'!AZ7</x:f>
        <x:v>495</x:v>
      </x:c>
      <x:c r="L13" s="39" t="n">
        <x:f>'2층 입력'!BA7</x:f>
        <x:v>1.47025</x:v>
      </x:c>
      <x:c r="M13" s="40" t="n">
        <x:f>'2층 입력'!BC7</x:f>
        <x:v>84.16935895255908</x:v>
      </x:c>
      <x:c r="N13" s="42" t="str">
        <x:f>'2층 입력'!BD7</x:f>
        <x:v>복수 극값 평균</x:v>
      </x:c>
    </x:row>
    <x:row r="14">
      <x:c r="A14" s="37" t="n">
        <x:f>'Nb2O5 입력'!A8</x:f>
        <x:v>3</x:v>
      </x:c>
      <x:c r="B14" s="37" t="n">
        <x:f>'설정'!B18</x:f>
        <x:v>250</x:v>
      </x:c>
      <x:c r="C14" s="38" t="n">
        <x:f>'Nb2O5 입력'!AV8</x:f>
        <x:v>510</x:v>
      </x:c>
      <x:c r="D14" s="38" t="n">
        <x:f>'Nb2O5 입력'!AX8</x:f>
        <x:v>430</x:v>
      </x:c>
      <x:c r="E14" s="38" t="n">
        <x:f>'Nb2O5 입력'!AZ8</x:f>
        <x:v>510</x:v>
      </x:c>
      <x:c r="F14" s="39" t="n">
        <x:f>'Nb2O5 입력'!BA8</x:f>
        <x:v>2.33996</x:v>
      </x:c>
      <x:c r="G14" s="40" t="n">
        <x:f>'Nb2O5 입력'!BC8</x:f>
        <x:v>108.97622181575753</x:v>
      </x:c>
      <x:c r="H14" s="42" t="str">
        <x:f>'Nb2O5 입력'!BD8</x:f>
        <x:v>완료</x:v>
      </x:c>
      <x:c r="I14" s="38" t="n">
        <x:f>'2층 입력'!AV8</x:f>
        <x:v>485</x:v>
      </x:c>
      <x:c r="J14" s="38" t="n">
        <x:f>'2층 입력'!AX8</x:f>
        <x:v>430</x:v>
      </x:c>
      <x:c r="K14" s="38" t="n">
        <x:f>'2층 입력'!AZ8</x:f>
        <x:v>485</x:v>
      </x:c>
      <x:c r="L14" s="39" t="n">
        <x:f>'2층 입력'!BA8</x:f>
        <x:v>1.4705400000000002</x:v>
      </x:c>
      <x:c r="M14" s="40" t="n">
        <x:f>'2층 입력'!BC8</x:f>
        <x:v>82.4527044487059</x:v>
      </x:c>
      <x:c r="N14" s="42" t="str">
        <x:f>'2층 입력'!BD8</x:f>
        <x:v>복수 극값 평균</x:v>
      </x:c>
    </x:row>
    <x:row r="15">
      <x:c r="A15" s="37" t="n">
        <x:f>'Nb2O5 입력'!A9</x:f>
        <x:v>4</x:v>
      </x:c>
      <x:c r="B15" s="37" t="n">
        <x:f>'설정'!B19</x:f>
        <x:v>350</x:v>
      </x:c>
      <x:c r="C15" s="38" t="n">
        <x:f>'Nb2O5 입력'!AV9</x:f>
        <x:v>520</x:v>
      </x:c>
      <x:c r="D15" s="38" t="n">
        <x:f>'Nb2O5 입력'!AX9</x:f>
        <x:v>430</x:v>
      </x:c>
      <x:c r="E15" s="38" t="n">
        <x:f>'Nb2O5 입력'!AZ9</x:f>
        <x:v>520</x:v>
      </x:c>
      <x:c r="F15" s="39" t="n">
        <x:f>'Nb2O5 입력'!BA9</x:f>
        <x:v>2.33468</x:v>
      </x:c>
      <x:c r="G15" s="40" t="n">
        <x:f>'Nb2O5 입력'!BC9</x:f>
        <x:v>111.36429831925574</x:v>
      </x:c>
      <x:c r="H15" s="42" t="str">
        <x:f>'Nb2O5 입력'!BD9</x:f>
        <x:v>완료</x:v>
      </x:c>
      <x:c r="I15" s="38" t="n">
        <x:f>'2층 입력'!AV9</x:f>
        <x:v>480</x:v>
      </x:c>
      <x:c r="J15" s="38" t="n">
        <x:f>'2층 입력'!AX9</x:f>
        <x:v>430</x:v>
      </x:c>
      <x:c r="K15" s="38" t="n">
        <x:f>'2층 입력'!AZ9</x:f>
        <x:v>480</x:v>
      </x:c>
      <x:c r="L15" s="39" t="n">
        <x:f>'2층 입력'!BA9</x:f>
        <x:v>1.47069</x:v>
      </x:c>
      <x:c r="M15" s="40" t="n">
        <x:f>'2층 입력'!BC9</x:f>
        <x:v>81.59435367072598</x:v>
      </x:c>
      <x:c r="N15" s="42" t="str">
        <x:f>'2층 입력'!BD9</x:f>
        <x:v>완료</x:v>
      </x:c>
    </x:row>
    <x:row r="16">
      <x:c r="A16" s="37" t="n">
        <x:f>'Nb2O5 입력'!A10</x:f>
        <x:v>5</x:v>
      </x:c>
      <x:c r="B16" s="37" t="n">
        <x:f>'설정'!B20</x:f>
        <x:v>450</x:v>
      </x:c>
      <x:c r="C16" s="38" t="n">
        <x:f>'Nb2O5 입력'!AV10</x:f>
        <x:v>530</x:v>
      </x:c>
      <x:c r="D16" s="38" t="n">
        <x:f>'Nb2O5 입력'!AX10</x:f>
        <x:v>430</x:v>
      </x:c>
      <x:c r="E16" s="38" t="n">
        <x:f>'Nb2O5 입력'!AZ10</x:f>
        <x:v>530</x:v>
      </x:c>
      <x:c r="F16" s="39" t="n">
        <x:f>'Nb2O5 입력'!BA10</x:f>
        <x:v>2.32981</x:v>
      </x:c>
      <x:c r="G16" s="40" t="n">
        <x:f>'Nb2O5 입력'!BC10</x:f>
        <x:v>113.7431807743979</x:v>
      </x:c>
      <x:c r="H16" s="42" t="str">
        <x:f>'Nb2O5 입력'!BD10</x:f>
        <x:v>완료</x:v>
      </x:c>
      <x:c r="I16" s="38" t="n">
        <x:f>'2층 입력'!AV10</x:f>
        <x:v>480</x:v>
      </x:c>
      <x:c r="J16" s="38" t="n">
        <x:f>'2층 입력'!AX10</x:f>
        <x:v>430</x:v>
      </x:c>
      <x:c r="K16" s="38" t="n">
        <x:f>'2층 입력'!AZ10</x:f>
        <x:v>480</x:v>
      </x:c>
      <x:c r="L16" s="39" t="n">
        <x:f>'2층 입력'!BA10</x:f>
        <x:v>1.47069</x:v>
      </x:c>
      <x:c r="M16" s="40" t="n">
        <x:f>'2층 입력'!BC10</x:f>
        <x:v>81.59435367072598</x:v>
      </x:c>
      <x:c r="N16" s="42" t="str">
        <x:f>'2층 입력'!BD10</x:f>
        <x:v>완료</x:v>
      </x:c>
    </x:row>
    <x:row r="17">
      <x:c r="A17" s="37" t="n">
        <x:f>'Nb2O5 입력'!A11</x:f>
        <x:v>6</x:v>
      </x:c>
      <x:c r="B17" s="37" t="n">
        <x:f>'설정'!B21</x:f>
        <x:v>550</x:v>
      </x:c>
      <x:c r="C17" s="38" t="n">
        <x:f>'Nb2O5 입력'!AV11</x:f>
        <x:v>520</x:v>
      </x:c>
      <x:c r="D17" s="38" t="n">
        <x:f>'Nb2O5 입력'!AX11</x:f>
        <x:v>430</x:v>
      </x:c>
      <x:c r="E17" s="38" t="n">
        <x:f>'Nb2O5 입력'!AZ11</x:f>
        <x:v>520</x:v>
      </x:c>
      <x:c r="F17" s="39" t="n">
        <x:f>'Nb2O5 입력'!BA11</x:f>
        <x:v>2.33468</x:v>
      </x:c>
      <x:c r="G17" s="40" t="n">
        <x:f>'Nb2O5 입력'!BC11</x:f>
        <x:v>111.36429831925574</x:v>
      </x:c>
      <x:c r="H17" s="42" t="str">
        <x:f>'Nb2O5 입력'!BD11</x:f>
        <x:v>완료</x:v>
      </x:c>
      <x:c r="I17" s="38" t="n">
        <x:f>'2층 입력'!AV11</x:f>
        <x:v>480</x:v>
      </x:c>
      <x:c r="J17" s="38" t="n">
        <x:f>'2층 입력'!AX11</x:f>
        <x:v>430</x:v>
      </x:c>
      <x:c r="K17" s="38" t="n">
        <x:f>'2층 입력'!AZ11</x:f>
        <x:v>480</x:v>
      </x:c>
      <x:c r="L17" s="39" t="n">
        <x:f>'2층 입력'!BA11</x:f>
        <x:v>1.47069</x:v>
      </x:c>
      <x:c r="M17" s="40" t="n">
        <x:f>'2층 입력'!BC11</x:f>
        <x:v>81.59435367072598</x:v>
      </x:c>
      <x:c r="N17" s="42" t="str">
        <x:f>'2층 입력'!BD11</x:f>
        <x:v>완료</x:v>
      </x:c>
    </x:row>
    <x:row r="18">
      <x:c r="A18" s="37" t="n">
        <x:f>'Nb2O5 입력'!A12</x:f>
        <x:v>7</x:v>
      </x:c>
      <x:c r="B18" s="37" t="n">
        <x:f>'설정'!B22</x:f>
        <x:v>650</x:v>
      </x:c>
      <x:c r="C18" s="38" t="n">
        <x:f>'Nb2O5 입력'!AV12</x:f>
        <x:v>520</x:v>
      </x:c>
      <x:c r="D18" s="38" t="n">
        <x:f>'Nb2O5 입력'!AX12</x:f>
        <x:v>430</x:v>
      </x:c>
      <x:c r="E18" s="38" t="n">
        <x:f>'Nb2O5 입력'!AZ12</x:f>
        <x:v>520</x:v>
      </x:c>
      <x:c r="F18" s="39" t="n">
        <x:f>'Nb2O5 입력'!BA12</x:f>
        <x:v>2.33468</x:v>
      </x:c>
      <x:c r="G18" s="40" t="n">
        <x:f>'Nb2O5 입력'!BC12</x:f>
        <x:v>111.36429831925574</x:v>
      </x:c>
      <x:c r="H18" s="42" t="str">
        <x:f>'Nb2O5 입력'!BD12</x:f>
        <x:v>완료</x:v>
      </x:c>
      <x:c r="I18" s="38" t="n">
        <x:f>'2층 입력'!AV12</x:f>
        <x:v>480</x:v>
      </x:c>
      <x:c r="J18" s="38" t="n">
        <x:f>'2층 입력'!AX12</x:f>
        <x:v>430</x:v>
      </x:c>
      <x:c r="K18" s="38" t="n">
        <x:f>'2층 입력'!AZ12</x:f>
        <x:v>480</x:v>
      </x:c>
      <x:c r="L18" s="39" t="n">
        <x:f>'2층 입력'!BA12</x:f>
        <x:v>1.47069</x:v>
      </x:c>
      <x:c r="M18" s="40" t="n">
        <x:f>'2층 입력'!BC12</x:f>
        <x:v>81.59435367072598</x:v>
      </x:c>
      <x:c r="N18" s="42" t="str">
        <x:f>'2층 입력'!BD12</x:f>
        <x:v>완료</x:v>
      </x:c>
    </x:row>
    <x:row r="19">
      <x:c r="A19" s="37" t="n">
        <x:f>'Nb2O5 입력'!A13</x:f>
        <x:v>8</x:v>
      </x:c>
      <x:c r="B19" s="37" t="n">
        <x:f>'설정'!B23</x:f>
        <x:v>750</x:v>
      </x:c>
      <x:c r="C19" s="38" t="n">
        <x:f>'Nb2O5 입력'!AV13</x:f>
        <x:v>510</x:v>
      </x:c>
      <x:c r="D19" s="38" t="n">
        <x:f>'Nb2O5 입력'!AX13</x:f>
        <x:v>430</x:v>
      </x:c>
      <x:c r="E19" s="38" t="n">
        <x:f>'Nb2O5 입력'!AZ13</x:f>
        <x:v>510</x:v>
      </x:c>
      <x:c r="F19" s="39" t="n">
        <x:f>'Nb2O5 입력'!BA13</x:f>
        <x:v>2.33996</x:v>
      </x:c>
      <x:c r="G19" s="40" t="n">
        <x:f>'Nb2O5 입력'!BC13</x:f>
        <x:v>108.97622181575753</x:v>
      </x:c>
      <x:c r="H19" s="42" t="str">
        <x:f>'Nb2O5 입력'!BD13</x:f>
        <x:v>완료</x:v>
      </x:c>
      <x:c r="I19" s="38" t="n">
        <x:f>'2층 입력'!AV13</x:f>
        <x:v>470</x:v>
      </x:c>
      <x:c r="J19" s="38" t="n">
        <x:f>'2층 입력'!AX13</x:f>
        <x:v>550</x:v>
      </x:c>
      <x:c r="K19" s="38" t="n">
        <x:f>'2층 입력'!AZ13</x:f>
        <x:v>470</x:v>
      </x:c>
      <x:c r="L19" s="39" t="n">
        <x:f>'2층 입력'!BA13</x:f>
        <x:v>1.47101</x:v>
      </x:c>
      <x:c r="M19" s="40" t="n">
        <x:f>'2층 입력'!BC13</x:f>
        <x:v>79.87709125022944</x:v>
      </x:c>
      <x:c r="N19" s="42" t="str">
        <x:f>'2층 입력'!BD13</x:f>
        <x:v>완료</x:v>
      </x:c>
    </x:row>
    <x:row r="20">
      <x:c r="A20" s="37" t="n">
        <x:f>'Nb2O5 입력'!A14</x:f>
        <x:v>9</x:v>
      </x:c>
      <x:c r="B20" s="37" t="n">
        <x:f>'설정'!B24</x:f>
        <x:v>850</x:v>
      </x:c>
      <x:c r="C20" s="38" t="n">
        <x:f>'Nb2O5 입력'!AV14</x:f>
        <x:v>490</x:v>
      </x:c>
      <x:c r="D20" s="38" t="n">
        <x:f>'Nb2O5 입력'!AX14</x:f>
        <x:v>600</x:v>
      </x:c>
      <x:c r="E20" s="38" t="n">
        <x:f>'Nb2O5 입력'!AZ14</x:f>
        <x:v>490</x:v>
      </x:c>
      <x:c r="F20" s="39" t="n">
        <x:f>'Nb2O5 입력'!BA14</x:f>
        <x:v>2.35198</x:v>
      </x:c>
      <x:c r="G20" s="40" t="n">
        <x:f>'Nb2O5 입력'!BC14</x:f>
        <x:v>104.16755244517384</x:v>
      </x:c>
      <x:c r="H20" s="42" t="str">
        <x:f>'Nb2O5 입력'!BD14</x:f>
        <x:v>완료</x:v>
      </x:c>
      <x:c r="I20" s="38" t="n">
        <x:f>'2층 입력'!AV14</x:f>
        <x:v>470</x:v>
      </x:c>
      <x:c r="J20" s="38" t="n">
        <x:f>'2층 입력'!AX14</x:f>
        <x:v>550</x:v>
      </x:c>
      <x:c r="K20" s="38" t="n">
        <x:f>'2층 입력'!AZ14</x:f>
        <x:v>470</x:v>
      </x:c>
      <x:c r="L20" s="39" t="n">
        <x:f>'2층 입력'!BA14</x:f>
        <x:v>1.47101</x:v>
      </x:c>
      <x:c r="M20" s="40" t="n">
        <x:f>'2층 입력'!BC14</x:f>
        <x:v>79.87709125022944</x:v>
      </x:c>
      <x:c r="N20" s="42" t="str">
        <x:f>'2층 입력'!BD14</x:f>
        <x:v>완료</x:v>
      </x:c>
    </x:row>
    <x:row r="21">
      <x:c r="A21" s="37" t="n">
        <x:f>'Nb2O5 입력'!A15</x:f>
        <x:v>10</x:v>
      </x:c>
      <x:c r="B21" s="37" t="n">
        <x:f>'설정'!B25</x:f>
        <x:v>950</x:v>
      </x:c>
      <x:c r="C21" s="38" t="n">
        <x:f>'Nb2O5 입력'!AV15</x:f>
        <x:v>470</x:v>
      </x:c>
      <x:c r="D21" s="38" t="n">
        <x:f>'Nb2O5 입력'!AX15</x:f>
        <x:v>600</x:v>
      </x:c>
      <x:c r="E21" s="38" t="n">
        <x:f>'Nb2O5 입력'!AZ15</x:f>
        <x:v>470</x:v>
      </x:c>
      <x:c r="F21" s="39" t="n">
        <x:f>'Nb2O5 입력'!BA15</x:f>
        <x:v>2.36641</x:v>
      </x:c>
      <x:c r="G21" s="40" t="n">
        <x:f>'Nb2O5 입력'!BC15</x:f>
        <x:v>99.3065445125739</x:v>
      </x:c>
      <x:c r="H21" s="42" t="str">
        <x:f>'Nb2O5 입력'!BD15</x:f>
        <x:v>완료</x:v>
      </x:c>
      <x:c r="I21" s="38" t="n">
        <x:f>'2층 입력'!AV15</x:f>
        <x:v>480</x:v>
      </x:c>
      <x:c r="J21" s="38" t="n">
        <x:f>'2층 입력'!AX15</x:f>
        <x:v>430</x:v>
      </x:c>
      <x:c r="K21" s="38" t="n">
        <x:f>'2층 입력'!AZ15</x:f>
        <x:v>480</x:v>
      </x:c>
      <x:c r="L21" s="39" t="n">
        <x:f>'2층 입력'!BA15</x:f>
        <x:v>1.47069</x:v>
      </x:c>
      <x:c r="M21" s="40" t="n">
        <x:f>'2층 입력'!BC15</x:f>
        <x:v>81.59435367072598</x:v>
      </x:c>
      <x:c r="N21" s="42" t="str">
        <x:f>'2층 입력'!BD15</x:f>
        <x:v>완료</x:v>
      </x:c>
    </x:row>
    <x:row r="22">
      <x:c r="A22" s="37" t="n">
        <x:f>'Nb2O5 입력'!A16</x:f>
        <x:v>11</x:v>
      </x:c>
      <x:c r="B22" s="37" t="n">
        <x:f>'설정'!B26</x:f>
        <x:v>1050</x:v>
      </x:c>
      <x:c r="C22" s="38" t="n">
        <x:f>'Nb2O5 입력'!AV16</x:f>
        <x:v>460</x:v>
      </x:c>
      <x:c r="D22" s="38" t="n">
        <x:f>'Nb2O5 입력'!AX16</x:f>
        <x:v>600</x:v>
      </x:c>
      <x:c r="E22" s="38" t="n">
        <x:f>'Nb2O5 입력'!AZ16</x:f>
        <x:v>460</x:v>
      </x:c>
      <x:c r="F22" s="39" t="n">
        <x:f>'Nb2O5 입력'!BA16</x:f>
        <x:v>2.37476</x:v>
      </x:c>
      <x:c r="G22" s="40" t="n">
        <x:f>'Nb2O5 입력'!BC16</x:f>
        <x:v>96.85189240175849</x:v>
      </x:c>
      <x:c r="H22" s="42" t="str">
        <x:f>'Nb2O5 입력'!BD16</x:f>
        <x:v>완료</x:v>
      </x:c>
      <x:c r="I22" s="38" t="n">
        <x:f>'2층 입력'!AV16</x:f>
        <x:v>480</x:v>
      </x:c>
      <x:c r="J22" s="38" t="n">
        <x:f>'2층 입력'!AX16</x:f>
        <x:v>430</x:v>
      </x:c>
      <x:c r="K22" s="38" t="n">
        <x:f>'2층 입력'!AZ16</x:f>
        <x:v>480</x:v>
      </x:c>
      <x:c r="L22" s="39" t="n">
        <x:f>'2층 입력'!BA16</x:f>
        <x:v>1.47069</x:v>
      </x:c>
      <x:c r="M22" s="40" t="n">
        <x:f>'2층 입력'!BC16</x:f>
        <x:v>81.59435367072598</x:v>
      </x:c>
      <x:c r="N22" s="42" t="str">
        <x:f>'2층 입력'!BD16</x:f>
        <x:v>완료</x:v>
      </x:c>
    </x:row>
    <x:row r="23">
      <x:c r="A23" s="37" t="n">
        <x:f>'Nb2O5 입력'!A17</x:f>
        <x:v>12</x:v>
      </x:c>
      <x:c r="B23" s="37" t="n">
        <x:f>'설정'!B27</x:f>
        <x:v>1150</x:v>
      </x:c>
      <x:c r="C23" s="38" t="n">
        <x:f>'Nb2O5 입력'!AV17</x:f>
        <x:v>450</x:v>
      </x:c>
      <x:c r="D23" s="38" t="n">
        <x:f>'Nb2O5 입력'!AX17</x:f>
        <x:v>600</x:v>
      </x:c>
      <x:c r="E23" s="38" t="n">
        <x:f>'Nb2O5 입력'!AZ17</x:f>
        <x:v>450</x:v>
      </x:c>
      <x:c r="F23" s="39" t="n">
        <x:f>'Nb2O5 입력'!BA17</x:f>
        <x:v>2.38404</x:v>
      </x:c>
      <x:c r="G23" s="40" t="n">
        <x:f>'Nb2O5 입력'!BC17</x:f>
        <x:v>94.37761111390748</x:v>
      </x:c>
      <x:c r="H23" s="42" t="str">
        <x:f>'Nb2O5 입력'!BD17</x:f>
        <x:v>완료</x:v>
      </x:c>
      <x:c r="I23" s="38" t="n">
        <x:f>'2층 입력'!AV17</x:f>
        <x:v>480</x:v>
      </x:c>
      <x:c r="J23" s="38" t="n">
        <x:f>'2층 입력'!AX17</x:f>
        <x:v>430</x:v>
      </x:c>
      <x:c r="K23" s="38" t="n">
        <x:f>'2층 입력'!AZ17</x:f>
        <x:v>480</x:v>
      </x:c>
      <x:c r="L23" s="39" t="n">
        <x:f>'2층 입력'!BA17</x:f>
        <x:v>1.47069</x:v>
      </x:c>
      <x:c r="M23" s="40" t="n">
        <x:f>'2층 입력'!BC17</x:f>
        <x:v>81.59435367072598</x:v>
      </x:c>
      <x:c r="N23" s="42" t="str">
        <x:f>'2층 입력'!BD17</x:f>
        <x:v>완료</x:v>
      </x:c>
    </x:row>
    <x:row r="24">
      <x:c r="A24" s="37" t="n">
        <x:f>'Nb2O5 입력'!A18</x:f>
        <x:v>13</x:v>
      </x:c>
      <x:c r="B24" s="37" t="n">
        <x:f>'설정'!B28</x:f>
        <x:v>1250</x:v>
      </x:c>
      <x:c r="C24" s="38" t="n">
        <x:f>'Nb2O5 입력'!AV18</x:f>
        <x:v>450</x:v>
      </x:c>
      <x:c r="D24" s="38" t="n">
        <x:f>'Nb2O5 입력'!AX18</x:f>
        <x:v>600</x:v>
      </x:c>
      <x:c r="E24" s="38" t="n">
        <x:f>'Nb2O5 입력'!AZ18</x:f>
        <x:v>450</x:v>
      </x:c>
      <x:c r="F24" s="39" t="n">
        <x:f>'Nb2O5 입력'!BA18</x:f>
        <x:v>2.38404</x:v>
      </x:c>
      <x:c r="G24" s="40" t="n">
        <x:f>'Nb2O5 입력'!BC18</x:f>
        <x:v>94.37761111390748</x:v>
      </x:c>
      <x:c r="H24" s="42" t="str">
        <x:f>'Nb2O5 입력'!BD18</x:f>
        <x:v>완료</x:v>
      </x:c>
      <x:c r="I24" s="38" t="n">
        <x:f>'2층 입력'!AV18</x:f>
        <x:v>480</x:v>
      </x:c>
      <x:c r="J24" s="38" t="n">
        <x:f>'2층 입력'!AX18</x:f>
        <x:v>430</x:v>
      </x:c>
      <x:c r="K24" s="38" t="n">
        <x:f>'2층 입력'!AZ18</x:f>
        <x:v>480</x:v>
      </x:c>
      <x:c r="L24" s="39" t="n">
        <x:f>'2층 입력'!BA18</x:f>
        <x:v>1.47069</x:v>
      </x:c>
      <x:c r="M24" s="40" t="n">
        <x:f>'2층 입력'!BC18</x:f>
        <x:v>81.59435367072598</x:v>
      </x:c>
      <x:c r="N24" s="42" t="str">
        <x:f>'2층 입력'!BD18</x:f>
        <x:v>완료</x:v>
      </x:c>
    </x:row>
  </x:sheetData>
  <x:conditionalFormatting sqref="H12:H24">
    <x:cfRule type="containsText" dxfId="0" priority="1" operator="containsText" text="오류"/>
    <x:cfRule type="containsText" dxfId="1" priority="2" operator="containsText" text="필요"/>
    <x:cfRule type="containsText" dxfId="2" priority="3" operator="containsText" text="확인"/>
    <x:cfRule type="containsText" dxfId="3" priority="4" operator="containsText" text="복수"/>
    <x:cfRule type="containsText" dxfId="4" priority="5" operator="containsText" text="완료"/>
  </x:conditionalFormatting>
  <x:conditionalFormatting sqref="N12:N24">
    <x:cfRule type="containsText" dxfId="5" priority="6" operator="containsText" text="오류"/>
    <x:cfRule type="containsText" dxfId="6" priority="7" operator="containsText" text="필요"/>
    <x:cfRule type="containsText" dxfId="7" priority="8" operator="containsText" text="확인"/>
    <x:cfRule type="containsText" dxfId="8" priority="9" operator="containsText" text="복수"/>
    <x:cfRule type="containsText" dxfId="9" priority="10" operator="containsText" text="완료"/>
  </x:conditionalFormatting>
  <x:pageMargins left="0.7" right="0.7" top="0.75" bottom="0.75" header="0.3" footer="0.3"/>
  <x:drawing xmlns:r="http://schemas.openxmlformats.org/officeDocument/2006/relationships" r:id="R18a9111c8f2f417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12" hidden="0" customWidth="1"/>
    <x:col min="4" max="4" width="54" hidden="0" customWidth="1"/>
    <x:col min="5" max="5" width="15" hidden="0" customWidth="1"/>
    <x:col min="6" max="6" width="15" hidden="0" customWidth="1"/>
    <x:col min="7" max="7" width="15" hidden="0" customWidth="1"/>
  </x:cols>
  <x:sheetData>
    <x:row r="2" ht="24" customHeight="1">
      <x:c r="A2" s="2" t="str">
        <x:v>계산 설정</x:v>
      </x:c>
      <x:c r="B2" s="2"/>
      <x:c r="C2" s="2"/>
      <x:c r="D2" s="2"/>
      <x:c r="E2" s="2"/>
      <x:c r="F2" s="2"/>
      <x:c r="G2" s="2"/>
    </x:row>
    <x:row r="3">
      <x:c r="A3" s="5" t="str">
        <x:v>노란색 셀을 조정하면 13개 위치의 결과가 즉시 다시 계산됩니다.</x:v>
      </x:c>
      <x:c r="B3" s="5"/>
      <x:c r="C3" s="5"/>
      <x:c r="D3" s="5"/>
      <x:c r="E3" s="5"/>
      <x:c r="F3" s="5"/>
      <x:c r="G3" s="5"/>
    </x:row>
    <x:row r="5">
      <x:c r="A5" s="24" t="str">
        <x:v>계산 대상</x:v>
      </x:c>
      <x:c r="B5" s="25" t="str">
        <x:v>광학 모델</x:v>
      </x:c>
      <x:c r="C5" s="25" t="str">
        <x:v>극값</x:v>
      </x:c>
      <x:c r="D5" s="25" t="str">
        <x:v>차수 p</x:v>
      </x:c>
      <x:c r="E5" s="25" t="str">
        <x:v>검색 시작(nm)</x:v>
      </x:c>
      <x:c r="F5" s="25" t="str">
        <x:v>검색 끝(nm)</x:v>
      </x:c>
      <x:c r="G5" s="26" t="str">
        <x:v>입사각 θ0(°)</x:v>
      </x:c>
    </x:row>
    <x:row r="7">
      <x:c r="A7" s="14" t="str">
        <x:v>Nb2O5 (1L)</x:v>
      </x:c>
      <x:c r="B7" s="14" t="str">
        <x:v>air/Nb2O5/PET · 위상반전 1회</x:v>
      </x:c>
      <x:c r="C7" s="45" t="str">
        <x:v>최소</x:v>
      </x:c>
      <x:c r="D7" s="45" t="n">
        <x:v>1</x:v>
      </x:c>
      <x:c r="E7" s="45" t="n">
        <x:v>430</x:v>
      </x:c>
      <x:c r="F7" s="45" t="n">
        <x:v>600</x:v>
      </x:c>
      <x:c r="G7" s="45" t="n">
        <x:v>0</x:v>
      </x:c>
    </x:row>
    <x:row r="8">
      <x:c r="A8" s="15" t="str">
        <x:v>SiO2 (2L)</x:v>
      </x:c>
      <x:c r="B8" s="15" t="str">
        <x:v>air/SiO2/Nb2O5 · QW 간이 근사</x:v>
      </x:c>
      <x:c r="C8" s="46" t="str">
        <x:v>최소</x:v>
      </x:c>
      <x:c r="D8" s="46" t="n">
        <x:v>1</x:v>
      </x:c>
      <x:c r="E8" s="46" t="n">
        <x:v>430</x:v>
      </x:c>
      <x:c r="F8" s="46" t="n">
        <x:v>550</x:v>
      </x:c>
      <x:c r="G8" s="46" t="n">
        <x:v>0</x:v>
      </x:c>
    </x:row>
    <x:row r="10">
      <x:c r="A10" s="10" t="str">
        <x:v>계산식</x:v>
      </x:c>
      <x:c r="B10" s="48"/>
      <x:c r="C10" s="48"/>
      <x:c r="D10" s="48"/>
      <x:c r="E10" s="48"/>
      <x:c r="F10" s="48"/>
      <x:c r="G10" s="11"/>
    </x:row>
    <x:row r="11">
      <x:c r="A11" s="14" t="str">
        <x:v>Nb2O5</x:v>
      </x:c>
      <x:c r="B11" s="49" t="str">
        <x:v>최소 d=pλ/(2ncosθf), 최대 d=(2p-1)λ/(4ncosθf)</x:v>
      </x:c>
    </x:row>
    <x:row r="12">
      <x:c r="A12" s="15" t="str">
        <x:v>SiO2 (2L)</x:v>
      </x:c>
      <x:c r="B12" s="50" t="str">
        <x:v>최소 d=(2p-1)λ/(4ncosθf), 최대 d=pλ/(2ncosθf)</x:v>
      </x:c>
    </x:row>
    <x:row r="13">
      <x:c r="A13" s="15" t="str">
        <x:v>굴절각</x:v>
      </x:c>
      <x:c r="B13" s="50" t="str">
        <x:v>θf=asin(sinθ0/n). 기본 θ0=0°이며 필요 시 설정에서 변경</x:v>
      </x:c>
    </x:row>
    <x:row r="15">
      <x:c r="A15" s="24" t="str">
        <x:v>시료</x:v>
      </x:c>
      <x:c r="B15" s="26" t="str">
        <x:v>위치(mm)</x:v>
      </x:c>
      <x:c r="D15" s="10" t="str">
        <x:v>사용 방법</x:v>
      </x:c>
      <x:c r="E15" s="48"/>
      <x:c r="F15" s="48"/>
      <x:c r="G15" s="11"/>
    </x:row>
    <x:row r="16" ht="32" customHeight="1">
      <x:c r="A16" s="33" t="n">
        <x:v>1</x:v>
      </x:c>
      <x:c r="B16" s="53" t="n">
        <x:v>50</x:v>
      </x:c>
      <x:c r="D16" s="55" t="str">
        <x:v>1. 각 입력 시트의 A:AT 노란색 영역에 CM-36dG 13개 행을 붙여넣습니다.</x:v>
      </x:c>
      <x:c r="E16" s="13"/>
      <x:c r="F16" s="13"/>
      <x:c r="G16" s="13"/>
    </x:row>
    <x:row r="17" ht="32" customHeight="1">
      <x:c r="A17" s="37" t="n">
        <x:v>2</x:v>
      </x:c>
      <x:c r="B17" s="54" t="n">
        <x:v>150</x:v>
      </x:c>
      <x:c r="D17" s="55" t="str">
        <x:v>2. 극값 종류, 간섭 차수 p와 검색 파장 구간을 설정합니다.</x:v>
      </x:c>
      <x:c r="E17" s="13"/>
      <x:c r="F17" s="13"/>
      <x:c r="G17" s="13"/>
    </x:row>
    <x:row r="18" ht="32" customHeight="1">
      <x:c r="A18" s="37" t="n">
        <x:v>3</x:v>
      </x:c>
      <x:c r="B18" s="54" t="n">
        <x:v>250</x:v>
      </x:c>
      <x:c r="D18" s="55" t="str">
        <x:v>3. 평탄부·경계값·잘못 선택된 극값은 AY열의 수동 파장으로 보정합니다.</x:v>
      </x:c>
      <x:c r="E18" s="13"/>
      <x:c r="F18" s="13"/>
      <x:c r="G18" s="13"/>
    </x:row>
    <x:row r="19" ht="32" customHeight="1">
      <x:c r="A19" s="37" t="n">
        <x:v>4</x:v>
      </x:c>
      <x:c r="B19" s="54" t="n">
        <x:v>350</x:v>
      </x:c>
      <x:c r="D19" s="55" t="str">
        <x:v>4. 결과 시트에서 13개 위치의 파장, 굴절률, 두께와 균일도를 확인합니다.</x:v>
      </x:c>
      <x:c r="E19" s="13"/>
      <x:c r="F19" s="13"/>
      <x:c r="G19" s="13"/>
    </x:row>
    <x:row r="20" ht="32" customHeight="1">
      <x:c r="A20" s="37" t="n">
        <x:v>5</x:v>
      </x:c>
      <x:c r="B20" s="54" t="n">
        <x:v>450</x:v>
      </x:c>
      <x:c r="D20" s="55" t="str">
        <x:v>5. 차수 p는 한 개 극값만으로 결정할 수 없으므로 목표 두께에 맞춰 선택합니다.</x:v>
      </x:c>
      <x:c r="E20" s="13"/>
      <x:c r="F20" s="13"/>
      <x:c r="G20" s="13"/>
    </x:row>
    <x:row r="21" ht="32" customHeight="1">
      <x:c r="A21" s="37" t="n">
        <x:v>6</x:v>
      </x:c>
      <x:c r="B21" s="54" t="n">
        <x:v>550</x:v>
      </x:c>
      <x:c r="D21" s="55" t="str">
        <x:v>노란색은 입력 셀입니다. 수식 셀은 직접 덮어쓰지 마세요.</x:v>
      </x:c>
      <x:c r="E21" s="13"/>
      <x:c r="F21" s="13"/>
      <x:c r="G21" s="13"/>
    </x:row>
    <x:row r="22">
      <x:c r="A22" s="37" t="n">
        <x:v>7</x:v>
      </x:c>
      <x:c r="B22" s="54" t="n">
        <x:v>650</x:v>
      </x:c>
    </x:row>
    <x:row r="23">
      <x:c r="A23" s="37" t="n">
        <x:v>8</x:v>
      </x:c>
      <x:c r="B23" s="54" t="n">
        <x:v>750</x:v>
      </x:c>
    </x:row>
    <x:row r="24">
      <x:c r="A24" s="37" t="n">
        <x:v>9</x:v>
      </x:c>
      <x:c r="B24" s="54" t="n">
        <x:v>850</x:v>
      </x:c>
    </x:row>
    <x:row r="25">
      <x:c r="A25" s="37" t="n">
        <x:v>10</x:v>
      </x:c>
      <x:c r="B25" s="54" t="n">
        <x:v>950</x:v>
      </x:c>
    </x:row>
    <x:row r="26">
      <x:c r="A26" s="37" t="n">
        <x:v>11</x:v>
      </x:c>
      <x:c r="B26" s="54" t="n">
        <x:v>1050</x:v>
      </x:c>
    </x:row>
    <x:row r="27">
      <x:c r="A27" s="37" t="n">
        <x:v>12</x:v>
      </x:c>
      <x:c r="B27" s="54" t="n">
        <x:v>1150</x:v>
      </x:c>
    </x:row>
    <x:row r="28">
      <x:c r="A28" s="37" t="n">
        <x:v>13</x:v>
      </x:c>
      <x:c r="B28" s="54" t="n">
        <x:v>1250</x:v>
      </x:c>
    </x:row>
    <x:row r="32">
      <x:c r="A32" s="10" t="str">
        <x:v>가정 및 한계</x:v>
      </x:c>
      <x:c r="B32" s="48"/>
      <x:c r="C32" s="48"/>
      <x:c r="D32" s="48"/>
      <x:c r="E32" s="48"/>
      <x:c r="F32" s="48"/>
      <x:c r="G32" s="11"/>
    </x:row>
    <x:row r="33" ht="46" customHeight="1">
      <x:c r="A33" s="14" t="str">
        <x:v>단층식</x:v>
      </x:c>
      <x:c r="B33" s="49" t="str">
        <x:v>첨부 굴절률의 실수부 n만 사용한 광학 두께 기반 추정입니다.</x:v>
      </x:c>
    </x:row>
    <x:row r="34" ht="46" customHeight="1">
      <x:c r="A34" s="15" t="str">
        <x:v>2층식</x:v>
      </x:c>
      <x:c r="B34" s="50" t="str">
        <x:v>SiO2 결과는 Nb2O5 하부층이 선택 파장에서 정수 half-wave에 가깝다는 QW 등가 두께입니다. 정확한 개별층 두께는 전달행렬 전체 스펙트럼 피팅이 필요합니다.</x:v>
      </x:c>
    </x:row>
    <x:row r="35" ht="46" customHeight="1">
      <x:c r="A35" s="15" t="str">
        <x:v>간섭 차수</x:v>
      </x:c>
      <x:c r="B35" s="50" t="str">
        <x:v>한 개 극값만으로 차수 p를 고유하게 정할 수 없습니다. 알려진 목표 두께 또는 공정 조건과 함께 선택하십시오.</x:v>
      </x:c>
    </x:row>
    <x:row r="36" ht="46" customHeight="1">
      <x:c r="A36" s="15" t="str">
        <x:v>측정 각도</x:v>
      </x:c>
      <x:c r="B36" s="50" t="str">
        <x:v>기본값은 정상입사 0°입니다. CM-36dG d:8의 8°는 관찰각이므로 입사각으로 자동 적용하지 않았습니다.</x:v>
      </x:c>
    </x:row>
    <x:row r="37" ht="46" customHeight="1">
      <x:c r="A37" s="15" t="str">
        <x:v>극값 처리</x:v>
      </x:c>
      <x:c r="B37" s="50" t="str">
        <x:v>설정한 검색 구간의 전역 최소/최대를 사용하며, 동일한 극값이 여러 파장에 있으면 그 파장의 평균을 사용합니다. 원본 분해능은 10 nm입니다.</x:v>
      </x:c>
    </x:row>
    <x:row r="38" ht="46" customHeight="1">
      <x:c r="A38" s="15" t="str">
        <x:v>데이터 가정</x:v>
      </x:c>
      <x:c r="B38" s="50" t="str">
        <x:v>투명·비흡수, 평활한 막, SCI 조건과 backside 영향이 일관되고 실제 증착막 n이 첨부 굴절률과 같다고 가정합니다.</x:v>
      </x:c>
    </x:row>
  </x:sheetData>
  <x:dataValidations count="4">
    <x:dataValidation type="list" sqref="C7:C8">
      <x:formula1>"최소,최대"</x:formula1>
    </x:dataValidation>
    <x:dataValidation type="whole" operator="between" sqref="D7:D8">
      <x:formula1>1</x:formula1>
      <x:formula2>10</x:formula2>
    </x:dataValidation>
    <x:dataValidation type="list" sqref="E7:F8">
      <x:formula1>'굴절률'!$A$6:$A$44</x:formula1>
    </x:dataValidation>
    <x:dataValidation type="whole" operator="between" sqref="G7:G8">
      <x:formula1>0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7" ySplit="5" topLeftCell="H6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4" hidden="0" customWidth="1"/>
    <x:col min="54" max="54" width="14" hidden="0" customWidth="1"/>
    <x:col min="55" max="55" width="14" hidden="0" customWidth="1"/>
    <x:col min="56" max="56" width="18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  <x:col min="68" max="68" width="3" hidden="0" customWidth="1"/>
    <x:col min="69" max="69" width="3" hidden="0" customWidth="1"/>
    <x:col min="70" max="70" width="3" hidden="0" customWidth="1"/>
    <x:col min="71" max="71" width="3" hidden="0" customWidth="1"/>
    <x:col min="72" max="72" width="3" hidden="0" customWidth="1"/>
    <x:col min="73" max="73" width="3" hidden="0" customWidth="1"/>
    <x:col min="74" max="74" width="3" hidden="0" customWidth="1"/>
    <x:col min="75" max="75" width="3" hidden="0" customWidth="1"/>
    <x:col min="76" max="76" width="3" hidden="0" customWidth="1"/>
    <x:col min="77" max="77" width="3" hidden="0" customWidth="1"/>
    <x:col min="78" max="78" width="3" hidden="0" customWidth="1"/>
    <x:col min="79" max="79" width="3" hidden="0" customWidth="1"/>
    <x:col min="80" max="80" width="3" hidden="0" customWidth="1"/>
    <x:col min="81" max="81" width="3" hidden="0" customWidth="1"/>
    <x:col min="82" max="82" width="3" hidden="0" customWidth="1"/>
    <x:col min="83" max="83" width="3" hidden="0" customWidth="1"/>
    <x:col min="84" max="84" width="3" hidden="0" customWidth="1"/>
    <x:col min="85" max="85" width="3" hidden="0" customWidth="1"/>
    <x:col min="86" max="86" width="3" hidden="0" customWidth="1"/>
    <x:col min="87" max="87" width="3" hidden="0" customWidth="1"/>
    <x:col min="88" max="88" width="3" hidden="0" customWidth="1"/>
    <x:col min="89" max="89" width="3" hidden="0" customWidth="1"/>
    <x:col min="90" max="90" width="3" hidden="0" customWidth="1"/>
    <x:col min="91" max="91" width="3" hidden="0" customWidth="1"/>
    <x:col min="92" max="92" width="3" hidden="0" customWidth="1"/>
    <x:col min="93" max="93" width="3" hidden="0" customWidth="1"/>
    <x:col min="94" max="94" width="3" hidden="0" customWidth="1"/>
    <x:col min="95" max="95" width="3" hidden="0" customWidth="1"/>
  </x:cols>
  <x:sheetData>
    <x:row r="2" ht="24" customHeight="1">
      <x:c r="A2" s="2" t="str">
        <x:v>Nb2O5 (1L) 반사율 입력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</x:row>
    <x:row r="3">
      <x:c r="A3" s="5" t="str">
        <x:v>CM-36dG 원본 13개 행(A:AT)을 노란색 영역에 붙여넣으면 극값과 두께가 자동 계산됩니다.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</x:row>
    <x:row r="5">
      <x:c r="A5" s="24" t="str">
        <x:v>시료</x:v>
      </x:c>
      <x:c r="B5" s="25" t="str">
        <x:v>Data Name</x:v>
      </x:c>
      <x:c r="C5" s="25" t="str">
        <x:v>L*(D65)</x:v>
      </x:c>
      <x:c r="D5" s="25" t="str">
        <x:v>a*(D65)</x:v>
      </x:c>
      <x:c r="E5" s="25" t="str">
        <x:v>b*(D65)</x:v>
      </x:c>
      <x:c r="F5" s="25" t="str">
        <x:v>Y(D65)</x:v>
      </x:c>
      <x:c r="G5" s="25" t="str">
        <x:v>Group Traits</x:v>
      </x:c>
      <x:c r="H5" s="56" t="n">
        <x:v>360</x:v>
      </x:c>
      <x:c r="I5" s="56" t="n">
        <x:v>370</x:v>
      </x:c>
      <x:c r="J5" s="56" t="n">
        <x:v>380</x:v>
      </x:c>
      <x:c r="K5" s="56" t="n">
        <x:v>390</x:v>
      </x:c>
      <x:c r="L5" s="56" t="n">
        <x:v>400</x:v>
      </x:c>
      <x:c r="M5" s="56" t="n">
        <x:v>410</x:v>
      </x:c>
      <x:c r="N5" s="56" t="n">
        <x:v>420</x:v>
      </x:c>
      <x:c r="O5" s="56" t="n">
        <x:v>430</x:v>
      </x:c>
      <x:c r="P5" s="56" t="n">
        <x:v>440</x:v>
      </x:c>
      <x:c r="Q5" s="56" t="n">
        <x:v>450</x:v>
      </x:c>
      <x:c r="R5" s="56" t="n">
        <x:v>460</x:v>
      </x:c>
      <x:c r="S5" s="56" t="n">
        <x:v>470</x:v>
      </x:c>
      <x:c r="T5" s="56" t="n">
        <x:v>480</x:v>
      </x:c>
      <x:c r="U5" s="56" t="n">
        <x:v>490</x:v>
      </x:c>
      <x:c r="V5" s="56" t="n">
        <x:v>500</x:v>
      </x:c>
      <x:c r="W5" s="56" t="n">
        <x:v>510</x:v>
      </x:c>
      <x:c r="X5" s="56" t="n">
        <x:v>520</x:v>
      </x:c>
      <x:c r="Y5" s="56" t="n">
        <x:v>530</x:v>
      </x:c>
      <x:c r="Z5" s="56" t="n">
        <x:v>540</x:v>
      </x:c>
      <x:c r="AA5" s="56" t="n">
        <x:v>550</x:v>
      </x:c>
      <x:c r="AB5" s="56" t="n">
        <x:v>560</x:v>
      </x:c>
      <x:c r="AC5" s="56" t="n">
        <x:v>570</x:v>
      </x:c>
      <x:c r="AD5" s="56" t="n">
        <x:v>580</x:v>
      </x:c>
      <x:c r="AE5" s="56" t="n">
        <x:v>590</x:v>
      </x:c>
      <x:c r="AF5" s="56" t="n">
        <x:v>600</x:v>
      </x:c>
      <x:c r="AG5" s="56" t="n">
        <x:v>610</x:v>
      </x:c>
      <x:c r="AH5" s="56" t="n">
        <x:v>620</x:v>
      </x:c>
      <x:c r="AI5" s="56" t="n">
        <x:v>630</x:v>
      </x:c>
      <x:c r="AJ5" s="56" t="n">
        <x:v>640</x:v>
      </x:c>
      <x:c r="AK5" s="56" t="n">
        <x:v>650</x:v>
      </x:c>
      <x:c r="AL5" s="56" t="n">
        <x:v>660</x:v>
      </x:c>
      <x:c r="AM5" s="56" t="n">
        <x:v>670</x:v>
      </x:c>
      <x:c r="AN5" s="56" t="n">
        <x:v>680</x:v>
      </x:c>
      <x:c r="AO5" s="56" t="n">
        <x:v>690</x:v>
      </x:c>
      <x:c r="AP5" s="56" t="n">
        <x:v>700</x:v>
      </x:c>
      <x:c r="AQ5" s="56" t="n">
        <x:v>710</x:v>
      </x:c>
      <x:c r="AR5" s="56" t="n">
        <x:v>720</x:v>
      </x:c>
      <x:c r="AS5" s="56" t="n">
        <x:v>730</x:v>
      </x:c>
      <x:c r="AT5" s="56" t="n">
        <x:v>740</x:v>
      </x:c>
      <x:c r="AU5" s="25" t="str">
        <x:v>최소 R(%)</x:v>
      </x:c>
      <x:c r="AV5" s="25" t="str">
        <x:v>최소 λ(nm)</x:v>
      </x:c>
      <x:c r="AW5" s="25" t="str">
        <x:v>최대 R(%)</x:v>
      </x:c>
      <x:c r="AX5" s="25" t="str">
        <x:v>최대 λ(nm)</x:v>
      </x:c>
      <x:c r="AY5" s="25" t="str">
        <x:v>수동 λ(nm)</x:v>
      </x:c>
      <x:c r="AZ5" s="25" t="str">
        <x:v>사용 λ(nm)</x:v>
      </x:c>
      <x:c r="BA5" s="25" t="str">
        <x:v>굴절률 n</x:v>
      </x:c>
      <x:c r="BB5" s="25" t="str">
        <x:v>cosθf</x:v>
      </x:c>
      <x:c r="BC5" s="25" t="str">
        <x:v>Nb2O5 추정 두께(nm)</x:v>
      </x:c>
      <x:c r="BD5" s="26" t="str">
        <x:v>상태</x:v>
      </x:c>
      <x:c r="BE5" s="71" t="n">
        <x:v>360</x:v>
      </x:c>
      <x:c r="BF5" s="71" t="n">
        <x:v>370</x:v>
      </x:c>
      <x:c r="BG5" s="71" t="n">
        <x:v>380</x:v>
      </x:c>
      <x:c r="BH5" s="71" t="n">
        <x:v>390</x:v>
      </x:c>
      <x:c r="BI5" s="71" t="n">
        <x:v>400</x:v>
      </x:c>
      <x:c r="BJ5" s="71" t="n">
        <x:v>410</x:v>
      </x:c>
      <x:c r="BK5" s="71" t="n">
        <x:v>420</x:v>
      </x:c>
      <x:c r="BL5" s="71" t="n">
        <x:v>430</x:v>
      </x:c>
      <x:c r="BM5" s="71" t="n">
        <x:v>440</x:v>
      </x:c>
      <x:c r="BN5" s="71" t="n">
        <x:v>450</x:v>
      </x:c>
      <x:c r="BO5" s="71" t="n">
        <x:v>460</x:v>
      </x:c>
      <x:c r="BP5" s="71" t="n">
        <x:v>470</x:v>
      </x:c>
      <x:c r="BQ5" s="71" t="n">
        <x:v>480</x:v>
      </x:c>
      <x:c r="BR5" s="71" t="n">
        <x:v>490</x:v>
      </x:c>
      <x:c r="BS5" s="71" t="n">
        <x:v>500</x:v>
      </x:c>
      <x:c r="BT5" s="71" t="n">
        <x:v>510</x:v>
      </x:c>
      <x:c r="BU5" s="71" t="n">
        <x:v>520</x:v>
      </x:c>
      <x:c r="BV5" s="71" t="n">
        <x:v>530</x:v>
      </x:c>
      <x:c r="BW5" s="71" t="n">
        <x:v>540</x:v>
      </x:c>
      <x:c r="BX5" s="71" t="n">
        <x:v>550</x:v>
      </x:c>
      <x:c r="BY5" s="71" t="n">
        <x:v>560</x:v>
      </x:c>
      <x:c r="BZ5" s="71" t="n">
        <x:v>570</x:v>
      </x:c>
      <x:c r="CA5" s="71" t="n">
        <x:v>580</x:v>
      </x:c>
      <x:c r="CB5" s="71" t="n">
        <x:v>590</x:v>
      </x:c>
      <x:c r="CC5" s="71" t="n">
        <x:v>600</x:v>
      </x:c>
      <x:c r="CD5" s="71" t="n">
        <x:v>610</x:v>
      </x:c>
      <x:c r="CE5" s="71" t="n">
        <x:v>620</x:v>
      </x:c>
      <x:c r="CF5" s="71" t="n">
        <x:v>630</x:v>
      </x:c>
      <x:c r="CG5" s="71" t="n">
        <x:v>640</x:v>
      </x:c>
      <x:c r="CH5" s="71" t="n">
        <x:v>650</x:v>
      </x:c>
      <x:c r="CI5" s="71" t="n">
        <x:v>660</x:v>
      </x:c>
      <x:c r="CJ5" s="71" t="n">
        <x:v>670</x:v>
      </x:c>
      <x:c r="CK5" s="71" t="n">
        <x:v>680</x:v>
      </x:c>
      <x:c r="CL5" s="71" t="n">
        <x:v>690</x:v>
      </x:c>
      <x:c r="CM5" s="71" t="n">
        <x:v>700</x:v>
      </x:c>
      <x:c r="CN5" s="71" t="n">
        <x:v>710</x:v>
      </x:c>
      <x:c r="CO5" s="71" t="n">
        <x:v>720</x:v>
      </x:c>
      <x:c r="CP5" s="71" t="n">
        <x:v>730</x:v>
      </x:c>
      <x:c r="CQ5" s="71" t="n">
        <x:v>740</x:v>
      </x:c>
    </x:row>
    <x:row r="6" ht="20" customHeight="1">
      <x:c r="A6" s="45" t="n">
        <x:v>1</x:v>
      </x:c>
      <x:c r="B6" s="43" t="str">
        <x:v>Nb2O5 균일도_01</x:v>
      </x:c>
      <x:c r="C6" s="60" t="n">
        <x:v>49.66</x:v>
      </x:c>
      <x:c r="D6" s="60" t="n">
        <x:v>9.32</x:v>
      </x:c>
      <x:c r="E6" s="60" t="n">
        <x:v>9.15</x:v>
      </x:c>
      <x:c r="F6" s="60" t="n">
        <x:v>18.14</x:v>
      </x:c>
      <x:c r="G6" s="43" t="str">
        <x:v>SCI</x:v>
      </x:c>
      <x:c r="H6" s="60" t="n">
        <x:v>36.64</x:v>
      </x:c>
      <x:c r="I6" s="60" t="n">
        <x:v>33.94</x:v>
      </x:c>
      <x:c r="J6" s="60" t="n">
        <x:v>30.67</x:v>
      </x:c>
      <x:c r="K6" s="60" t="n">
        <x:v>27.27</x:v>
      </x:c>
      <x:c r="L6" s="60" t="n">
        <x:v>23.93</x:v>
      </x:c>
      <x:c r="M6" s="60" t="n">
        <x:v>20.79</x:v>
      </x:c>
      <x:c r="N6" s="60" t="n">
        <x:v>18.06</x:v>
      </x:c>
      <x:c r="O6" s="60" t="n">
        <x:v>15.96</x:v>
      </x:c>
      <x:c r="P6" s="60" t="n">
        <x:v>14.28</x:v>
      </x:c>
      <x:c r="Q6" s="60" t="n">
        <x:v>13.24</x:v>
      </x:c>
      <x:c r="R6" s="60" t="n">
        <x:v>12.54</x:v>
      </x:c>
      <x:c r="S6" s="60" t="n">
        <x:v>12.34</x:v>
      </x:c>
      <x:c r="T6" s="60" t="n">
        <x:v>12.48</x:v>
      </x:c>
      <x:c r="U6" s="60" t="n">
        <x:v>12.85</x:v>
      </x:c>
      <x:c r="V6" s="60" t="n">
        <x:v>13.51</x:v>
      </x:c>
      <x:c r="W6" s="60" t="n">
        <x:v>14.22</x:v>
      </x:c>
      <x:c r="X6" s="60" t="n">
        <x:v>15.1</x:v>
      </x:c>
      <x:c r="Y6" s="60" t="n">
        <x:v>15.99</x:v>
      </x:c>
      <x:c r="Z6" s="60" t="n">
        <x:v>16.97</x:v>
      </x:c>
      <x:c r="AA6" s="60" t="n">
        <x:v>17.9</x:v>
      </x:c>
      <x:c r="AB6" s="60" t="n">
        <x:v>18.86</x:v>
      </x:c>
      <x:c r="AC6" s="60" t="n">
        <x:v>19.78</x:v>
      </x:c>
      <x:c r="AD6" s="60" t="n">
        <x:v>20.64</x:v>
      </x:c>
      <x:c r="AE6" s="60" t="n">
        <x:v>21.49</x:v>
      </x:c>
      <x:c r="AF6" s="60" t="n">
        <x:v>22.28</x:v>
      </x:c>
      <x:c r="AG6" s="60" t="n">
        <x:v>23.02</x:v>
      </x:c>
      <x:c r="AH6" s="60" t="n">
        <x:v>23.73</x:v>
      </x:c>
      <x:c r="AI6" s="60" t="n">
        <x:v>24.33</x:v>
      </x:c>
      <x:c r="AJ6" s="60" t="n">
        <x:v>24.97</x:v>
      </x:c>
      <x:c r="AK6" s="60" t="n">
        <x:v>25.46</x:v>
      </x:c>
      <x:c r="AL6" s="60" t="n">
        <x:v>26</x:v>
      </x:c>
      <x:c r="AM6" s="60" t="n">
        <x:v>26.47</x:v>
      </x:c>
      <x:c r="AN6" s="60" t="n">
        <x:v>26.86</x:v>
      </x:c>
      <x:c r="AO6" s="60" t="n">
        <x:v>27.24</x:v>
      </x:c>
      <x:c r="AP6" s="60" t="n">
        <x:v>27.6</x:v>
      </x:c>
      <x:c r="AQ6" s="60" t="n">
        <x:v>27.91</x:v>
      </x:c>
      <x:c r="AR6" s="60" t="n">
        <x:v>28.11</x:v>
      </x:c>
      <x:c r="AS6" s="60" t="n">
        <x:v>28.44</x:v>
      </x:c>
      <x:c r="AT6" s="60" t="n">
        <x:v>28.64</x:v>
      </x:c>
      <x:c r="AU6" s="36" t="n">
        <x:f>IF(OR('설정'!$E$7&gt;'설정'!$F$7,COUNT(H6:AT6)=0),"",MIN(BE6:CQ6))</x:f>
        <x:v>12.34</x:v>
      </x:c>
      <x:c r="AV6" s="36" t="n">
        <x:f>IF(AU6="","",SUMIFS($BE$5:$CQ$5,BE6:CQ6,AU6)/COUNTIFS(BE6:CQ6,AU6))</x:f>
        <x:v>470</x:v>
      </x:c>
      <x:c r="AW6" s="36" t="n">
        <x:f>IF(OR('설정'!$E$7&gt;'설정'!$F$7,COUNT(H6:AT6)=0),"",MAX(BE6:CQ6))</x:f>
        <x:v>22.28</x:v>
      </x:c>
      <x:c r="AX6" s="36" t="n">
        <x:f>IF(AW6="","",SUMIFS($BE$5:$CQ$5,BE6:CQ6,AW6)/COUNTIFS(BE6:CQ6,AW6))</x:f>
        <x:v>600</x:v>
      </x:c>
      <x:c r="AY6" s="64"/>
      <x:c r="AZ6" s="34" t="n">
        <x:f>IF(AY6&lt;&gt;"",AY6,IF('설정'!$C$7="최소",AV6,AX6))</x:f>
        <x:v>470</x:v>
      </x:c>
      <x:c r="BA6" s="35" t="n">
        <x:f>IF(AZ6="","",IF(OR(AZ6&lt;'굴절률'!$A$6,AZ6&gt;'굴절률'!$A$44),"",IF(COUNTIFS('굴절률'!$A$6:$A$44,AZ6)&gt;0,INDEX('굴절률'!$C$6:$C$44,MATCH(AZ6,'굴절률'!$A$6:$A$44,0)),INDEX('굴절률'!$C$6:$C$44,MATCH(AZ6,'굴절률'!$A$6:$A$44,1))+(AZ6-INDEX('굴절률'!$A$6:$A$44,MATCH(AZ6,'굴절률'!$A$6:$A$44,1)))*(INDEX('굴절률'!$C$6:$C$44,MATCH(AZ6,'굴절률'!$A$6:$A$44,1)+1)-INDEX('굴절률'!$C$6:$C$44,MATCH(AZ6,'굴절률'!$A$6:$A$44,1)))/(INDEX('굴절률'!$A$6:$A$44,MATCH(AZ6,'굴절률'!$A$6:$A$44,1)+1)-INDEX('굴절률'!$A$6:$A$44,MATCH(AZ6,'굴절률'!$A$6:$A$44,1))))))</x:f>
        <x:v>2.36641</x:v>
      </x:c>
      <x:c r="BB6" s="35" t="n">
        <x:f>IF(BA6="","",COS(ASIN(SIN(RADIANS('설정'!$G$7))/BA6)))</x:f>
        <x:v>1</x:v>
      </x:c>
      <x:c r="BC6" s="36" t="n">
        <x:f>IF(OR(AZ6="",BA6="",BB6=""),"",IF('설정'!$C$7="최소",'설정'!$D$7*AZ6/(2*BA6*BB6),(2*'설정'!$D$7-1)*AZ6/(4*BA6*BB6)))</x:f>
        <x:v>99.3065445125739</x:v>
      </x:c>
      <x:c r="BD6" s="41" t="str">
        <x:f>IF(COUNT(H6:AT6)=0,"입력 필요",IF(COUNT(H6:AT6)&lt;&gt;39,"데이터 점검",IF(OR('설정'!$E$7&gt;'설정'!$F$7,'설정'!$E$7&lt;360,'설정'!$F$7&gt;740),"검색 범위 오류",IF(AY6&lt;&gt;"","수동 파장",IF(OR(AZ6='설정'!$E$7,AZ6='설정'!$F$7),"경계 극값 확인",IF(COUNTIFS(H6:AT6,IF('설정'!$C$7="최소",AU6,AW6),$H$5:$AT$5,"&gt;="&amp;'설정'!$E$7,$H$5:$AT$5,"&lt;="&amp;'설정'!$F$7)&gt;1,"복수 극값 평균","완료"))))))</x:f>
        <x:v>완료</x:v>
      </x:c>
      <x:c r="BE6" s="71" t="str">
        <x:f>IF(AND(BE$5&gt;='설정'!$E$7,BE$5&lt;='설정'!$F$7),H6,"")</x:f>
      </x:c>
      <x:c r="BF6" s="71" t="str">
        <x:f>IF(AND(BF$5&gt;='설정'!$E$7,BF$5&lt;='설정'!$F$7),I6,"")</x:f>
      </x:c>
      <x:c r="BG6" s="71" t="str">
        <x:f>IF(AND(BG$5&gt;='설정'!$E$7,BG$5&lt;='설정'!$F$7),J6,"")</x:f>
      </x:c>
      <x:c r="BH6" s="71" t="str">
        <x:f>IF(AND(BH$5&gt;='설정'!$E$7,BH$5&lt;='설정'!$F$7),K6,"")</x:f>
      </x:c>
      <x:c r="BI6" s="71" t="str">
        <x:f>IF(AND(BI$5&gt;='설정'!$E$7,BI$5&lt;='설정'!$F$7),L6,"")</x:f>
      </x:c>
      <x:c r="BJ6" s="71" t="str">
        <x:f>IF(AND(BJ$5&gt;='설정'!$E$7,BJ$5&lt;='설정'!$F$7),M6,"")</x:f>
      </x:c>
      <x:c r="BK6" s="71" t="str">
        <x:f>IF(AND(BK$5&gt;='설정'!$E$7,BK$5&lt;='설정'!$F$7),N6,"")</x:f>
      </x:c>
      <x:c r="BL6" s="71" t="n">
        <x:f>IF(AND(BL$5&gt;='설정'!$E$7,BL$5&lt;='설정'!$F$7),O6,"")</x:f>
        <x:v>15.96</x:v>
      </x:c>
      <x:c r="BM6" s="71" t="n">
        <x:f>IF(AND(BM$5&gt;='설정'!$E$7,BM$5&lt;='설정'!$F$7),P6,"")</x:f>
        <x:v>14.28</x:v>
      </x:c>
      <x:c r="BN6" s="71" t="n">
        <x:f>IF(AND(BN$5&gt;='설정'!$E$7,BN$5&lt;='설정'!$F$7),Q6,"")</x:f>
        <x:v>13.24</x:v>
      </x:c>
      <x:c r="BO6" s="71" t="n">
        <x:f>IF(AND(BO$5&gt;='설정'!$E$7,BO$5&lt;='설정'!$F$7),R6,"")</x:f>
        <x:v>12.54</x:v>
      </x:c>
      <x:c r="BP6" s="71" t="n">
        <x:f>IF(AND(BP$5&gt;='설정'!$E$7,BP$5&lt;='설정'!$F$7),S6,"")</x:f>
        <x:v>12.34</x:v>
      </x:c>
      <x:c r="BQ6" s="71" t="n">
        <x:f>IF(AND(BQ$5&gt;='설정'!$E$7,BQ$5&lt;='설정'!$F$7),T6,"")</x:f>
        <x:v>12.48</x:v>
      </x:c>
      <x:c r="BR6" s="71" t="n">
        <x:f>IF(AND(BR$5&gt;='설정'!$E$7,BR$5&lt;='설정'!$F$7),U6,"")</x:f>
        <x:v>12.85</x:v>
      </x:c>
      <x:c r="BS6" s="71" t="n">
        <x:f>IF(AND(BS$5&gt;='설정'!$E$7,BS$5&lt;='설정'!$F$7),V6,"")</x:f>
        <x:v>13.51</x:v>
      </x:c>
      <x:c r="BT6" s="71" t="n">
        <x:f>IF(AND(BT$5&gt;='설정'!$E$7,BT$5&lt;='설정'!$F$7),W6,"")</x:f>
        <x:v>14.22</x:v>
      </x:c>
      <x:c r="BU6" s="71" t="n">
        <x:f>IF(AND(BU$5&gt;='설정'!$E$7,BU$5&lt;='설정'!$F$7),X6,"")</x:f>
        <x:v>15.1</x:v>
      </x:c>
      <x:c r="BV6" s="71" t="n">
        <x:f>IF(AND(BV$5&gt;='설정'!$E$7,BV$5&lt;='설정'!$F$7),Y6,"")</x:f>
        <x:v>15.99</x:v>
      </x:c>
      <x:c r="BW6" s="71" t="n">
        <x:f>IF(AND(BW$5&gt;='설정'!$E$7,BW$5&lt;='설정'!$F$7),Z6,"")</x:f>
        <x:v>16.97</x:v>
      </x:c>
      <x:c r="BX6" s="71" t="n">
        <x:f>IF(AND(BX$5&gt;='설정'!$E$7,BX$5&lt;='설정'!$F$7),AA6,"")</x:f>
        <x:v>17.9</x:v>
      </x:c>
      <x:c r="BY6" s="71" t="n">
        <x:f>IF(AND(BY$5&gt;='설정'!$E$7,BY$5&lt;='설정'!$F$7),AB6,"")</x:f>
        <x:v>18.86</x:v>
      </x:c>
      <x:c r="BZ6" s="71" t="n">
        <x:f>IF(AND(BZ$5&gt;='설정'!$E$7,BZ$5&lt;='설정'!$F$7),AC6,"")</x:f>
        <x:v>19.78</x:v>
      </x:c>
      <x:c r="CA6" s="71" t="n">
        <x:f>IF(AND(CA$5&gt;='설정'!$E$7,CA$5&lt;='설정'!$F$7),AD6,"")</x:f>
        <x:v>20.64</x:v>
      </x:c>
      <x:c r="CB6" s="71" t="n">
        <x:f>IF(AND(CB$5&gt;='설정'!$E$7,CB$5&lt;='설정'!$F$7),AE6,"")</x:f>
        <x:v>21.49</x:v>
      </x:c>
      <x:c r="CC6" s="71" t="n">
        <x:f>IF(AND(CC$5&gt;='설정'!$E$7,CC$5&lt;='설정'!$F$7),AF6,"")</x:f>
        <x:v>22.28</x:v>
      </x:c>
      <x:c r="CD6" s="71" t="str">
        <x:f>IF(AND(CD$5&gt;='설정'!$E$7,CD$5&lt;='설정'!$F$7),AG6,"")</x:f>
      </x:c>
      <x:c r="CE6" s="71" t="str">
        <x:f>IF(AND(CE$5&gt;='설정'!$E$7,CE$5&lt;='설정'!$F$7),AH6,"")</x:f>
      </x:c>
      <x:c r="CF6" s="71" t="str">
        <x:f>IF(AND(CF$5&gt;='설정'!$E$7,CF$5&lt;='설정'!$F$7),AI6,"")</x:f>
      </x:c>
      <x:c r="CG6" s="71" t="str">
        <x:f>IF(AND(CG$5&gt;='설정'!$E$7,CG$5&lt;='설정'!$F$7),AJ6,"")</x:f>
      </x:c>
      <x:c r="CH6" s="71" t="str">
        <x:f>IF(AND(CH$5&gt;='설정'!$E$7,CH$5&lt;='설정'!$F$7),AK6,"")</x:f>
      </x:c>
      <x:c r="CI6" s="71" t="str">
        <x:f>IF(AND(CI$5&gt;='설정'!$E$7,CI$5&lt;='설정'!$F$7),AL6,"")</x:f>
      </x:c>
      <x:c r="CJ6" s="71" t="str">
        <x:f>IF(AND(CJ$5&gt;='설정'!$E$7,CJ$5&lt;='설정'!$F$7),AM6,"")</x:f>
      </x:c>
      <x:c r="CK6" s="71" t="str">
        <x:f>IF(AND(CK$5&gt;='설정'!$E$7,CK$5&lt;='설정'!$F$7),AN6,"")</x:f>
      </x:c>
      <x:c r="CL6" s="71" t="str">
        <x:f>IF(AND(CL$5&gt;='설정'!$E$7,CL$5&lt;='설정'!$F$7),AO6,"")</x:f>
      </x:c>
      <x:c r="CM6" s="71" t="str">
        <x:f>IF(AND(CM$5&gt;='설정'!$E$7,CM$5&lt;='설정'!$F$7),AP6,"")</x:f>
      </x:c>
      <x:c r="CN6" s="71" t="str">
        <x:f>IF(AND(CN$5&gt;='설정'!$E$7,CN$5&lt;='설정'!$F$7),AQ6,"")</x:f>
      </x:c>
      <x:c r="CO6" s="71" t="str">
        <x:f>IF(AND(CO$5&gt;='설정'!$E$7,CO$5&lt;='설정'!$F$7),AR6,"")</x:f>
      </x:c>
      <x:c r="CP6" s="71" t="str">
        <x:f>IF(AND(CP$5&gt;='설정'!$E$7,CP$5&lt;='설정'!$F$7),AS6,"")</x:f>
      </x:c>
      <x:c r="CQ6" s="71" t="str">
        <x:f>IF(AND(CQ$5&gt;='설정'!$E$7,CQ$5&lt;='설정'!$F$7),AT6,"")</x:f>
      </x:c>
    </x:row>
    <x:row r="7" ht="20" customHeight="1">
      <x:c r="A7" s="46" t="n">
        <x:v>2</x:v>
      </x:c>
      <x:c r="B7" s="44" t="str">
        <x:v>Nb2O5 균일도_02</x:v>
      </x:c>
      <x:c r="C7" s="61" t="n">
        <x:v>46.46</x:v>
      </x:c>
      <x:c r="D7" s="61" t="n">
        <x:v>13.28</x:v>
      </x:c>
      <x:c r="E7" s="61" t="n">
        <x:v>-3.63</x:v>
      </x:c>
      <x:c r="F7" s="61" t="n">
        <x:v>15.61</x:v>
      </x:c>
      <x:c r="G7" s="44" t="str">
        <x:v>SCI</x:v>
      </x:c>
      <x:c r="H7" s="61" t="n">
        <x:v>36.62</x:v>
      </x:c>
      <x:c r="I7" s="61" t="n">
        <x:v>36.53</x:v>
      </x:c>
      <x:c r="J7" s="61" t="n">
        <x:v>34.91</x:v>
      </x:c>
      <x:c r="K7" s="61" t="n">
        <x:v>32.6</x:v>
      </x:c>
      <x:c r="L7" s="61" t="n">
        <x:v>29.85</x:v>
      </x:c>
      <x:c r="M7" s="61" t="n">
        <x:v>26.9</x:v>
      </x:c>
      <x:c r="N7" s="61" t="n">
        <x:v>23.96</x:v>
      </x:c>
      <x:c r="O7" s="61" t="n">
        <x:v>21.23</x:v>
      </x:c>
      <x:c r="P7" s="61" t="n">
        <x:v>18.7</x:v>
      </x:c>
      <x:c r="Q7" s="61" t="n">
        <x:v>16.81</x:v>
      </x:c>
      <x:c r="R7" s="61" t="n">
        <x:v>15.03</x:v>
      </x:c>
      <x:c r="S7" s="61" t="n">
        <x:v>13.78</x:v>
      </x:c>
      <x:c r="T7" s="61" t="n">
        <x:v>12.94</x:v>
      </x:c>
      <x:c r="U7" s="61" t="n">
        <x:v>12.46</x:v>
      </x:c>
      <x:c r="V7" s="61" t="n">
        <x:v>12.32</x:v>
      </x:c>
      <x:c r="W7" s="61" t="n">
        <x:v>12.39</x:v>
      </x:c>
      <x:c r="X7" s="61" t="n">
        <x:v>12.73</x:v>
      </x:c>
      <x:c r="Y7" s="61" t="n">
        <x:v>13.24</x:v>
      </x:c>
      <x:c r="Z7" s="61" t="n">
        <x:v>13.9</x:v>
      </x:c>
      <x:c r="AA7" s="61" t="n">
        <x:v>14.61</x:v>
      </x:c>
      <x:c r="AB7" s="61" t="n">
        <x:v>15.44</x:v>
      </x:c>
      <x:c r="AC7" s="61" t="n">
        <x:v>16.3</x:v>
      </x:c>
      <x:c r="AD7" s="61" t="n">
        <x:v>17.16</x:v>
      </x:c>
      <x:c r="AE7" s="61" t="n">
        <x:v>18</x:v>
      </x:c>
      <x:c r="AF7" s="61" t="n">
        <x:v>18.86</x:v>
      </x:c>
      <x:c r="AG7" s="61" t="n">
        <x:v>19.69</x:v>
      </x:c>
      <x:c r="AH7" s="61" t="n">
        <x:v>20.5</x:v>
      </x:c>
      <x:c r="AI7" s="61" t="n">
        <x:v>21.21</x:v>
      </x:c>
      <x:c r="AJ7" s="61" t="n">
        <x:v>21.97</x:v>
      </x:c>
      <x:c r="AK7" s="61" t="n">
        <x:v>22.63</x:v>
      </x:c>
      <x:c r="AL7" s="61" t="n">
        <x:v>23.28</x:v>
      </x:c>
      <x:c r="AM7" s="61" t="n">
        <x:v>23.85</x:v>
      </x:c>
      <x:c r="AN7" s="61" t="n">
        <x:v>24.45</x:v>
      </x:c>
      <x:c r="AO7" s="61" t="n">
        <x:v>24.96</x:v>
      </x:c>
      <x:c r="AP7" s="61" t="n">
        <x:v>25.44</x:v>
      </x:c>
      <x:c r="AQ7" s="61" t="n">
        <x:v>25.89</x:v>
      </x:c>
      <x:c r="AR7" s="61" t="n">
        <x:v>26.19</x:v>
      </x:c>
      <x:c r="AS7" s="61" t="n">
        <x:v>26.64</x:v>
      </x:c>
      <x:c r="AT7" s="61" t="n">
        <x:v>27.02</x:v>
      </x:c>
      <x:c r="AU7" s="40" t="n">
        <x:f>IF(OR('설정'!$E$7&gt;'설정'!$F$7,COUNT(H7:AT7)=0),"",MIN(BE7:CQ7))</x:f>
        <x:v>12.32</x:v>
      </x:c>
      <x:c r="AV7" s="40" t="n">
        <x:f>IF(AU7="","",SUMIFS($BE$5:$CQ$5,BE7:CQ7,AU7)/COUNTIFS(BE7:CQ7,AU7))</x:f>
        <x:v>500</x:v>
      </x:c>
      <x:c r="AW7" s="40" t="n">
        <x:f>IF(OR('설정'!$E$7&gt;'설정'!$F$7,COUNT(H7:AT7)=0),"",MAX(BE7:CQ7))</x:f>
        <x:v>21.23</x:v>
      </x:c>
      <x:c r="AX7" s="40" t="n">
        <x:f>IF(AW7="","",SUMIFS($BE$5:$CQ$5,BE7:CQ7,AW7)/COUNTIFS(BE7:CQ7,AW7))</x:f>
        <x:v>430</x:v>
      </x:c>
      <x:c r="AY7" s="66"/>
      <x:c r="AZ7" s="38" t="n">
        <x:f>IF(AY7&lt;&gt;"",AY7,IF('설정'!$C$7="최소",AV7,AX7))</x:f>
        <x:v>500</x:v>
      </x:c>
      <x:c r="BA7" s="39" t="n">
        <x:f>IF(AZ7="","",IF(OR(AZ7&lt;'굴절률'!$A$6,AZ7&gt;'굴절률'!$A$44),"",IF(COUNTIFS('굴절률'!$A$6:$A$44,AZ7)&gt;0,INDEX('굴절률'!$C$6:$C$44,MATCH(AZ7,'굴절률'!$A$6:$A$44,0)),INDEX('굴절률'!$C$6:$C$44,MATCH(AZ7,'굴절률'!$A$6:$A$44,1))+(AZ7-INDEX('굴절률'!$A$6:$A$44,MATCH(AZ7,'굴절률'!$A$6:$A$44,1)))*(INDEX('굴절률'!$C$6:$C$44,MATCH(AZ7,'굴절률'!$A$6:$A$44,1)+1)-INDEX('굴절률'!$C$6:$C$44,MATCH(AZ7,'굴절률'!$A$6:$A$44,1)))/(INDEX('굴절률'!$A$6:$A$44,MATCH(AZ7,'굴절률'!$A$6:$A$44,1)+1)-INDEX('굴절률'!$A$6:$A$44,MATCH(AZ7,'굴절률'!$A$6:$A$44,1))))))</x:f>
        <x:v>2.3457</x:v>
      </x:c>
      <x:c r="BB7" s="39" t="n">
        <x:f>IF(BA7="","",COS(ASIN(SIN(RADIANS('설정'!$G$7))/BA7)))</x:f>
        <x:v>1</x:v>
      </x:c>
      <x:c r="BC7" s="40" t="n">
        <x:f>IF(OR(AZ7="",BA7="",BB7=""),"",IF('설정'!$C$7="최소",'설정'!$D$7*AZ7/(2*BA7*BB7),(2*'설정'!$D$7-1)*AZ7/(4*BA7*BB7)))</x:f>
        <x:v>106.57799377584517</x:v>
      </x:c>
      <x:c r="BD7" s="42" t="str">
        <x:f>IF(COUNT(H7:AT7)=0,"입력 필요",IF(COUNT(H7:AT7)&lt;&gt;39,"데이터 점검",IF(OR('설정'!$E$7&gt;'설정'!$F$7,'설정'!$E$7&lt;360,'설정'!$F$7&gt;740),"검색 범위 오류",IF(AY7&lt;&gt;"","수동 파장",IF(OR(AZ7='설정'!$E$7,AZ7='설정'!$F$7),"경계 극값 확인",IF(COUNTIFS(H7:AT7,IF('설정'!$C$7="최소",AU7,AW7),$H$5:$AT$5,"&gt;="&amp;'설정'!$E$7,$H$5:$AT$5,"&lt;="&amp;'설정'!$F$7)&gt;1,"복수 극값 평균","완료"))))))</x:f>
        <x:v>완료</x:v>
      </x:c>
      <x:c r="BE7" s="71" t="str">
        <x:f>IF(AND(BE$5&gt;='설정'!$E$7,BE$5&lt;='설정'!$F$7),H7,"")</x:f>
      </x:c>
      <x:c r="BF7" s="71" t="str">
        <x:f>IF(AND(BF$5&gt;='설정'!$E$7,BF$5&lt;='설정'!$F$7),I7,"")</x:f>
      </x:c>
      <x:c r="BG7" s="71" t="str">
        <x:f>IF(AND(BG$5&gt;='설정'!$E$7,BG$5&lt;='설정'!$F$7),J7,"")</x:f>
      </x:c>
      <x:c r="BH7" s="71" t="str">
        <x:f>IF(AND(BH$5&gt;='설정'!$E$7,BH$5&lt;='설정'!$F$7),K7,"")</x:f>
      </x:c>
      <x:c r="BI7" s="71" t="str">
        <x:f>IF(AND(BI$5&gt;='설정'!$E$7,BI$5&lt;='설정'!$F$7),L7,"")</x:f>
      </x:c>
      <x:c r="BJ7" s="71" t="str">
        <x:f>IF(AND(BJ$5&gt;='설정'!$E$7,BJ$5&lt;='설정'!$F$7),M7,"")</x:f>
      </x:c>
      <x:c r="BK7" s="71" t="str">
        <x:f>IF(AND(BK$5&gt;='설정'!$E$7,BK$5&lt;='설정'!$F$7),N7,"")</x:f>
      </x:c>
      <x:c r="BL7" s="71" t="n">
        <x:f>IF(AND(BL$5&gt;='설정'!$E$7,BL$5&lt;='설정'!$F$7),O7,"")</x:f>
        <x:v>21.23</x:v>
      </x:c>
      <x:c r="BM7" s="71" t="n">
        <x:f>IF(AND(BM$5&gt;='설정'!$E$7,BM$5&lt;='설정'!$F$7),P7,"")</x:f>
        <x:v>18.7</x:v>
      </x:c>
      <x:c r="BN7" s="71" t="n">
        <x:f>IF(AND(BN$5&gt;='설정'!$E$7,BN$5&lt;='설정'!$F$7),Q7,"")</x:f>
        <x:v>16.81</x:v>
      </x:c>
      <x:c r="BO7" s="71" t="n">
        <x:f>IF(AND(BO$5&gt;='설정'!$E$7,BO$5&lt;='설정'!$F$7),R7,"")</x:f>
        <x:v>15.03</x:v>
      </x:c>
      <x:c r="BP7" s="71" t="n">
        <x:f>IF(AND(BP$5&gt;='설정'!$E$7,BP$5&lt;='설정'!$F$7),S7,"")</x:f>
        <x:v>13.78</x:v>
      </x:c>
      <x:c r="BQ7" s="71" t="n">
        <x:f>IF(AND(BQ$5&gt;='설정'!$E$7,BQ$5&lt;='설정'!$F$7),T7,"")</x:f>
        <x:v>12.94</x:v>
      </x:c>
      <x:c r="BR7" s="71" t="n">
        <x:f>IF(AND(BR$5&gt;='설정'!$E$7,BR$5&lt;='설정'!$F$7),U7,"")</x:f>
        <x:v>12.46</x:v>
      </x:c>
      <x:c r="BS7" s="71" t="n">
        <x:f>IF(AND(BS$5&gt;='설정'!$E$7,BS$5&lt;='설정'!$F$7),V7,"")</x:f>
        <x:v>12.32</x:v>
      </x:c>
      <x:c r="BT7" s="71" t="n">
        <x:f>IF(AND(BT$5&gt;='설정'!$E$7,BT$5&lt;='설정'!$F$7),W7,"")</x:f>
        <x:v>12.39</x:v>
      </x:c>
      <x:c r="BU7" s="71" t="n">
        <x:f>IF(AND(BU$5&gt;='설정'!$E$7,BU$5&lt;='설정'!$F$7),X7,"")</x:f>
        <x:v>12.73</x:v>
      </x:c>
      <x:c r="BV7" s="71" t="n">
        <x:f>IF(AND(BV$5&gt;='설정'!$E$7,BV$5&lt;='설정'!$F$7),Y7,"")</x:f>
        <x:v>13.24</x:v>
      </x:c>
      <x:c r="BW7" s="71" t="n">
        <x:f>IF(AND(BW$5&gt;='설정'!$E$7,BW$5&lt;='설정'!$F$7),Z7,"")</x:f>
        <x:v>13.9</x:v>
      </x:c>
      <x:c r="BX7" s="71" t="n">
        <x:f>IF(AND(BX$5&gt;='설정'!$E$7,BX$5&lt;='설정'!$F$7),AA7,"")</x:f>
        <x:v>14.61</x:v>
      </x:c>
      <x:c r="BY7" s="71" t="n">
        <x:f>IF(AND(BY$5&gt;='설정'!$E$7,BY$5&lt;='설정'!$F$7),AB7,"")</x:f>
        <x:v>15.44</x:v>
      </x:c>
      <x:c r="BZ7" s="71" t="n">
        <x:f>IF(AND(BZ$5&gt;='설정'!$E$7,BZ$5&lt;='설정'!$F$7),AC7,"")</x:f>
        <x:v>16.3</x:v>
      </x:c>
      <x:c r="CA7" s="71" t="n">
        <x:f>IF(AND(CA$5&gt;='설정'!$E$7,CA$5&lt;='설정'!$F$7),AD7,"")</x:f>
        <x:v>17.16</x:v>
      </x:c>
      <x:c r="CB7" s="71" t="n">
        <x:f>IF(AND(CB$5&gt;='설정'!$E$7,CB$5&lt;='설정'!$F$7),AE7,"")</x:f>
        <x:v>18</x:v>
      </x:c>
      <x:c r="CC7" s="71" t="n">
        <x:f>IF(AND(CC$5&gt;='설정'!$E$7,CC$5&lt;='설정'!$F$7),AF7,"")</x:f>
        <x:v>18.86</x:v>
      </x:c>
      <x:c r="CD7" s="71" t="str">
        <x:f>IF(AND(CD$5&gt;='설정'!$E$7,CD$5&lt;='설정'!$F$7),AG7,"")</x:f>
      </x:c>
      <x:c r="CE7" s="71" t="str">
        <x:f>IF(AND(CE$5&gt;='설정'!$E$7,CE$5&lt;='설정'!$F$7),AH7,"")</x:f>
      </x:c>
      <x:c r="CF7" s="71" t="str">
        <x:f>IF(AND(CF$5&gt;='설정'!$E$7,CF$5&lt;='설정'!$F$7),AI7,"")</x:f>
      </x:c>
      <x:c r="CG7" s="71" t="str">
        <x:f>IF(AND(CG$5&gt;='설정'!$E$7,CG$5&lt;='설정'!$F$7),AJ7,"")</x:f>
      </x:c>
      <x:c r="CH7" s="71" t="str">
        <x:f>IF(AND(CH$5&gt;='설정'!$E$7,CH$5&lt;='설정'!$F$7),AK7,"")</x:f>
      </x:c>
      <x:c r="CI7" s="71" t="str">
        <x:f>IF(AND(CI$5&gt;='설정'!$E$7,CI$5&lt;='설정'!$F$7),AL7,"")</x:f>
      </x:c>
      <x:c r="CJ7" s="71" t="str">
        <x:f>IF(AND(CJ$5&gt;='설정'!$E$7,CJ$5&lt;='설정'!$F$7),AM7,"")</x:f>
      </x:c>
      <x:c r="CK7" s="71" t="str">
        <x:f>IF(AND(CK$5&gt;='설정'!$E$7,CK$5&lt;='설정'!$F$7),AN7,"")</x:f>
      </x:c>
      <x:c r="CL7" s="71" t="str">
        <x:f>IF(AND(CL$5&gt;='설정'!$E$7,CL$5&lt;='설정'!$F$7),AO7,"")</x:f>
      </x:c>
      <x:c r="CM7" s="71" t="str">
        <x:f>IF(AND(CM$5&gt;='설정'!$E$7,CM$5&lt;='설정'!$F$7),AP7,"")</x:f>
      </x:c>
      <x:c r="CN7" s="71" t="str">
        <x:f>IF(AND(CN$5&gt;='설정'!$E$7,CN$5&lt;='설정'!$F$7),AQ7,"")</x:f>
      </x:c>
      <x:c r="CO7" s="71" t="str">
        <x:f>IF(AND(CO$5&gt;='설정'!$E$7,CO$5&lt;='설정'!$F$7),AR7,"")</x:f>
      </x:c>
      <x:c r="CP7" s="71" t="str">
        <x:f>IF(AND(CP$5&gt;='설정'!$E$7,CP$5&lt;='설정'!$F$7),AS7,"")</x:f>
      </x:c>
      <x:c r="CQ7" s="71" t="str">
        <x:f>IF(AND(CQ$5&gt;='설정'!$E$7,CQ$5&lt;='설정'!$F$7),AT7,"")</x:f>
      </x:c>
    </x:row>
    <x:row r="8" ht="20" customHeight="1">
      <x:c r="A8" s="46" t="n">
        <x:v>3</x:v>
      </x:c>
      <x:c r="B8" s="44" t="str">
        <x:v>Nb2O5 균일도_03</x:v>
      </x:c>
      <x:c r="C8" s="61" t="n">
        <x:v>45.35</x:v>
      </x:c>
      <x:c r="D8" s="61" t="n">
        <x:v>14.16</x:v>
      </x:c>
      <x:c r="E8" s="61" t="n">
        <x:v>-9.52</x:v>
      </x:c>
      <x:c r="F8" s="61" t="n">
        <x:v>14.79</x:v>
      </x:c>
      <x:c r="G8" s="44" t="str">
        <x:v>SCI</x:v>
      </x:c>
      <x:c r="H8" s="61" t="n">
        <x:v>35.1</x:v>
      </x:c>
      <x:c r="I8" s="61" t="n">
        <x:v>36.37</x:v>
      </x:c>
      <x:c r="J8" s="61" t="n">
        <x:v>35.66</x:v>
      </x:c>
      <x:c r="K8" s="61" t="n">
        <x:v>34.11</x:v>
      </x:c>
      <x:c r="L8" s="61" t="n">
        <x:v>31.87</x:v>
      </x:c>
      <x:c r="M8" s="61" t="n">
        <x:v>29.2</x:v>
      </x:c>
      <x:c r="N8" s="61" t="n">
        <x:v>26.48</x:v>
      </x:c>
      <x:c r="O8" s="61" t="n">
        <x:v>23.82</x:v>
      </x:c>
      <x:c r="P8" s="61" t="n">
        <x:v>21.13</x:v>
      </x:c>
      <x:c r="Q8" s="61" t="n">
        <x:v>18.94</x:v>
      </x:c>
      <x:c r="R8" s="61" t="n">
        <x:v>16.85</x:v>
      </x:c>
      <x:c r="S8" s="61" t="n">
        <x:v>15.29</x:v>
      </x:c>
      <x:c r="T8" s="61" t="n">
        <x:v>13.95</x:v>
      </x:c>
      <x:c r="U8" s="61" t="n">
        <x:v>13.1</x:v>
      </x:c>
      <x:c r="V8" s="61" t="n">
        <x:v>12.52</x:v>
      </x:c>
      <x:c r="W8" s="61" t="n">
        <x:v>12.24</x:v>
      </x:c>
      <x:c r="X8" s="61" t="n">
        <x:v>12.27</x:v>
      </x:c>
      <x:c r="Y8" s="61" t="n">
        <x:v>12.5</x:v>
      </x:c>
      <x:c r="Z8" s="61" t="n">
        <x:v>12.93</x:v>
      </x:c>
      <x:c r="AA8" s="61" t="n">
        <x:v>13.46</x:v>
      </x:c>
      <x:c r="AB8" s="61" t="n">
        <x:v>14.13</x:v>
      </x:c>
      <x:c r="AC8" s="61" t="n">
        <x:v>14.88</x:v>
      </x:c>
      <x:c r="AD8" s="61" t="n">
        <x:v>15.67</x:v>
      </x:c>
      <x:c r="AE8" s="61" t="n">
        <x:v>16.47</x:v>
      </x:c>
      <x:c r="AF8" s="61" t="n">
        <x:v>17.32</x:v>
      </x:c>
      <x:c r="AG8" s="61" t="n">
        <x:v>18.14</x:v>
      </x:c>
      <x:c r="AH8" s="61" t="n">
        <x:v>18.94</x:v>
      </x:c>
      <x:c r="AI8" s="61" t="n">
        <x:v>19.69</x:v>
      </x:c>
      <x:c r="AJ8" s="61" t="n">
        <x:v>20.47</x:v>
      </x:c>
      <x:c r="AK8" s="61" t="n">
        <x:v>21.17</x:v>
      </x:c>
      <x:c r="AL8" s="61" t="n">
        <x:v>21.89</x:v>
      </x:c>
      <x:c r="AM8" s="61" t="n">
        <x:v>22.5</x:v>
      </x:c>
      <x:c r="AN8" s="61" t="n">
        <x:v>23.09</x:v>
      </x:c>
      <x:c r="AO8" s="61" t="n">
        <x:v>23.7</x:v>
      </x:c>
      <x:c r="AP8" s="61" t="n">
        <x:v>24.24</x:v>
      </x:c>
      <x:c r="AQ8" s="61" t="n">
        <x:v>24.75</x:v>
      </x:c>
      <x:c r="AR8" s="61" t="n">
        <x:v>25.14</x:v>
      </x:c>
      <x:c r="AS8" s="61" t="n">
        <x:v>25.63</x:v>
      </x:c>
      <x:c r="AT8" s="61" t="n">
        <x:v>26.04</x:v>
      </x:c>
      <x:c r="AU8" s="40" t="n">
        <x:f>IF(OR('설정'!$E$7&gt;'설정'!$F$7,COUNT(H8:AT8)=0),"",MIN(BE8:CQ8))</x:f>
        <x:v>12.24</x:v>
      </x:c>
      <x:c r="AV8" s="40" t="n">
        <x:f>IF(AU8="","",SUMIFS($BE$5:$CQ$5,BE8:CQ8,AU8)/COUNTIFS(BE8:CQ8,AU8))</x:f>
        <x:v>510</x:v>
      </x:c>
      <x:c r="AW8" s="40" t="n">
        <x:f>IF(OR('설정'!$E$7&gt;'설정'!$F$7,COUNT(H8:AT8)=0),"",MAX(BE8:CQ8))</x:f>
        <x:v>23.82</x:v>
      </x:c>
      <x:c r="AX8" s="40" t="n">
        <x:f>IF(AW8="","",SUMIFS($BE$5:$CQ$5,BE8:CQ8,AW8)/COUNTIFS(BE8:CQ8,AW8))</x:f>
        <x:v>430</x:v>
      </x:c>
      <x:c r="AY8" s="66"/>
      <x:c r="AZ8" s="38" t="n">
        <x:f>IF(AY8&lt;&gt;"",AY8,IF('설정'!$C$7="최소",AV8,AX8))</x:f>
        <x:v>510</x:v>
      </x:c>
      <x:c r="BA8" s="39" t="n">
        <x:f>IF(AZ8="","",IF(OR(AZ8&lt;'굴절률'!$A$6,AZ8&gt;'굴절률'!$A$44),"",IF(COUNTIFS('굴절률'!$A$6:$A$44,AZ8)&gt;0,INDEX('굴절률'!$C$6:$C$44,MATCH(AZ8,'굴절률'!$A$6:$A$44,0)),INDEX('굴절률'!$C$6:$C$44,MATCH(AZ8,'굴절률'!$A$6:$A$44,1))+(AZ8-INDEX('굴절률'!$A$6:$A$44,MATCH(AZ8,'굴절률'!$A$6:$A$44,1)))*(INDEX('굴절률'!$C$6:$C$44,MATCH(AZ8,'굴절률'!$A$6:$A$44,1)+1)-INDEX('굴절률'!$C$6:$C$44,MATCH(AZ8,'굴절률'!$A$6:$A$44,1)))/(INDEX('굴절률'!$A$6:$A$44,MATCH(AZ8,'굴절률'!$A$6:$A$44,1)+1)-INDEX('굴절률'!$A$6:$A$44,MATCH(AZ8,'굴절률'!$A$6:$A$44,1))))))</x:f>
        <x:v>2.33996</x:v>
      </x:c>
      <x:c r="BB8" s="39" t="n">
        <x:f>IF(BA8="","",COS(ASIN(SIN(RADIANS('설정'!$G$7))/BA8)))</x:f>
        <x:v>1</x:v>
      </x:c>
      <x:c r="BC8" s="40" t="n">
        <x:f>IF(OR(AZ8="",BA8="",BB8=""),"",IF('설정'!$C$7="최소",'설정'!$D$7*AZ8/(2*BA8*BB8),(2*'설정'!$D$7-1)*AZ8/(4*BA8*BB8)))</x:f>
        <x:v>108.97622181575753</x:v>
      </x:c>
      <x:c r="BD8" s="42" t="str">
        <x:f>IF(COUNT(H8:AT8)=0,"입력 필요",IF(COUNT(H8:AT8)&lt;&gt;39,"데이터 점검",IF(OR('설정'!$E$7&gt;'설정'!$F$7,'설정'!$E$7&lt;360,'설정'!$F$7&gt;740),"검색 범위 오류",IF(AY8&lt;&gt;"","수동 파장",IF(OR(AZ8='설정'!$E$7,AZ8='설정'!$F$7),"경계 극값 확인",IF(COUNTIFS(H8:AT8,IF('설정'!$C$7="최소",AU8,AW8),$H$5:$AT$5,"&gt;="&amp;'설정'!$E$7,$H$5:$AT$5,"&lt;="&amp;'설정'!$F$7)&gt;1,"복수 극값 평균","완료"))))))</x:f>
        <x:v>완료</x:v>
      </x:c>
      <x:c r="BE8" s="71" t="str">
        <x:f>IF(AND(BE$5&gt;='설정'!$E$7,BE$5&lt;='설정'!$F$7),H8,"")</x:f>
      </x:c>
      <x:c r="BF8" s="71" t="str">
        <x:f>IF(AND(BF$5&gt;='설정'!$E$7,BF$5&lt;='설정'!$F$7),I8,"")</x:f>
      </x:c>
      <x:c r="BG8" s="71" t="str">
        <x:f>IF(AND(BG$5&gt;='설정'!$E$7,BG$5&lt;='설정'!$F$7),J8,"")</x:f>
      </x:c>
      <x:c r="BH8" s="71" t="str">
        <x:f>IF(AND(BH$5&gt;='설정'!$E$7,BH$5&lt;='설정'!$F$7),K8,"")</x:f>
      </x:c>
      <x:c r="BI8" s="71" t="str">
        <x:f>IF(AND(BI$5&gt;='설정'!$E$7,BI$5&lt;='설정'!$F$7),L8,"")</x:f>
      </x:c>
      <x:c r="BJ8" s="71" t="str">
        <x:f>IF(AND(BJ$5&gt;='설정'!$E$7,BJ$5&lt;='설정'!$F$7),M8,"")</x:f>
      </x:c>
      <x:c r="BK8" s="71" t="str">
        <x:f>IF(AND(BK$5&gt;='설정'!$E$7,BK$5&lt;='설정'!$F$7),N8,"")</x:f>
      </x:c>
      <x:c r="BL8" s="71" t="n">
        <x:f>IF(AND(BL$5&gt;='설정'!$E$7,BL$5&lt;='설정'!$F$7),O8,"")</x:f>
        <x:v>23.82</x:v>
      </x:c>
      <x:c r="BM8" s="71" t="n">
        <x:f>IF(AND(BM$5&gt;='설정'!$E$7,BM$5&lt;='설정'!$F$7),P8,"")</x:f>
        <x:v>21.13</x:v>
      </x:c>
      <x:c r="BN8" s="71" t="n">
        <x:f>IF(AND(BN$5&gt;='설정'!$E$7,BN$5&lt;='설정'!$F$7),Q8,"")</x:f>
        <x:v>18.94</x:v>
      </x:c>
      <x:c r="BO8" s="71" t="n">
        <x:f>IF(AND(BO$5&gt;='설정'!$E$7,BO$5&lt;='설정'!$F$7),R8,"")</x:f>
        <x:v>16.85</x:v>
      </x:c>
      <x:c r="BP8" s="71" t="n">
        <x:f>IF(AND(BP$5&gt;='설정'!$E$7,BP$5&lt;='설정'!$F$7),S8,"")</x:f>
        <x:v>15.29</x:v>
      </x:c>
      <x:c r="BQ8" s="71" t="n">
        <x:f>IF(AND(BQ$5&gt;='설정'!$E$7,BQ$5&lt;='설정'!$F$7),T8,"")</x:f>
        <x:v>13.95</x:v>
      </x:c>
      <x:c r="BR8" s="71" t="n">
        <x:f>IF(AND(BR$5&gt;='설정'!$E$7,BR$5&lt;='설정'!$F$7),U8,"")</x:f>
        <x:v>13.1</x:v>
      </x:c>
      <x:c r="BS8" s="71" t="n">
        <x:f>IF(AND(BS$5&gt;='설정'!$E$7,BS$5&lt;='설정'!$F$7),V8,"")</x:f>
        <x:v>12.52</x:v>
      </x:c>
      <x:c r="BT8" s="71" t="n">
        <x:f>IF(AND(BT$5&gt;='설정'!$E$7,BT$5&lt;='설정'!$F$7),W8,"")</x:f>
        <x:v>12.24</x:v>
      </x:c>
      <x:c r="BU8" s="71" t="n">
        <x:f>IF(AND(BU$5&gt;='설정'!$E$7,BU$5&lt;='설정'!$F$7),X8,"")</x:f>
        <x:v>12.27</x:v>
      </x:c>
      <x:c r="BV8" s="71" t="n">
        <x:f>IF(AND(BV$5&gt;='설정'!$E$7,BV$5&lt;='설정'!$F$7),Y8,"")</x:f>
        <x:v>12.5</x:v>
      </x:c>
      <x:c r="BW8" s="71" t="n">
        <x:f>IF(AND(BW$5&gt;='설정'!$E$7,BW$5&lt;='설정'!$F$7),Z8,"")</x:f>
        <x:v>12.93</x:v>
      </x:c>
      <x:c r="BX8" s="71" t="n">
        <x:f>IF(AND(BX$5&gt;='설정'!$E$7,BX$5&lt;='설정'!$F$7),AA8,"")</x:f>
        <x:v>13.46</x:v>
      </x:c>
      <x:c r="BY8" s="71" t="n">
        <x:f>IF(AND(BY$5&gt;='설정'!$E$7,BY$5&lt;='설정'!$F$7),AB8,"")</x:f>
        <x:v>14.13</x:v>
      </x:c>
      <x:c r="BZ8" s="71" t="n">
        <x:f>IF(AND(BZ$5&gt;='설정'!$E$7,BZ$5&lt;='설정'!$F$7),AC8,"")</x:f>
        <x:v>14.88</x:v>
      </x:c>
      <x:c r="CA8" s="71" t="n">
        <x:f>IF(AND(CA$5&gt;='설정'!$E$7,CA$5&lt;='설정'!$F$7),AD8,"")</x:f>
        <x:v>15.67</x:v>
      </x:c>
      <x:c r="CB8" s="71" t="n">
        <x:f>IF(AND(CB$5&gt;='설정'!$E$7,CB$5&lt;='설정'!$F$7),AE8,"")</x:f>
        <x:v>16.47</x:v>
      </x:c>
      <x:c r="CC8" s="71" t="n">
        <x:f>IF(AND(CC$5&gt;='설정'!$E$7,CC$5&lt;='설정'!$F$7),AF8,"")</x:f>
        <x:v>17.32</x:v>
      </x:c>
      <x:c r="CD8" s="71" t="str">
        <x:f>IF(AND(CD$5&gt;='설정'!$E$7,CD$5&lt;='설정'!$F$7),AG8,"")</x:f>
      </x:c>
      <x:c r="CE8" s="71" t="str">
        <x:f>IF(AND(CE$5&gt;='설정'!$E$7,CE$5&lt;='설정'!$F$7),AH8,"")</x:f>
      </x:c>
      <x:c r="CF8" s="71" t="str">
        <x:f>IF(AND(CF$5&gt;='설정'!$E$7,CF$5&lt;='설정'!$F$7),AI8,"")</x:f>
      </x:c>
      <x:c r="CG8" s="71" t="str">
        <x:f>IF(AND(CG$5&gt;='설정'!$E$7,CG$5&lt;='설정'!$F$7),AJ8,"")</x:f>
      </x:c>
      <x:c r="CH8" s="71" t="str">
        <x:f>IF(AND(CH$5&gt;='설정'!$E$7,CH$5&lt;='설정'!$F$7),AK8,"")</x:f>
      </x:c>
      <x:c r="CI8" s="71" t="str">
        <x:f>IF(AND(CI$5&gt;='설정'!$E$7,CI$5&lt;='설정'!$F$7),AL8,"")</x:f>
      </x:c>
      <x:c r="CJ8" s="71" t="str">
        <x:f>IF(AND(CJ$5&gt;='설정'!$E$7,CJ$5&lt;='설정'!$F$7),AM8,"")</x:f>
      </x:c>
      <x:c r="CK8" s="71" t="str">
        <x:f>IF(AND(CK$5&gt;='설정'!$E$7,CK$5&lt;='설정'!$F$7),AN8,"")</x:f>
      </x:c>
      <x:c r="CL8" s="71" t="str">
        <x:f>IF(AND(CL$5&gt;='설정'!$E$7,CL$5&lt;='설정'!$F$7),AO8,"")</x:f>
      </x:c>
      <x:c r="CM8" s="71" t="str">
        <x:f>IF(AND(CM$5&gt;='설정'!$E$7,CM$5&lt;='설정'!$F$7),AP8,"")</x:f>
      </x:c>
      <x:c r="CN8" s="71" t="str">
        <x:f>IF(AND(CN$5&gt;='설정'!$E$7,CN$5&lt;='설정'!$F$7),AQ8,"")</x:f>
      </x:c>
      <x:c r="CO8" s="71" t="str">
        <x:f>IF(AND(CO$5&gt;='설정'!$E$7,CO$5&lt;='설정'!$F$7),AR8,"")</x:f>
      </x:c>
      <x:c r="CP8" s="71" t="str">
        <x:f>IF(AND(CP$5&gt;='설정'!$E$7,CP$5&lt;='설정'!$F$7),AS8,"")</x:f>
      </x:c>
      <x:c r="CQ8" s="71" t="str">
        <x:f>IF(AND(CQ$5&gt;='설정'!$E$7,CQ$5&lt;='설정'!$F$7),AT8,"")</x:f>
      </x:c>
    </x:row>
    <x:row r="9" ht="20" customHeight="1">
      <x:c r="A9" s="46" t="n">
        <x:v>4</x:v>
      </x:c>
      <x:c r="B9" s="44" t="str">
        <x:v>Nb2O5 균일도_04</x:v>
      </x:c>
      <x:c r="C9" s="61" t="n">
        <x:v>44.81</x:v>
      </x:c>
      <x:c r="D9" s="61" t="n">
        <x:v>14.26</x:v>
      </x:c>
      <x:c r="E9" s="61" t="n">
        <x:v>-13.04</x:v>
      </x:c>
      <x:c r="F9" s="61" t="n">
        <x:v>14.41</x:v>
      </x:c>
      <x:c r="G9" s="44" t="str">
        <x:v>SCI</x:v>
      </x:c>
      <x:c r="H9" s="61" t="n">
        <x:v>33.68</x:v>
      </x:c>
      <x:c r="I9" s="61" t="n">
        <x:v>35.85</x:v>
      </x:c>
      <x:c r="J9" s="61" t="n">
        <x:v>35.82</x:v>
      </x:c>
      <x:c r="K9" s="61" t="n">
        <x:v>34.78</x:v>
      </x:c>
      <x:c r="L9" s="61" t="n">
        <x:v>32.93</x:v>
      </x:c>
      <x:c r="M9" s="61" t="n">
        <x:v>30.54</x:v>
      </x:c>
      <x:c r="N9" s="61" t="n">
        <x:v>28.02</x:v>
      </x:c>
      <x:c r="O9" s="61" t="n">
        <x:v>25.4</x:v>
      </x:c>
      <x:c r="P9" s="61" t="n">
        <x:v>22.68</x:v>
      </x:c>
      <x:c r="Q9" s="61" t="n">
        <x:v>20.46</x:v>
      </x:c>
      <x:c r="R9" s="61" t="n">
        <x:v>18.21</x:v>
      </x:c>
      <x:c r="S9" s="61" t="n">
        <x:v>16.44</x:v>
      </x:c>
      <x:c r="T9" s="61" t="n">
        <x:v>14.85</x:v>
      </x:c>
      <x:c r="U9" s="61" t="n">
        <x:v>13.74</x:v>
      </x:c>
      <x:c r="V9" s="61" t="n">
        <x:v>12.92</x:v>
      </x:c>
      <x:c r="W9" s="61" t="n">
        <x:v>12.4</x:v>
      </x:c>
      <x:c r="X9" s="61" t="n">
        <x:v>12.19</x:v>
      </x:c>
      <x:c r="Y9" s="61" t="n">
        <x:v>12.24</x:v>
      </x:c>
      <x:c r="Z9" s="61" t="n">
        <x:v>12.5</x:v>
      </x:c>
      <x:c r="AA9" s="61" t="n">
        <x:v>12.89</x:v>
      </x:c>
      <x:c r="AB9" s="61" t="n">
        <x:v>13.43</x:v>
      </x:c>
      <x:c r="AC9" s="61" t="n">
        <x:v>14.08</x:v>
      </x:c>
      <x:c r="AD9" s="61" t="n">
        <x:v>14.8</x:v>
      </x:c>
      <x:c r="AE9" s="61" t="n">
        <x:v>15.55</x:v>
      </x:c>
      <x:c r="AF9" s="61" t="n">
        <x:v>16.35</x:v>
      </x:c>
      <x:c r="AG9" s="61" t="n">
        <x:v>17.14</x:v>
      </x:c>
      <x:c r="AH9" s="61" t="n">
        <x:v>17.96</x:v>
      </x:c>
      <x:c r="AI9" s="61" t="n">
        <x:v>18.69</x:v>
      </x:c>
      <x:c r="AJ9" s="61" t="n">
        <x:v>19.49</x:v>
      </x:c>
      <x:c r="AK9" s="61" t="n">
        <x:v>20.19</x:v>
      </x:c>
      <x:c r="AL9" s="61" t="n">
        <x:v>20.93</x:v>
      </x:c>
      <x:c r="AM9" s="61" t="n">
        <x:v>21.59</x:v>
      </x:c>
      <x:c r="AN9" s="61" t="n">
        <x:v>22.22</x:v>
      </x:c>
      <x:c r="AO9" s="61" t="n">
        <x:v>22.8</x:v>
      </x:c>
      <x:c r="AP9" s="61" t="n">
        <x:v>23.4</x:v>
      </x:c>
      <x:c r="AQ9" s="61" t="n">
        <x:v>23.94</x:v>
      </x:c>
      <x:c r="AR9" s="61" t="n">
        <x:v>24.36</x:v>
      </x:c>
      <x:c r="AS9" s="61" t="n">
        <x:v>24.89</x:v>
      </x:c>
      <x:c r="AT9" s="61" t="n">
        <x:v>25.29</x:v>
      </x:c>
      <x:c r="AU9" s="40" t="n">
        <x:f>IF(OR('설정'!$E$7&gt;'설정'!$F$7,COUNT(H9:AT9)=0),"",MIN(BE9:CQ9))</x:f>
        <x:v>12.19</x:v>
      </x:c>
      <x:c r="AV9" s="40" t="n">
        <x:f>IF(AU9="","",SUMIFS($BE$5:$CQ$5,BE9:CQ9,AU9)/COUNTIFS(BE9:CQ9,AU9))</x:f>
        <x:v>520</x:v>
      </x:c>
      <x:c r="AW9" s="40" t="n">
        <x:f>IF(OR('설정'!$E$7&gt;'설정'!$F$7,COUNT(H9:AT9)=0),"",MAX(BE9:CQ9))</x:f>
        <x:v>25.4</x:v>
      </x:c>
      <x:c r="AX9" s="40" t="n">
        <x:f>IF(AW9="","",SUMIFS($BE$5:$CQ$5,BE9:CQ9,AW9)/COUNTIFS(BE9:CQ9,AW9))</x:f>
        <x:v>430</x:v>
      </x:c>
      <x:c r="AY9" s="66"/>
      <x:c r="AZ9" s="38" t="n">
        <x:f>IF(AY9&lt;&gt;"",AY9,IF('설정'!$C$7="최소",AV9,AX9))</x:f>
        <x:v>520</x:v>
      </x:c>
      <x:c r="BA9" s="39" t="n">
        <x:f>IF(AZ9="","",IF(OR(AZ9&lt;'굴절률'!$A$6,AZ9&gt;'굴절률'!$A$44),"",IF(COUNTIFS('굴절률'!$A$6:$A$44,AZ9)&gt;0,INDEX('굴절률'!$C$6:$C$44,MATCH(AZ9,'굴절률'!$A$6:$A$44,0)),INDEX('굴절률'!$C$6:$C$44,MATCH(AZ9,'굴절률'!$A$6:$A$44,1))+(AZ9-INDEX('굴절률'!$A$6:$A$44,MATCH(AZ9,'굴절률'!$A$6:$A$44,1)))*(INDEX('굴절률'!$C$6:$C$44,MATCH(AZ9,'굴절률'!$A$6:$A$44,1)+1)-INDEX('굴절률'!$C$6:$C$44,MATCH(AZ9,'굴절률'!$A$6:$A$44,1)))/(INDEX('굴절률'!$A$6:$A$44,MATCH(AZ9,'굴절률'!$A$6:$A$44,1)+1)-INDEX('굴절률'!$A$6:$A$44,MATCH(AZ9,'굴절률'!$A$6:$A$44,1))))))</x:f>
        <x:v>2.33468</x:v>
      </x:c>
      <x:c r="BB9" s="39" t="n">
        <x:f>IF(BA9="","",COS(ASIN(SIN(RADIANS('설정'!$G$7))/BA9)))</x:f>
        <x:v>1</x:v>
      </x:c>
      <x:c r="BC9" s="40" t="n">
        <x:f>IF(OR(AZ9="",BA9="",BB9=""),"",IF('설정'!$C$7="최소",'설정'!$D$7*AZ9/(2*BA9*BB9),(2*'설정'!$D$7-1)*AZ9/(4*BA9*BB9)))</x:f>
        <x:v>111.36429831925574</x:v>
      </x:c>
      <x:c r="BD9" s="42" t="str">
        <x:f>IF(COUNT(H9:AT9)=0,"입력 필요",IF(COUNT(H9:AT9)&lt;&gt;39,"데이터 점검",IF(OR('설정'!$E$7&gt;'설정'!$F$7,'설정'!$E$7&lt;360,'설정'!$F$7&gt;740),"검색 범위 오류",IF(AY9&lt;&gt;"","수동 파장",IF(OR(AZ9='설정'!$E$7,AZ9='설정'!$F$7),"경계 극값 확인",IF(COUNTIFS(H9:AT9,IF('설정'!$C$7="최소",AU9,AW9),$H$5:$AT$5,"&gt;="&amp;'설정'!$E$7,$H$5:$AT$5,"&lt;="&amp;'설정'!$F$7)&gt;1,"복수 극값 평균","완료"))))))</x:f>
        <x:v>완료</x:v>
      </x:c>
      <x:c r="BE9" s="71" t="str">
        <x:f>IF(AND(BE$5&gt;='설정'!$E$7,BE$5&lt;='설정'!$F$7),H9,"")</x:f>
      </x:c>
      <x:c r="BF9" s="71" t="str">
        <x:f>IF(AND(BF$5&gt;='설정'!$E$7,BF$5&lt;='설정'!$F$7),I9,"")</x:f>
      </x:c>
      <x:c r="BG9" s="71" t="str">
        <x:f>IF(AND(BG$5&gt;='설정'!$E$7,BG$5&lt;='설정'!$F$7),J9,"")</x:f>
      </x:c>
      <x:c r="BH9" s="71" t="str">
        <x:f>IF(AND(BH$5&gt;='설정'!$E$7,BH$5&lt;='설정'!$F$7),K9,"")</x:f>
      </x:c>
      <x:c r="BI9" s="71" t="str">
        <x:f>IF(AND(BI$5&gt;='설정'!$E$7,BI$5&lt;='설정'!$F$7),L9,"")</x:f>
      </x:c>
      <x:c r="BJ9" s="71" t="str">
        <x:f>IF(AND(BJ$5&gt;='설정'!$E$7,BJ$5&lt;='설정'!$F$7),M9,"")</x:f>
      </x:c>
      <x:c r="BK9" s="71" t="str">
        <x:f>IF(AND(BK$5&gt;='설정'!$E$7,BK$5&lt;='설정'!$F$7),N9,"")</x:f>
      </x:c>
      <x:c r="BL9" s="71" t="n">
        <x:f>IF(AND(BL$5&gt;='설정'!$E$7,BL$5&lt;='설정'!$F$7),O9,"")</x:f>
        <x:v>25.4</x:v>
      </x:c>
      <x:c r="BM9" s="71" t="n">
        <x:f>IF(AND(BM$5&gt;='설정'!$E$7,BM$5&lt;='설정'!$F$7),P9,"")</x:f>
        <x:v>22.68</x:v>
      </x:c>
      <x:c r="BN9" s="71" t="n">
        <x:f>IF(AND(BN$5&gt;='설정'!$E$7,BN$5&lt;='설정'!$F$7),Q9,"")</x:f>
        <x:v>20.46</x:v>
      </x:c>
      <x:c r="BO9" s="71" t="n">
        <x:f>IF(AND(BO$5&gt;='설정'!$E$7,BO$5&lt;='설정'!$F$7),R9,"")</x:f>
        <x:v>18.21</x:v>
      </x:c>
      <x:c r="BP9" s="71" t="n">
        <x:f>IF(AND(BP$5&gt;='설정'!$E$7,BP$5&lt;='설정'!$F$7),S9,"")</x:f>
        <x:v>16.44</x:v>
      </x:c>
      <x:c r="BQ9" s="71" t="n">
        <x:f>IF(AND(BQ$5&gt;='설정'!$E$7,BQ$5&lt;='설정'!$F$7),T9,"")</x:f>
        <x:v>14.85</x:v>
      </x:c>
      <x:c r="BR9" s="71" t="n">
        <x:f>IF(AND(BR$5&gt;='설정'!$E$7,BR$5&lt;='설정'!$F$7),U9,"")</x:f>
        <x:v>13.74</x:v>
      </x:c>
      <x:c r="BS9" s="71" t="n">
        <x:f>IF(AND(BS$5&gt;='설정'!$E$7,BS$5&lt;='설정'!$F$7),V9,"")</x:f>
        <x:v>12.92</x:v>
      </x:c>
      <x:c r="BT9" s="71" t="n">
        <x:f>IF(AND(BT$5&gt;='설정'!$E$7,BT$5&lt;='설정'!$F$7),W9,"")</x:f>
        <x:v>12.4</x:v>
      </x:c>
      <x:c r="BU9" s="71" t="n">
        <x:f>IF(AND(BU$5&gt;='설정'!$E$7,BU$5&lt;='설정'!$F$7),X9,"")</x:f>
        <x:v>12.19</x:v>
      </x:c>
      <x:c r="BV9" s="71" t="n">
        <x:f>IF(AND(BV$5&gt;='설정'!$E$7,BV$5&lt;='설정'!$F$7),Y9,"")</x:f>
        <x:v>12.24</x:v>
      </x:c>
      <x:c r="BW9" s="71" t="n">
        <x:f>IF(AND(BW$5&gt;='설정'!$E$7,BW$5&lt;='설정'!$F$7),Z9,"")</x:f>
        <x:v>12.5</x:v>
      </x:c>
      <x:c r="BX9" s="71" t="n">
        <x:f>IF(AND(BX$5&gt;='설정'!$E$7,BX$5&lt;='설정'!$F$7),AA9,"")</x:f>
        <x:v>12.89</x:v>
      </x:c>
      <x:c r="BY9" s="71" t="n">
        <x:f>IF(AND(BY$5&gt;='설정'!$E$7,BY$5&lt;='설정'!$F$7),AB9,"")</x:f>
        <x:v>13.43</x:v>
      </x:c>
      <x:c r="BZ9" s="71" t="n">
        <x:f>IF(AND(BZ$5&gt;='설정'!$E$7,BZ$5&lt;='설정'!$F$7),AC9,"")</x:f>
        <x:v>14.08</x:v>
      </x:c>
      <x:c r="CA9" s="71" t="n">
        <x:f>IF(AND(CA$5&gt;='설정'!$E$7,CA$5&lt;='설정'!$F$7),AD9,"")</x:f>
        <x:v>14.8</x:v>
      </x:c>
      <x:c r="CB9" s="71" t="n">
        <x:f>IF(AND(CB$5&gt;='설정'!$E$7,CB$5&lt;='설정'!$F$7),AE9,"")</x:f>
        <x:v>15.55</x:v>
      </x:c>
      <x:c r="CC9" s="71" t="n">
        <x:f>IF(AND(CC$5&gt;='설정'!$E$7,CC$5&lt;='설정'!$F$7),AF9,"")</x:f>
        <x:v>16.35</x:v>
      </x:c>
      <x:c r="CD9" s="71" t="str">
        <x:f>IF(AND(CD$5&gt;='설정'!$E$7,CD$5&lt;='설정'!$F$7),AG9,"")</x:f>
      </x:c>
      <x:c r="CE9" s="71" t="str">
        <x:f>IF(AND(CE$5&gt;='설정'!$E$7,CE$5&lt;='설정'!$F$7),AH9,"")</x:f>
      </x:c>
      <x:c r="CF9" s="71" t="str">
        <x:f>IF(AND(CF$5&gt;='설정'!$E$7,CF$5&lt;='설정'!$F$7),AI9,"")</x:f>
      </x:c>
      <x:c r="CG9" s="71" t="str">
        <x:f>IF(AND(CG$5&gt;='설정'!$E$7,CG$5&lt;='설정'!$F$7),AJ9,"")</x:f>
      </x:c>
      <x:c r="CH9" s="71" t="str">
        <x:f>IF(AND(CH$5&gt;='설정'!$E$7,CH$5&lt;='설정'!$F$7),AK9,"")</x:f>
      </x:c>
      <x:c r="CI9" s="71" t="str">
        <x:f>IF(AND(CI$5&gt;='설정'!$E$7,CI$5&lt;='설정'!$F$7),AL9,"")</x:f>
      </x:c>
      <x:c r="CJ9" s="71" t="str">
        <x:f>IF(AND(CJ$5&gt;='설정'!$E$7,CJ$5&lt;='설정'!$F$7),AM9,"")</x:f>
      </x:c>
      <x:c r="CK9" s="71" t="str">
        <x:f>IF(AND(CK$5&gt;='설정'!$E$7,CK$5&lt;='설정'!$F$7),AN9,"")</x:f>
      </x:c>
      <x:c r="CL9" s="71" t="str">
        <x:f>IF(AND(CL$5&gt;='설정'!$E$7,CL$5&lt;='설정'!$F$7),AO9,"")</x:f>
      </x:c>
      <x:c r="CM9" s="71" t="str">
        <x:f>IF(AND(CM$5&gt;='설정'!$E$7,CM$5&lt;='설정'!$F$7),AP9,"")</x:f>
      </x:c>
      <x:c r="CN9" s="71" t="str">
        <x:f>IF(AND(CN$5&gt;='설정'!$E$7,CN$5&lt;='설정'!$F$7),AQ9,"")</x:f>
      </x:c>
      <x:c r="CO9" s="71" t="str">
        <x:f>IF(AND(CO$5&gt;='설정'!$E$7,CO$5&lt;='설정'!$F$7),AR9,"")</x:f>
      </x:c>
      <x:c r="CP9" s="71" t="str">
        <x:f>IF(AND(CP$5&gt;='설정'!$E$7,CP$5&lt;='설정'!$F$7),AS9,"")</x:f>
      </x:c>
      <x:c r="CQ9" s="71" t="str">
        <x:f>IF(AND(CQ$5&gt;='설정'!$E$7,CQ$5&lt;='설정'!$F$7),AT9,"")</x:f>
      </x:c>
    </x:row>
    <x:row r="10" ht="20" customHeight="1">
      <x:c r="A10" s="46" t="n">
        <x:v>5</x:v>
      </x:c>
      <x:c r="B10" s="44" t="str">
        <x:v>Nb2O5 균일도_05</x:v>
      </x:c>
      <x:c r="C10" s="61" t="n">
        <x:v>44.67</x:v>
      </x:c>
      <x:c r="D10" s="61" t="n">
        <x:v>14.13</x:v>
      </x:c>
      <x:c r="E10" s="61" t="n">
        <x:v>-14.66</x:v>
      </x:c>
      <x:c r="F10" s="61" t="n">
        <x:v>14.3</x:v>
      </x:c>
      <x:c r="G10" s="44" t="str">
        <x:v>SCI</x:v>
      </x:c>
      <x:c r="H10" s="61" t="n">
        <x:v>32.87</x:v>
      </x:c>
      <x:c r="I10" s="61" t="n">
        <x:v>35.49</x:v>
      </x:c>
      <x:c r="J10" s="61" t="n">
        <x:v>35.83</x:v>
      </x:c>
      <x:c r="K10" s="61" t="n">
        <x:v>35.04</x:v>
      </x:c>
      <x:c r="L10" s="61" t="n">
        <x:v>33.4</x:v>
      </x:c>
      <x:c r="M10" s="61" t="n">
        <x:v>31.17</x:v>
      </x:c>
      <x:c r="N10" s="61" t="n">
        <x:v>28.74</x:v>
      </x:c>
      <x:c r="O10" s="61" t="n">
        <x:v>26.23</x:v>
      </x:c>
      <x:c r="P10" s="61" t="n">
        <x:v>23.53</x:v>
      </x:c>
      <x:c r="Q10" s="61" t="n">
        <x:v>21.25</x:v>
      </x:c>
      <x:c r="R10" s="61" t="n">
        <x:v>18.95</x:v>
      </x:c>
      <x:c r="S10" s="61" t="n">
        <x:v>17.1</x:v>
      </x:c>
      <x:c r="T10" s="61" t="n">
        <x:v>15.43</x:v>
      </x:c>
      <x:c r="U10" s="61" t="n">
        <x:v>14.2</x:v>
      </x:c>
      <x:c r="V10" s="61" t="n">
        <x:v>13.23</x:v>
      </x:c>
      <x:c r="W10" s="61" t="n">
        <x:v>12.61</x:v>
      </x:c>
      <x:c r="X10" s="61" t="n">
        <x:v>12.28</x:v>
      </x:c>
      <x:c r="Y10" s="61" t="n">
        <x:v>12.22</x:v>
      </x:c>
      <x:c r="Z10" s="61" t="n">
        <x:v>12.38</x:v>
      </x:c>
      <x:c r="AA10" s="61" t="n">
        <x:v>12.68</x:v>
      </x:c>
      <x:c r="AB10" s="61" t="n">
        <x:v>13.16</x:v>
      </x:c>
      <x:c r="AC10" s="61" t="n">
        <x:v>13.76</x:v>
      </x:c>
      <x:c r="AD10" s="61" t="n">
        <x:v>14.43</x:v>
      </x:c>
      <x:c r="AE10" s="61" t="n">
        <x:v>15.16</x:v>
      </x:c>
      <x:c r="AF10" s="61" t="n">
        <x:v>15.93</x:v>
      </x:c>
      <x:c r="AG10" s="61" t="n">
        <x:v>16.72</x:v>
      </x:c>
      <x:c r="AH10" s="61" t="n">
        <x:v>17.51</x:v>
      </x:c>
      <x:c r="AI10" s="61" t="n">
        <x:v>18.24</x:v>
      </x:c>
      <x:c r="AJ10" s="61" t="n">
        <x:v>19.06</x:v>
      </x:c>
      <x:c r="AK10" s="61" t="n">
        <x:v>19.76</x:v>
      </x:c>
      <x:c r="AL10" s="61" t="n">
        <x:v>20.49</x:v>
      </x:c>
      <x:c r="AM10" s="61" t="n">
        <x:v>21.16</x:v>
      </x:c>
      <x:c r="AN10" s="61" t="n">
        <x:v>21.8</x:v>
      </x:c>
      <x:c r="AO10" s="61" t="n">
        <x:v>22.43</x:v>
      </x:c>
      <x:c r="AP10" s="61" t="n">
        <x:v>23</x:v>
      </x:c>
      <x:c r="AQ10" s="61" t="n">
        <x:v>23.55</x:v>
      </x:c>
      <x:c r="AR10" s="61" t="n">
        <x:v>23.97</x:v>
      </x:c>
      <x:c r="AS10" s="61" t="n">
        <x:v>24.55</x:v>
      </x:c>
      <x:c r="AT10" s="61" t="n">
        <x:v>25.02</x:v>
      </x:c>
      <x:c r="AU10" s="40" t="n">
        <x:f>IF(OR('설정'!$E$7&gt;'설정'!$F$7,COUNT(H10:AT10)=0),"",MIN(BE10:CQ10))</x:f>
        <x:v>12.22</x:v>
      </x:c>
      <x:c r="AV10" s="40" t="n">
        <x:f>IF(AU10="","",SUMIFS($BE$5:$CQ$5,BE10:CQ10,AU10)/COUNTIFS(BE10:CQ10,AU10))</x:f>
        <x:v>530</x:v>
      </x:c>
      <x:c r="AW10" s="40" t="n">
        <x:f>IF(OR('설정'!$E$7&gt;'설정'!$F$7,COUNT(H10:AT10)=0),"",MAX(BE10:CQ10))</x:f>
        <x:v>26.23</x:v>
      </x:c>
      <x:c r="AX10" s="40" t="n">
        <x:f>IF(AW10="","",SUMIFS($BE$5:$CQ$5,BE10:CQ10,AW10)/COUNTIFS(BE10:CQ10,AW10))</x:f>
        <x:v>430</x:v>
      </x:c>
      <x:c r="AY10" s="66"/>
      <x:c r="AZ10" s="38" t="n">
        <x:f>IF(AY10&lt;&gt;"",AY10,IF('설정'!$C$7="최소",AV10,AX10))</x:f>
        <x:v>530</x:v>
      </x:c>
      <x:c r="BA10" s="39" t="n">
        <x:f>IF(AZ10="","",IF(OR(AZ10&lt;'굴절률'!$A$6,AZ10&gt;'굴절률'!$A$44),"",IF(COUNTIFS('굴절률'!$A$6:$A$44,AZ10)&gt;0,INDEX('굴절률'!$C$6:$C$44,MATCH(AZ10,'굴절률'!$A$6:$A$44,0)),INDEX('굴절률'!$C$6:$C$44,MATCH(AZ10,'굴절률'!$A$6:$A$44,1))+(AZ10-INDEX('굴절률'!$A$6:$A$44,MATCH(AZ10,'굴절률'!$A$6:$A$44,1)))*(INDEX('굴절률'!$C$6:$C$44,MATCH(AZ10,'굴절률'!$A$6:$A$44,1)+1)-INDEX('굴절률'!$C$6:$C$44,MATCH(AZ10,'굴절률'!$A$6:$A$44,1)))/(INDEX('굴절률'!$A$6:$A$44,MATCH(AZ10,'굴절률'!$A$6:$A$44,1)+1)-INDEX('굴절률'!$A$6:$A$44,MATCH(AZ10,'굴절률'!$A$6:$A$44,1))))))</x:f>
        <x:v>2.32981</x:v>
      </x:c>
      <x:c r="BB10" s="39" t="n">
        <x:f>IF(BA10="","",COS(ASIN(SIN(RADIANS('설정'!$G$7))/BA10)))</x:f>
        <x:v>1</x:v>
      </x:c>
      <x:c r="BC10" s="40" t="n">
        <x:f>IF(OR(AZ10="",BA10="",BB10=""),"",IF('설정'!$C$7="최소",'설정'!$D$7*AZ10/(2*BA10*BB10),(2*'설정'!$D$7-1)*AZ10/(4*BA10*BB10)))</x:f>
        <x:v>113.7431807743979</x:v>
      </x:c>
      <x:c r="BD10" s="42" t="str">
        <x:f>IF(COUNT(H10:AT10)=0,"입력 필요",IF(COUNT(H10:AT10)&lt;&gt;39,"데이터 점검",IF(OR('설정'!$E$7&gt;'설정'!$F$7,'설정'!$E$7&lt;360,'설정'!$F$7&gt;740),"검색 범위 오류",IF(AY10&lt;&gt;"","수동 파장",IF(OR(AZ10='설정'!$E$7,AZ10='설정'!$F$7),"경계 극값 확인",IF(COUNTIFS(H10:AT10,IF('설정'!$C$7="최소",AU10,AW10),$H$5:$AT$5,"&gt;="&amp;'설정'!$E$7,$H$5:$AT$5,"&lt;="&amp;'설정'!$F$7)&gt;1,"복수 극값 평균","완료"))))))</x:f>
        <x:v>완료</x:v>
      </x:c>
      <x:c r="BE10" s="71" t="str">
        <x:f>IF(AND(BE$5&gt;='설정'!$E$7,BE$5&lt;='설정'!$F$7),H10,"")</x:f>
      </x:c>
      <x:c r="BF10" s="71" t="str">
        <x:f>IF(AND(BF$5&gt;='설정'!$E$7,BF$5&lt;='설정'!$F$7),I10,"")</x:f>
      </x:c>
      <x:c r="BG10" s="71" t="str">
        <x:f>IF(AND(BG$5&gt;='설정'!$E$7,BG$5&lt;='설정'!$F$7),J10,"")</x:f>
      </x:c>
      <x:c r="BH10" s="71" t="str">
        <x:f>IF(AND(BH$5&gt;='설정'!$E$7,BH$5&lt;='설정'!$F$7),K10,"")</x:f>
      </x:c>
      <x:c r="BI10" s="71" t="str">
        <x:f>IF(AND(BI$5&gt;='설정'!$E$7,BI$5&lt;='설정'!$F$7),L10,"")</x:f>
      </x:c>
      <x:c r="BJ10" s="71" t="str">
        <x:f>IF(AND(BJ$5&gt;='설정'!$E$7,BJ$5&lt;='설정'!$F$7),M10,"")</x:f>
      </x:c>
      <x:c r="BK10" s="71" t="str">
        <x:f>IF(AND(BK$5&gt;='설정'!$E$7,BK$5&lt;='설정'!$F$7),N10,"")</x:f>
      </x:c>
      <x:c r="BL10" s="71" t="n">
        <x:f>IF(AND(BL$5&gt;='설정'!$E$7,BL$5&lt;='설정'!$F$7),O10,"")</x:f>
        <x:v>26.23</x:v>
      </x:c>
      <x:c r="BM10" s="71" t="n">
        <x:f>IF(AND(BM$5&gt;='설정'!$E$7,BM$5&lt;='설정'!$F$7),P10,"")</x:f>
        <x:v>23.53</x:v>
      </x:c>
      <x:c r="BN10" s="71" t="n">
        <x:f>IF(AND(BN$5&gt;='설정'!$E$7,BN$5&lt;='설정'!$F$7),Q10,"")</x:f>
        <x:v>21.25</x:v>
      </x:c>
      <x:c r="BO10" s="71" t="n">
        <x:f>IF(AND(BO$5&gt;='설정'!$E$7,BO$5&lt;='설정'!$F$7),R10,"")</x:f>
        <x:v>18.95</x:v>
      </x:c>
      <x:c r="BP10" s="71" t="n">
        <x:f>IF(AND(BP$5&gt;='설정'!$E$7,BP$5&lt;='설정'!$F$7),S10,"")</x:f>
        <x:v>17.1</x:v>
      </x:c>
      <x:c r="BQ10" s="71" t="n">
        <x:f>IF(AND(BQ$5&gt;='설정'!$E$7,BQ$5&lt;='설정'!$F$7),T10,"")</x:f>
        <x:v>15.43</x:v>
      </x:c>
      <x:c r="BR10" s="71" t="n">
        <x:f>IF(AND(BR$5&gt;='설정'!$E$7,BR$5&lt;='설정'!$F$7),U10,"")</x:f>
        <x:v>14.2</x:v>
      </x:c>
      <x:c r="BS10" s="71" t="n">
        <x:f>IF(AND(BS$5&gt;='설정'!$E$7,BS$5&lt;='설정'!$F$7),V10,"")</x:f>
        <x:v>13.23</x:v>
      </x:c>
      <x:c r="BT10" s="71" t="n">
        <x:f>IF(AND(BT$5&gt;='설정'!$E$7,BT$5&lt;='설정'!$F$7),W10,"")</x:f>
        <x:v>12.61</x:v>
      </x:c>
      <x:c r="BU10" s="71" t="n">
        <x:f>IF(AND(BU$5&gt;='설정'!$E$7,BU$5&lt;='설정'!$F$7),X10,"")</x:f>
        <x:v>12.28</x:v>
      </x:c>
      <x:c r="BV10" s="71" t="n">
        <x:f>IF(AND(BV$5&gt;='설정'!$E$7,BV$5&lt;='설정'!$F$7),Y10,"")</x:f>
        <x:v>12.22</x:v>
      </x:c>
      <x:c r="BW10" s="71" t="n">
        <x:f>IF(AND(BW$5&gt;='설정'!$E$7,BW$5&lt;='설정'!$F$7),Z10,"")</x:f>
        <x:v>12.38</x:v>
      </x:c>
      <x:c r="BX10" s="71" t="n">
        <x:f>IF(AND(BX$5&gt;='설정'!$E$7,BX$5&lt;='설정'!$F$7),AA10,"")</x:f>
        <x:v>12.68</x:v>
      </x:c>
      <x:c r="BY10" s="71" t="n">
        <x:f>IF(AND(BY$5&gt;='설정'!$E$7,BY$5&lt;='설정'!$F$7),AB10,"")</x:f>
        <x:v>13.16</x:v>
      </x:c>
      <x:c r="BZ10" s="71" t="n">
        <x:f>IF(AND(BZ$5&gt;='설정'!$E$7,BZ$5&lt;='설정'!$F$7),AC10,"")</x:f>
        <x:v>13.76</x:v>
      </x:c>
      <x:c r="CA10" s="71" t="n">
        <x:f>IF(AND(CA$5&gt;='설정'!$E$7,CA$5&lt;='설정'!$F$7),AD10,"")</x:f>
        <x:v>14.43</x:v>
      </x:c>
      <x:c r="CB10" s="71" t="n">
        <x:f>IF(AND(CB$5&gt;='설정'!$E$7,CB$5&lt;='설정'!$F$7),AE10,"")</x:f>
        <x:v>15.16</x:v>
      </x:c>
      <x:c r="CC10" s="71" t="n">
        <x:f>IF(AND(CC$5&gt;='설정'!$E$7,CC$5&lt;='설정'!$F$7),AF10,"")</x:f>
        <x:v>15.93</x:v>
      </x:c>
      <x:c r="CD10" s="71" t="str">
        <x:f>IF(AND(CD$5&gt;='설정'!$E$7,CD$5&lt;='설정'!$F$7),AG10,"")</x:f>
      </x:c>
      <x:c r="CE10" s="71" t="str">
        <x:f>IF(AND(CE$5&gt;='설정'!$E$7,CE$5&lt;='설정'!$F$7),AH10,"")</x:f>
      </x:c>
      <x:c r="CF10" s="71" t="str">
        <x:f>IF(AND(CF$5&gt;='설정'!$E$7,CF$5&lt;='설정'!$F$7),AI10,"")</x:f>
      </x:c>
      <x:c r="CG10" s="71" t="str">
        <x:f>IF(AND(CG$5&gt;='설정'!$E$7,CG$5&lt;='설정'!$F$7),AJ10,"")</x:f>
      </x:c>
      <x:c r="CH10" s="71" t="str">
        <x:f>IF(AND(CH$5&gt;='설정'!$E$7,CH$5&lt;='설정'!$F$7),AK10,"")</x:f>
      </x:c>
      <x:c r="CI10" s="71" t="str">
        <x:f>IF(AND(CI$5&gt;='설정'!$E$7,CI$5&lt;='설정'!$F$7),AL10,"")</x:f>
      </x:c>
      <x:c r="CJ10" s="71" t="str">
        <x:f>IF(AND(CJ$5&gt;='설정'!$E$7,CJ$5&lt;='설정'!$F$7),AM10,"")</x:f>
      </x:c>
      <x:c r="CK10" s="71" t="str">
        <x:f>IF(AND(CK$5&gt;='설정'!$E$7,CK$5&lt;='설정'!$F$7),AN10,"")</x:f>
      </x:c>
      <x:c r="CL10" s="71" t="str">
        <x:f>IF(AND(CL$5&gt;='설정'!$E$7,CL$5&lt;='설정'!$F$7),AO10,"")</x:f>
      </x:c>
      <x:c r="CM10" s="71" t="str">
        <x:f>IF(AND(CM$5&gt;='설정'!$E$7,CM$5&lt;='설정'!$F$7),AP10,"")</x:f>
      </x:c>
      <x:c r="CN10" s="71" t="str">
        <x:f>IF(AND(CN$5&gt;='설정'!$E$7,CN$5&lt;='설정'!$F$7),AQ10,"")</x:f>
      </x:c>
      <x:c r="CO10" s="71" t="str">
        <x:f>IF(AND(CO$5&gt;='설정'!$E$7,CO$5&lt;='설정'!$F$7),AR10,"")</x:f>
      </x:c>
      <x:c r="CP10" s="71" t="str">
        <x:f>IF(AND(CP$5&gt;='설정'!$E$7,CP$5&lt;='설정'!$F$7),AS10,"")</x:f>
      </x:c>
      <x:c r="CQ10" s="71" t="str">
        <x:f>IF(AND(CQ$5&gt;='설정'!$E$7,CQ$5&lt;='설정'!$F$7),AT10,"")</x:f>
      </x:c>
    </x:row>
    <x:row r="11" ht="20" customHeight="1">
      <x:c r="A11" s="46" t="n">
        <x:v>6</x:v>
      </x:c>
      <x:c r="B11" s="44" t="str">
        <x:v>Nb2O5 균일도_06</x:v>
      </x:c>
      <x:c r="C11" s="61" t="n">
        <x:v>44.77</x:v>
      </x:c>
      <x:c r="D11" s="61" t="n">
        <x:v>14.18</x:v>
      </x:c>
      <x:c r="E11" s="61" t="n">
        <x:v>-13.36</x:v>
      </x:c>
      <x:c r="F11" s="61" t="n">
        <x:v>14.37</x:v>
      </x:c>
      <x:c r="G11" s="44" t="str">
        <x:v>SCI</x:v>
      </x:c>
      <x:c r="H11" s="61" t="n">
        <x:v>33.37</x:v>
      </x:c>
      <x:c r="I11" s="61" t="n">
        <x:v>35.66</x:v>
      </x:c>
      <x:c r="J11" s="61" t="n">
        <x:v>35.74</x:v>
      </x:c>
      <x:c r="K11" s="61" t="n">
        <x:v>34.73</x:v>
      </x:c>
      <x:c r="L11" s="61" t="n">
        <x:v>32.97</x:v>
      </x:c>
      <x:c r="M11" s="61" t="n">
        <x:v>30.64</x:v>
      </x:c>
      <x:c r="N11" s="61" t="n">
        <x:v>28.05</x:v>
      </x:c>
      <x:c r="O11" s="61" t="n">
        <x:v>25.53</x:v>
      </x:c>
      <x:c r="P11" s="61" t="n">
        <x:v>22.85</x:v>
      </x:c>
      <x:c r="Q11" s="61" t="n">
        <x:v>20.62</x:v>
      </x:c>
      <x:c r="R11" s="61" t="n">
        <x:v>18.34</x:v>
      </x:c>
      <x:c r="S11" s="61" t="n">
        <x:v>16.55</x:v>
      </x:c>
      <x:c r="T11" s="61" t="n">
        <x:v>14.94</x:v>
      </x:c>
      <x:c r="U11" s="61" t="n">
        <x:v>13.87</x:v>
      </x:c>
      <x:c r="V11" s="61" t="n">
        <x:v>12.99</x:v>
      </x:c>
      <x:c r="W11" s="61" t="n">
        <x:v>12.46</x:v>
      </x:c>
      <x:c r="X11" s="61" t="n">
        <x:v>12.22</x:v>
      </x:c>
      <x:c r="Y11" s="61" t="n">
        <x:v>12.24</x:v>
      </x:c>
      <x:c r="Z11" s="61" t="n">
        <x:v>12.45</x:v>
      </x:c>
      <x:c r="AA11" s="61" t="n">
        <x:v>12.83</x:v>
      </x:c>
      <x:c r="AB11" s="61" t="n">
        <x:v>13.37</x:v>
      </x:c>
      <x:c r="AC11" s="61" t="n">
        <x:v>14.01</x:v>
      </x:c>
      <x:c r="AD11" s="61" t="n">
        <x:v>14.71</x:v>
      </x:c>
      <x:c r="AE11" s="61" t="n">
        <x:v>15.46</x:v>
      </x:c>
      <x:c r="AF11" s="61" t="n">
        <x:v>16.24</x:v>
      </x:c>
      <x:c r="AG11" s="61" t="n">
        <x:v>17.04</x:v>
      </x:c>
      <x:c r="AH11" s="61" t="n">
        <x:v>17.81</x:v>
      </x:c>
      <x:c r="AI11" s="61" t="n">
        <x:v>18.58</x:v>
      </x:c>
      <x:c r="AJ11" s="61" t="n">
        <x:v>19.36</x:v>
      </x:c>
      <x:c r="AK11" s="61" t="n">
        <x:v>20.07</x:v>
      </x:c>
      <x:c r="AL11" s="61" t="n">
        <x:v>20.8</x:v>
      </x:c>
      <x:c r="AM11" s="61" t="n">
        <x:v>21.44</x:v>
      </x:c>
      <x:c r="AN11" s="61" t="n">
        <x:v>22.08</x:v>
      </x:c>
      <x:c r="AO11" s="61" t="n">
        <x:v>22.68</x:v>
      </x:c>
      <x:c r="AP11" s="61" t="n">
        <x:v>23.24</x:v>
      </x:c>
      <x:c r="AQ11" s="61" t="n">
        <x:v>23.79</x:v>
      </x:c>
      <x:c r="AR11" s="61" t="n">
        <x:v>24.21</x:v>
      </x:c>
      <x:c r="AS11" s="61" t="n">
        <x:v>24.72</x:v>
      </x:c>
      <x:c r="AT11" s="61" t="n">
        <x:v>25.21</x:v>
      </x:c>
      <x:c r="AU11" s="40" t="n">
        <x:f>IF(OR('설정'!$E$7&gt;'설정'!$F$7,COUNT(H11:AT11)=0),"",MIN(BE11:CQ11))</x:f>
        <x:v>12.22</x:v>
      </x:c>
      <x:c r="AV11" s="40" t="n">
        <x:f>IF(AU11="","",SUMIFS($BE$5:$CQ$5,BE11:CQ11,AU11)/COUNTIFS(BE11:CQ11,AU11))</x:f>
        <x:v>520</x:v>
      </x:c>
      <x:c r="AW11" s="40" t="n">
        <x:f>IF(OR('설정'!$E$7&gt;'설정'!$F$7,COUNT(H11:AT11)=0),"",MAX(BE11:CQ11))</x:f>
        <x:v>25.53</x:v>
      </x:c>
      <x:c r="AX11" s="40" t="n">
        <x:f>IF(AW11="","",SUMIFS($BE$5:$CQ$5,BE11:CQ11,AW11)/COUNTIFS(BE11:CQ11,AW11))</x:f>
        <x:v>430</x:v>
      </x:c>
      <x:c r="AY11" s="66"/>
      <x:c r="AZ11" s="38" t="n">
        <x:f>IF(AY11&lt;&gt;"",AY11,IF('설정'!$C$7="최소",AV11,AX11))</x:f>
        <x:v>520</x:v>
      </x:c>
      <x:c r="BA11" s="39" t="n">
        <x:f>IF(AZ11="","",IF(OR(AZ11&lt;'굴절률'!$A$6,AZ11&gt;'굴절률'!$A$44),"",IF(COUNTIFS('굴절률'!$A$6:$A$44,AZ11)&gt;0,INDEX('굴절률'!$C$6:$C$44,MATCH(AZ11,'굴절률'!$A$6:$A$44,0)),INDEX('굴절률'!$C$6:$C$44,MATCH(AZ11,'굴절률'!$A$6:$A$44,1))+(AZ11-INDEX('굴절률'!$A$6:$A$44,MATCH(AZ11,'굴절률'!$A$6:$A$44,1)))*(INDEX('굴절률'!$C$6:$C$44,MATCH(AZ11,'굴절률'!$A$6:$A$44,1)+1)-INDEX('굴절률'!$C$6:$C$44,MATCH(AZ11,'굴절률'!$A$6:$A$44,1)))/(INDEX('굴절률'!$A$6:$A$44,MATCH(AZ11,'굴절률'!$A$6:$A$44,1)+1)-INDEX('굴절률'!$A$6:$A$44,MATCH(AZ11,'굴절률'!$A$6:$A$44,1))))))</x:f>
        <x:v>2.33468</x:v>
      </x:c>
      <x:c r="BB11" s="39" t="n">
        <x:f>IF(BA11="","",COS(ASIN(SIN(RADIANS('설정'!$G$7))/BA11)))</x:f>
        <x:v>1</x:v>
      </x:c>
      <x:c r="BC11" s="40" t="n">
        <x:f>IF(OR(AZ11="",BA11="",BB11=""),"",IF('설정'!$C$7="최소",'설정'!$D$7*AZ11/(2*BA11*BB11),(2*'설정'!$D$7-1)*AZ11/(4*BA11*BB11)))</x:f>
        <x:v>111.36429831925574</x:v>
      </x:c>
      <x:c r="BD11" s="42" t="str">
        <x:f>IF(COUNT(H11:AT11)=0,"입력 필요",IF(COUNT(H11:AT11)&lt;&gt;39,"데이터 점검",IF(OR('설정'!$E$7&gt;'설정'!$F$7,'설정'!$E$7&lt;360,'설정'!$F$7&gt;740),"검색 범위 오류",IF(AY11&lt;&gt;"","수동 파장",IF(OR(AZ11='설정'!$E$7,AZ11='설정'!$F$7),"경계 극값 확인",IF(COUNTIFS(H11:AT11,IF('설정'!$C$7="최소",AU11,AW11),$H$5:$AT$5,"&gt;="&amp;'설정'!$E$7,$H$5:$AT$5,"&lt;="&amp;'설정'!$F$7)&gt;1,"복수 극값 평균","완료"))))))</x:f>
        <x:v>완료</x:v>
      </x:c>
      <x:c r="BE11" s="71" t="str">
        <x:f>IF(AND(BE$5&gt;='설정'!$E$7,BE$5&lt;='설정'!$F$7),H11,"")</x:f>
      </x:c>
      <x:c r="BF11" s="71" t="str">
        <x:f>IF(AND(BF$5&gt;='설정'!$E$7,BF$5&lt;='설정'!$F$7),I11,"")</x:f>
      </x:c>
      <x:c r="BG11" s="71" t="str">
        <x:f>IF(AND(BG$5&gt;='설정'!$E$7,BG$5&lt;='설정'!$F$7),J11,"")</x:f>
      </x:c>
      <x:c r="BH11" s="71" t="str">
        <x:f>IF(AND(BH$5&gt;='설정'!$E$7,BH$5&lt;='설정'!$F$7),K11,"")</x:f>
      </x:c>
      <x:c r="BI11" s="71" t="str">
        <x:f>IF(AND(BI$5&gt;='설정'!$E$7,BI$5&lt;='설정'!$F$7),L11,"")</x:f>
      </x:c>
      <x:c r="BJ11" s="71" t="str">
        <x:f>IF(AND(BJ$5&gt;='설정'!$E$7,BJ$5&lt;='설정'!$F$7),M11,"")</x:f>
      </x:c>
      <x:c r="BK11" s="71" t="str">
        <x:f>IF(AND(BK$5&gt;='설정'!$E$7,BK$5&lt;='설정'!$F$7),N11,"")</x:f>
      </x:c>
      <x:c r="BL11" s="71" t="n">
        <x:f>IF(AND(BL$5&gt;='설정'!$E$7,BL$5&lt;='설정'!$F$7),O11,"")</x:f>
        <x:v>25.53</x:v>
      </x:c>
      <x:c r="BM11" s="71" t="n">
        <x:f>IF(AND(BM$5&gt;='설정'!$E$7,BM$5&lt;='설정'!$F$7),P11,"")</x:f>
        <x:v>22.85</x:v>
      </x:c>
      <x:c r="BN11" s="71" t="n">
        <x:f>IF(AND(BN$5&gt;='설정'!$E$7,BN$5&lt;='설정'!$F$7),Q11,"")</x:f>
        <x:v>20.62</x:v>
      </x:c>
      <x:c r="BO11" s="71" t="n">
        <x:f>IF(AND(BO$5&gt;='설정'!$E$7,BO$5&lt;='설정'!$F$7),R11,"")</x:f>
        <x:v>18.34</x:v>
      </x:c>
      <x:c r="BP11" s="71" t="n">
        <x:f>IF(AND(BP$5&gt;='설정'!$E$7,BP$5&lt;='설정'!$F$7),S11,"")</x:f>
        <x:v>16.55</x:v>
      </x:c>
      <x:c r="BQ11" s="71" t="n">
        <x:f>IF(AND(BQ$5&gt;='설정'!$E$7,BQ$5&lt;='설정'!$F$7),T11,"")</x:f>
        <x:v>14.94</x:v>
      </x:c>
      <x:c r="BR11" s="71" t="n">
        <x:f>IF(AND(BR$5&gt;='설정'!$E$7,BR$5&lt;='설정'!$F$7),U11,"")</x:f>
        <x:v>13.87</x:v>
      </x:c>
      <x:c r="BS11" s="71" t="n">
        <x:f>IF(AND(BS$5&gt;='설정'!$E$7,BS$5&lt;='설정'!$F$7),V11,"")</x:f>
        <x:v>12.99</x:v>
      </x:c>
      <x:c r="BT11" s="71" t="n">
        <x:f>IF(AND(BT$5&gt;='설정'!$E$7,BT$5&lt;='설정'!$F$7),W11,"")</x:f>
        <x:v>12.46</x:v>
      </x:c>
      <x:c r="BU11" s="71" t="n">
        <x:f>IF(AND(BU$5&gt;='설정'!$E$7,BU$5&lt;='설정'!$F$7),X11,"")</x:f>
        <x:v>12.22</x:v>
      </x:c>
      <x:c r="BV11" s="71" t="n">
        <x:f>IF(AND(BV$5&gt;='설정'!$E$7,BV$5&lt;='설정'!$F$7),Y11,"")</x:f>
        <x:v>12.24</x:v>
      </x:c>
      <x:c r="BW11" s="71" t="n">
        <x:f>IF(AND(BW$5&gt;='설정'!$E$7,BW$5&lt;='설정'!$F$7),Z11,"")</x:f>
        <x:v>12.45</x:v>
      </x:c>
      <x:c r="BX11" s="71" t="n">
        <x:f>IF(AND(BX$5&gt;='설정'!$E$7,BX$5&lt;='설정'!$F$7),AA11,"")</x:f>
        <x:v>12.83</x:v>
      </x:c>
      <x:c r="BY11" s="71" t="n">
        <x:f>IF(AND(BY$5&gt;='설정'!$E$7,BY$5&lt;='설정'!$F$7),AB11,"")</x:f>
        <x:v>13.37</x:v>
      </x:c>
      <x:c r="BZ11" s="71" t="n">
        <x:f>IF(AND(BZ$5&gt;='설정'!$E$7,BZ$5&lt;='설정'!$F$7),AC11,"")</x:f>
        <x:v>14.01</x:v>
      </x:c>
      <x:c r="CA11" s="71" t="n">
        <x:f>IF(AND(CA$5&gt;='설정'!$E$7,CA$5&lt;='설정'!$F$7),AD11,"")</x:f>
        <x:v>14.71</x:v>
      </x:c>
      <x:c r="CB11" s="71" t="n">
        <x:f>IF(AND(CB$5&gt;='설정'!$E$7,CB$5&lt;='설정'!$F$7),AE11,"")</x:f>
        <x:v>15.46</x:v>
      </x:c>
      <x:c r="CC11" s="71" t="n">
        <x:f>IF(AND(CC$5&gt;='설정'!$E$7,CC$5&lt;='설정'!$F$7),AF11,"")</x:f>
        <x:v>16.24</x:v>
      </x:c>
      <x:c r="CD11" s="71" t="str">
        <x:f>IF(AND(CD$5&gt;='설정'!$E$7,CD$5&lt;='설정'!$F$7),AG11,"")</x:f>
      </x:c>
      <x:c r="CE11" s="71" t="str">
        <x:f>IF(AND(CE$5&gt;='설정'!$E$7,CE$5&lt;='설정'!$F$7),AH11,"")</x:f>
      </x:c>
      <x:c r="CF11" s="71" t="str">
        <x:f>IF(AND(CF$5&gt;='설정'!$E$7,CF$5&lt;='설정'!$F$7),AI11,"")</x:f>
      </x:c>
      <x:c r="CG11" s="71" t="str">
        <x:f>IF(AND(CG$5&gt;='설정'!$E$7,CG$5&lt;='설정'!$F$7),AJ11,"")</x:f>
      </x:c>
      <x:c r="CH11" s="71" t="str">
        <x:f>IF(AND(CH$5&gt;='설정'!$E$7,CH$5&lt;='설정'!$F$7),AK11,"")</x:f>
      </x:c>
      <x:c r="CI11" s="71" t="str">
        <x:f>IF(AND(CI$5&gt;='설정'!$E$7,CI$5&lt;='설정'!$F$7),AL11,"")</x:f>
      </x:c>
      <x:c r="CJ11" s="71" t="str">
        <x:f>IF(AND(CJ$5&gt;='설정'!$E$7,CJ$5&lt;='설정'!$F$7),AM11,"")</x:f>
      </x:c>
      <x:c r="CK11" s="71" t="str">
        <x:f>IF(AND(CK$5&gt;='설정'!$E$7,CK$5&lt;='설정'!$F$7),AN11,"")</x:f>
      </x:c>
      <x:c r="CL11" s="71" t="str">
        <x:f>IF(AND(CL$5&gt;='설정'!$E$7,CL$5&lt;='설정'!$F$7),AO11,"")</x:f>
      </x:c>
      <x:c r="CM11" s="71" t="str">
        <x:f>IF(AND(CM$5&gt;='설정'!$E$7,CM$5&lt;='설정'!$F$7),AP11,"")</x:f>
      </x:c>
      <x:c r="CN11" s="71" t="str">
        <x:f>IF(AND(CN$5&gt;='설정'!$E$7,CN$5&lt;='설정'!$F$7),AQ11,"")</x:f>
      </x:c>
      <x:c r="CO11" s="71" t="str">
        <x:f>IF(AND(CO$5&gt;='설정'!$E$7,CO$5&lt;='설정'!$F$7),AR11,"")</x:f>
      </x:c>
      <x:c r="CP11" s="71" t="str">
        <x:f>IF(AND(CP$5&gt;='설정'!$E$7,CP$5&lt;='설정'!$F$7),AS11,"")</x:f>
      </x:c>
      <x:c r="CQ11" s="71" t="str">
        <x:f>IF(AND(CQ$5&gt;='설정'!$E$7,CQ$5&lt;='설정'!$F$7),AT11,"")</x:f>
      </x:c>
    </x:row>
    <x:row r="12" ht="20" customHeight="1">
      <x:c r="A12" s="46" t="n">
        <x:v>7</x:v>
      </x:c>
      <x:c r="B12" s="44" t="str">
        <x:v>Nb2O5 균일도_07</x:v>
      </x:c>
      <x:c r="C12" s="61" t="n">
        <x:v>45.07</x:v>
      </x:c>
      <x:c r="D12" s="61" t="n">
        <x:v>14.16</x:v>
      </x:c>
      <x:c r="E12" s="61" t="n">
        <x:v>-10.45</x:v>
      </x:c>
      <x:c r="F12" s="61" t="n">
        <x:v>14.59</x:v>
      </x:c>
      <x:c r="G12" s="44" t="str">
        <x:v>SCI</x:v>
      </x:c>
      <x:c r="H12" s="61" t="n">
        <x:v>34.57</x:v>
      </x:c>
      <x:c r="I12" s="61" t="n">
        <x:v>36.08</x:v>
      </x:c>
      <x:c r="J12" s="61" t="n">
        <x:v>35.58</x:v>
      </x:c>
      <x:c r="K12" s="61" t="n">
        <x:v>34.14</x:v>
      </x:c>
      <x:c r="L12" s="61" t="n">
        <x:v>32.04</x:v>
      </x:c>
      <x:c r="M12" s="61" t="n">
        <x:v>29.44</x:v>
      </x:c>
      <x:c r="N12" s="61" t="n">
        <x:v>26.72</x:v>
      </x:c>
      <x:c r="O12" s="61" t="n">
        <x:v>24.12</x:v>
      </x:c>
      <x:c r="P12" s="61" t="n">
        <x:v>21.43</x:v>
      </x:c>
      <x:c r="Q12" s="61" t="n">
        <x:v>19.17</x:v>
      </x:c>
      <x:c r="R12" s="61" t="n">
        <x:v>17.13</x:v>
      </x:c>
      <x:c r="S12" s="61" t="n">
        <x:v>15.48</x:v>
      </x:c>
      <x:c r="T12" s="61" t="n">
        <x:v>14.08</x:v>
      </x:c>
      <x:c r="U12" s="61" t="n">
        <x:v>13.19</x:v>
      </x:c>
      <x:c r="V12" s="61" t="n">
        <x:v>12.53</x:v>
      </x:c>
      <x:c r="W12" s="61" t="n">
        <x:v>12.22</x:v>
      </x:c>
      <x:c r="X12" s="61" t="n">
        <x:v>12.16</x:v>
      </x:c>
      <x:c r="Y12" s="61" t="n">
        <x:v>12.34</x:v>
      </x:c>
      <x:c r="Z12" s="61" t="n">
        <x:v>12.72</x:v>
      </x:c>
      <x:c r="AA12" s="61" t="n">
        <x:v>13.21</x:v>
      </x:c>
      <x:c r="AB12" s="61" t="n">
        <x:v>13.87</x:v>
      </x:c>
      <x:c r="AC12" s="61" t="n">
        <x:v>14.59</x:v>
      </x:c>
      <x:c r="AD12" s="61" t="n">
        <x:v>15.35</x:v>
      </x:c>
      <x:c r="AE12" s="61" t="n">
        <x:v>16.14</x:v>
      </x:c>
      <x:c r="AF12" s="61" t="n">
        <x:v>16.95</x:v>
      </x:c>
      <x:c r="AG12" s="61" t="n">
        <x:v>17.74</x:v>
      </x:c>
      <x:c r="AH12" s="61" t="n">
        <x:v>18.55</x:v>
      </x:c>
      <x:c r="AI12" s="61" t="n">
        <x:v>19.29</x:v>
      </x:c>
      <x:c r="AJ12" s="61" t="n">
        <x:v>20.08</x:v>
      </x:c>
      <x:c r="AK12" s="61" t="n">
        <x:v>20.76</x:v>
      </x:c>
      <x:c r="AL12" s="61" t="n">
        <x:v>21.48</x:v>
      </x:c>
      <x:c r="AM12" s="61" t="n">
        <x:v>22.14</x:v>
      </x:c>
      <x:c r="AN12" s="61" t="n">
        <x:v>22.72</x:v>
      </x:c>
      <x:c r="AO12" s="61" t="n">
        <x:v>23.3</x:v>
      </x:c>
      <x:c r="AP12" s="61" t="n">
        <x:v>23.79</x:v>
      </x:c>
      <x:c r="AQ12" s="61" t="n">
        <x:v>24.29</x:v>
      </x:c>
      <x:c r="AR12" s="61" t="n">
        <x:v>24.71</x:v>
      </x:c>
      <x:c r="AS12" s="61" t="n">
        <x:v>25.21</x:v>
      </x:c>
      <x:c r="AT12" s="61" t="n">
        <x:v>25.63</x:v>
      </x:c>
      <x:c r="AU12" s="40" t="n">
        <x:f>IF(OR('설정'!$E$7&gt;'설정'!$F$7,COUNT(H12:AT12)=0),"",MIN(BE12:CQ12))</x:f>
        <x:v>12.16</x:v>
      </x:c>
      <x:c r="AV12" s="40" t="n">
        <x:f>IF(AU12="","",SUMIFS($BE$5:$CQ$5,BE12:CQ12,AU12)/COUNTIFS(BE12:CQ12,AU12))</x:f>
        <x:v>520</x:v>
      </x:c>
      <x:c r="AW12" s="40" t="n">
        <x:f>IF(OR('설정'!$E$7&gt;'설정'!$F$7,COUNT(H12:AT12)=0),"",MAX(BE12:CQ12))</x:f>
        <x:v>24.12</x:v>
      </x:c>
      <x:c r="AX12" s="40" t="n">
        <x:f>IF(AW12="","",SUMIFS($BE$5:$CQ$5,BE12:CQ12,AW12)/COUNTIFS(BE12:CQ12,AW12))</x:f>
        <x:v>430</x:v>
      </x:c>
      <x:c r="AY12" s="66"/>
      <x:c r="AZ12" s="38" t="n">
        <x:f>IF(AY12&lt;&gt;"",AY12,IF('설정'!$C$7="최소",AV12,AX12))</x:f>
        <x:v>520</x:v>
      </x:c>
      <x:c r="BA12" s="39" t="n">
        <x:f>IF(AZ12="","",IF(OR(AZ12&lt;'굴절률'!$A$6,AZ12&gt;'굴절률'!$A$44),"",IF(COUNTIFS('굴절률'!$A$6:$A$44,AZ12)&gt;0,INDEX('굴절률'!$C$6:$C$44,MATCH(AZ12,'굴절률'!$A$6:$A$44,0)),INDEX('굴절률'!$C$6:$C$44,MATCH(AZ12,'굴절률'!$A$6:$A$44,1))+(AZ12-INDEX('굴절률'!$A$6:$A$44,MATCH(AZ12,'굴절률'!$A$6:$A$44,1)))*(INDEX('굴절률'!$C$6:$C$44,MATCH(AZ12,'굴절률'!$A$6:$A$44,1)+1)-INDEX('굴절률'!$C$6:$C$44,MATCH(AZ12,'굴절률'!$A$6:$A$44,1)))/(INDEX('굴절률'!$A$6:$A$44,MATCH(AZ12,'굴절률'!$A$6:$A$44,1)+1)-INDEX('굴절률'!$A$6:$A$44,MATCH(AZ12,'굴절률'!$A$6:$A$44,1))))))</x:f>
        <x:v>2.33468</x:v>
      </x:c>
      <x:c r="BB12" s="39" t="n">
        <x:f>IF(BA12="","",COS(ASIN(SIN(RADIANS('설정'!$G$7))/BA12)))</x:f>
        <x:v>1</x:v>
      </x:c>
      <x:c r="BC12" s="40" t="n">
        <x:f>IF(OR(AZ12="",BA12="",BB12=""),"",IF('설정'!$C$7="최소",'설정'!$D$7*AZ12/(2*BA12*BB12),(2*'설정'!$D$7-1)*AZ12/(4*BA12*BB12)))</x:f>
        <x:v>111.36429831925574</x:v>
      </x:c>
      <x:c r="BD12" s="42" t="str">
        <x:f>IF(COUNT(H12:AT12)=0,"입력 필요",IF(COUNT(H12:AT12)&lt;&gt;39,"데이터 점검",IF(OR('설정'!$E$7&gt;'설정'!$F$7,'설정'!$E$7&lt;360,'설정'!$F$7&gt;740),"검색 범위 오류",IF(AY12&lt;&gt;"","수동 파장",IF(OR(AZ12='설정'!$E$7,AZ12='설정'!$F$7),"경계 극값 확인",IF(COUNTIFS(H12:AT12,IF('설정'!$C$7="최소",AU12,AW12),$H$5:$AT$5,"&gt;="&amp;'설정'!$E$7,$H$5:$AT$5,"&lt;="&amp;'설정'!$F$7)&gt;1,"복수 극값 평균","완료"))))))</x:f>
        <x:v>완료</x:v>
      </x:c>
      <x:c r="BE12" s="71" t="str">
        <x:f>IF(AND(BE$5&gt;='설정'!$E$7,BE$5&lt;='설정'!$F$7),H12,"")</x:f>
      </x:c>
      <x:c r="BF12" s="71" t="str">
        <x:f>IF(AND(BF$5&gt;='설정'!$E$7,BF$5&lt;='설정'!$F$7),I12,"")</x:f>
      </x:c>
      <x:c r="BG12" s="71" t="str">
        <x:f>IF(AND(BG$5&gt;='설정'!$E$7,BG$5&lt;='설정'!$F$7),J12,"")</x:f>
      </x:c>
      <x:c r="BH12" s="71" t="str">
        <x:f>IF(AND(BH$5&gt;='설정'!$E$7,BH$5&lt;='설정'!$F$7),K12,"")</x:f>
      </x:c>
      <x:c r="BI12" s="71" t="str">
        <x:f>IF(AND(BI$5&gt;='설정'!$E$7,BI$5&lt;='설정'!$F$7),L12,"")</x:f>
      </x:c>
      <x:c r="BJ12" s="71" t="str">
        <x:f>IF(AND(BJ$5&gt;='설정'!$E$7,BJ$5&lt;='설정'!$F$7),M12,"")</x:f>
      </x:c>
      <x:c r="BK12" s="71" t="str">
        <x:f>IF(AND(BK$5&gt;='설정'!$E$7,BK$5&lt;='설정'!$F$7),N12,"")</x:f>
      </x:c>
      <x:c r="BL12" s="71" t="n">
        <x:f>IF(AND(BL$5&gt;='설정'!$E$7,BL$5&lt;='설정'!$F$7),O12,"")</x:f>
        <x:v>24.12</x:v>
      </x:c>
      <x:c r="BM12" s="71" t="n">
        <x:f>IF(AND(BM$5&gt;='설정'!$E$7,BM$5&lt;='설정'!$F$7),P12,"")</x:f>
        <x:v>21.43</x:v>
      </x:c>
      <x:c r="BN12" s="71" t="n">
        <x:f>IF(AND(BN$5&gt;='설정'!$E$7,BN$5&lt;='설정'!$F$7),Q12,"")</x:f>
        <x:v>19.17</x:v>
      </x:c>
      <x:c r="BO12" s="71" t="n">
        <x:f>IF(AND(BO$5&gt;='설정'!$E$7,BO$5&lt;='설정'!$F$7),R12,"")</x:f>
        <x:v>17.13</x:v>
      </x:c>
      <x:c r="BP12" s="71" t="n">
        <x:f>IF(AND(BP$5&gt;='설정'!$E$7,BP$5&lt;='설정'!$F$7),S12,"")</x:f>
        <x:v>15.48</x:v>
      </x:c>
      <x:c r="BQ12" s="71" t="n">
        <x:f>IF(AND(BQ$5&gt;='설정'!$E$7,BQ$5&lt;='설정'!$F$7),T12,"")</x:f>
        <x:v>14.08</x:v>
      </x:c>
      <x:c r="BR12" s="71" t="n">
        <x:f>IF(AND(BR$5&gt;='설정'!$E$7,BR$5&lt;='설정'!$F$7),U12,"")</x:f>
        <x:v>13.19</x:v>
      </x:c>
      <x:c r="BS12" s="71" t="n">
        <x:f>IF(AND(BS$5&gt;='설정'!$E$7,BS$5&lt;='설정'!$F$7),V12,"")</x:f>
        <x:v>12.53</x:v>
      </x:c>
      <x:c r="BT12" s="71" t="n">
        <x:f>IF(AND(BT$5&gt;='설정'!$E$7,BT$5&lt;='설정'!$F$7),W12,"")</x:f>
        <x:v>12.22</x:v>
      </x:c>
      <x:c r="BU12" s="71" t="n">
        <x:f>IF(AND(BU$5&gt;='설정'!$E$7,BU$5&lt;='설정'!$F$7),X12,"")</x:f>
        <x:v>12.16</x:v>
      </x:c>
      <x:c r="BV12" s="71" t="n">
        <x:f>IF(AND(BV$5&gt;='설정'!$E$7,BV$5&lt;='설정'!$F$7),Y12,"")</x:f>
        <x:v>12.34</x:v>
      </x:c>
      <x:c r="BW12" s="71" t="n">
        <x:f>IF(AND(BW$5&gt;='설정'!$E$7,BW$5&lt;='설정'!$F$7),Z12,"")</x:f>
        <x:v>12.72</x:v>
      </x:c>
      <x:c r="BX12" s="71" t="n">
        <x:f>IF(AND(BX$5&gt;='설정'!$E$7,BX$5&lt;='설정'!$F$7),AA12,"")</x:f>
        <x:v>13.21</x:v>
      </x:c>
      <x:c r="BY12" s="71" t="n">
        <x:f>IF(AND(BY$5&gt;='설정'!$E$7,BY$5&lt;='설정'!$F$7),AB12,"")</x:f>
        <x:v>13.87</x:v>
      </x:c>
      <x:c r="BZ12" s="71" t="n">
        <x:f>IF(AND(BZ$5&gt;='설정'!$E$7,BZ$5&lt;='설정'!$F$7),AC12,"")</x:f>
        <x:v>14.59</x:v>
      </x:c>
      <x:c r="CA12" s="71" t="n">
        <x:f>IF(AND(CA$5&gt;='설정'!$E$7,CA$5&lt;='설정'!$F$7),AD12,"")</x:f>
        <x:v>15.35</x:v>
      </x:c>
      <x:c r="CB12" s="71" t="n">
        <x:f>IF(AND(CB$5&gt;='설정'!$E$7,CB$5&lt;='설정'!$F$7),AE12,"")</x:f>
        <x:v>16.14</x:v>
      </x:c>
      <x:c r="CC12" s="71" t="n">
        <x:f>IF(AND(CC$5&gt;='설정'!$E$7,CC$5&lt;='설정'!$F$7),AF12,"")</x:f>
        <x:v>16.95</x:v>
      </x:c>
      <x:c r="CD12" s="71" t="str">
        <x:f>IF(AND(CD$5&gt;='설정'!$E$7,CD$5&lt;='설정'!$F$7),AG12,"")</x:f>
      </x:c>
      <x:c r="CE12" s="71" t="str">
        <x:f>IF(AND(CE$5&gt;='설정'!$E$7,CE$5&lt;='설정'!$F$7),AH12,"")</x:f>
      </x:c>
      <x:c r="CF12" s="71" t="str">
        <x:f>IF(AND(CF$5&gt;='설정'!$E$7,CF$5&lt;='설정'!$F$7),AI12,"")</x:f>
      </x:c>
      <x:c r="CG12" s="71" t="str">
        <x:f>IF(AND(CG$5&gt;='설정'!$E$7,CG$5&lt;='설정'!$F$7),AJ12,"")</x:f>
      </x:c>
      <x:c r="CH12" s="71" t="str">
        <x:f>IF(AND(CH$5&gt;='설정'!$E$7,CH$5&lt;='설정'!$F$7),AK12,"")</x:f>
      </x:c>
      <x:c r="CI12" s="71" t="str">
        <x:f>IF(AND(CI$5&gt;='설정'!$E$7,CI$5&lt;='설정'!$F$7),AL12,"")</x:f>
      </x:c>
      <x:c r="CJ12" s="71" t="str">
        <x:f>IF(AND(CJ$5&gt;='설정'!$E$7,CJ$5&lt;='설정'!$F$7),AM12,"")</x:f>
      </x:c>
      <x:c r="CK12" s="71" t="str">
        <x:f>IF(AND(CK$5&gt;='설정'!$E$7,CK$5&lt;='설정'!$F$7),AN12,"")</x:f>
      </x:c>
      <x:c r="CL12" s="71" t="str">
        <x:f>IF(AND(CL$5&gt;='설정'!$E$7,CL$5&lt;='설정'!$F$7),AO12,"")</x:f>
      </x:c>
      <x:c r="CM12" s="71" t="str">
        <x:f>IF(AND(CM$5&gt;='설정'!$E$7,CM$5&lt;='설정'!$F$7),AP12,"")</x:f>
      </x:c>
      <x:c r="CN12" s="71" t="str">
        <x:f>IF(AND(CN$5&gt;='설정'!$E$7,CN$5&lt;='설정'!$F$7),AQ12,"")</x:f>
      </x:c>
      <x:c r="CO12" s="71" t="str">
        <x:f>IF(AND(CO$5&gt;='설정'!$E$7,CO$5&lt;='설정'!$F$7),AR12,"")</x:f>
      </x:c>
      <x:c r="CP12" s="71" t="str">
        <x:f>IF(AND(CP$5&gt;='설정'!$E$7,CP$5&lt;='설정'!$F$7),AS12,"")</x:f>
      </x:c>
      <x:c r="CQ12" s="71" t="str">
        <x:f>IF(AND(CQ$5&gt;='설정'!$E$7,CQ$5&lt;='설정'!$F$7),AT12,"")</x:f>
      </x:c>
    </x:row>
    <x:row r="13" ht="20" customHeight="1">
      <x:c r="A13" s="46" t="n">
        <x:v>8</x:v>
      </x:c>
      <x:c r="B13" s="44" t="str">
        <x:v>Nb2O5 균일도_08</x:v>
      </x:c>
      <x:c r="C13" s="61" t="n">
        <x:v>45.53</x:v>
      </x:c>
      <x:c r="D13" s="61" t="n">
        <x:v>13.76</x:v>
      </x:c>
      <x:c r="E13" s="61" t="n">
        <x:v>-6.68</x:v>
      </x:c>
      <x:c r="F13" s="61" t="n">
        <x:v>14.92</x:v>
      </x:c>
      <x:c r="G13" s="44" t="str">
        <x:v>SCI</x:v>
      </x:c>
      <x:c r="H13" s="61" t="n">
        <x:v>35.47</x:v>
      </x:c>
      <x:c r="I13" s="61" t="n">
        <x:v>36.06</x:v>
      </x:c>
      <x:c r="J13" s="61" t="n">
        <x:v>34.92</x:v>
      </x:c>
      <x:c r="K13" s="61" t="n">
        <x:v>33.03</x:v>
      </x:c>
      <x:c r="L13" s="61" t="n">
        <x:v>30.57</x:v>
      </x:c>
      <x:c r="M13" s="61" t="n">
        <x:v>27.75</x:v>
      </x:c>
      <x:c r="N13" s="61" t="n">
        <x:v>24.93</x:v>
      </x:c>
      <x:c r="O13" s="61" t="n">
        <x:v>22.28</x:v>
      </x:c>
      <x:c r="P13" s="61" t="n">
        <x:v>19.6</x:v>
      </x:c>
      <x:c r="Q13" s="61" t="n">
        <x:v>17.58</x:v>
      </x:c>
      <x:c r="R13" s="61" t="n">
        <x:v>15.72</x:v>
      </x:c>
      <x:c r="S13" s="61" t="n">
        <x:v>14.29</x:v>
      </x:c>
      <x:c r="T13" s="61" t="n">
        <x:v>13.16</x:v>
      </x:c>
      <x:c r="U13" s="61" t="n">
        <x:v>12.54</x:v>
      </x:c>
      <x:c r="V13" s="61" t="n">
        <x:v>12.14</x:v>
      </x:c>
      <x:c r="W13" s="61" t="n">
        <x:v>12.07</x:v>
      </x:c>
      <x:c r="X13" s="61" t="n">
        <x:v>12.24</x:v>
      </x:c>
      <x:c r="Y13" s="61" t="n">
        <x:v>12.61</x:v>
      </x:c>
      <x:c r="Z13" s="61" t="n">
        <x:v>13.17</x:v>
      </x:c>
      <x:c r="AA13" s="61" t="n">
        <x:v>13.78</x:v>
      </x:c>
      <x:c r="AB13" s="61" t="n">
        <x:v>14.52</x:v>
      </x:c>
      <x:c r="AC13" s="61" t="n">
        <x:v>15.32</x:v>
      </x:c>
      <x:c r="AD13" s="61" t="n">
        <x:v>16.12</x:v>
      </x:c>
      <x:c r="AE13" s="61" t="n">
        <x:v>16.95</x:v>
      </x:c>
      <x:c r="AF13" s="61" t="n">
        <x:v>17.78</x:v>
      </x:c>
      <x:c r="AG13" s="61" t="n">
        <x:v>18.6</x:v>
      </x:c>
      <x:c r="AH13" s="61" t="n">
        <x:v>19.38</x:v>
      </x:c>
      <x:c r="AI13" s="61" t="n">
        <x:v>20.11</x:v>
      </x:c>
      <x:c r="AJ13" s="61" t="n">
        <x:v>20.86</x:v>
      </x:c>
      <x:c r="AK13" s="61" t="n">
        <x:v>21.52</x:v>
      </x:c>
      <x:c r="AL13" s="61" t="n">
        <x:v>22.18</x:v>
      </x:c>
      <x:c r="AM13" s="61" t="n">
        <x:v>22.76</x:v>
      </x:c>
      <x:c r="AN13" s="61" t="n">
        <x:v>23.35</x:v>
      </x:c>
      <x:c r="AO13" s="61" t="n">
        <x:v>23.91</x:v>
      </x:c>
      <x:c r="AP13" s="61" t="n">
        <x:v>24.39</x:v>
      </x:c>
      <x:c r="AQ13" s="61" t="n">
        <x:v>24.87</x:v>
      </x:c>
      <x:c r="AR13" s="61" t="n">
        <x:v>25.21</x:v>
      </x:c>
      <x:c r="AS13" s="61" t="n">
        <x:v>25.67</x:v>
      </x:c>
      <x:c r="AT13" s="61" t="n">
        <x:v>26.05</x:v>
      </x:c>
      <x:c r="AU13" s="40" t="n">
        <x:f>IF(OR('설정'!$E$7&gt;'설정'!$F$7,COUNT(H13:AT13)=0),"",MIN(BE13:CQ13))</x:f>
        <x:v>12.07</x:v>
      </x:c>
      <x:c r="AV13" s="40" t="n">
        <x:f>IF(AU13="","",SUMIFS($BE$5:$CQ$5,BE13:CQ13,AU13)/COUNTIFS(BE13:CQ13,AU13))</x:f>
        <x:v>510</x:v>
      </x:c>
      <x:c r="AW13" s="40" t="n">
        <x:f>IF(OR('설정'!$E$7&gt;'설정'!$F$7,COUNT(H13:AT13)=0),"",MAX(BE13:CQ13))</x:f>
        <x:v>22.28</x:v>
      </x:c>
      <x:c r="AX13" s="40" t="n">
        <x:f>IF(AW13="","",SUMIFS($BE$5:$CQ$5,BE13:CQ13,AW13)/COUNTIFS(BE13:CQ13,AW13))</x:f>
        <x:v>430</x:v>
      </x:c>
      <x:c r="AY13" s="66"/>
      <x:c r="AZ13" s="38" t="n">
        <x:f>IF(AY13&lt;&gt;"",AY13,IF('설정'!$C$7="최소",AV13,AX13))</x:f>
        <x:v>510</x:v>
      </x:c>
      <x:c r="BA13" s="39" t="n">
        <x:f>IF(AZ13="","",IF(OR(AZ13&lt;'굴절률'!$A$6,AZ13&gt;'굴절률'!$A$44),"",IF(COUNTIFS('굴절률'!$A$6:$A$44,AZ13)&gt;0,INDEX('굴절률'!$C$6:$C$44,MATCH(AZ13,'굴절률'!$A$6:$A$44,0)),INDEX('굴절률'!$C$6:$C$44,MATCH(AZ13,'굴절률'!$A$6:$A$44,1))+(AZ13-INDEX('굴절률'!$A$6:$A$44,MATCH(AZ13,'굴절률'!$A$6:$A$44,1)))*(INDEX('굴절률'!$C$6:$C$44,MATCH(AZ13,'굴절률'!$A$6:$A$44,1)+1)-INDEX('굴절률'!$C$6:$C$44,MATCH(AZ13,'굴절률'!$A$6:$A$44,1)))/(INDEX('굴절률'!$A$6:$A$44,MATCH(AZ13,'굴절률'!$A$6:$A$44,1)+1)-INDEX('굴절률'!$A$6:$A$44,MATCH(AZ13,'굴절률'!$A$6:$A$44,1))))))</x:f>
        <x:v>2.33996</x:v>
      </x:c>
      <x:c r="BB13" s="39" t="n">
        <x:f>IF(BA13="","",COS(ASIN(SIN(RADIANS('설정'!$G$7))/BA13)))</x:f>
        <x:v>1</x:v>
      </x:c>
      <x:c r="BC13" s="40" t="n">
        <x:f>IF(OR(AZ13="",BA13="",BB13=""),"",IF('설정'!$C$7="최소",'설정'!$D$7*AZ13/(2*BA13*BB13),(2*'설정'!$D$7-1)*AZ13/(4*BA13*BB13)))</x:f>
        <x:v>108.97622181575753</x:v>
      </x:c>
      <x:c r="BD13" s="42" t="str">
        <x:f>IF(COUNT(H13:AT13)=0,"입력 필요",IF(COUNT(H13:AT13)&lt;&gt;39,"데이터 점검",IF(OR('설정'!$E$7&gt;'설정'!$F$7,'설정'!$E$7&lt;360,'설정'!$F$7&gt;740),"검색 범위 오류",IF(AY13&lt;&gt;"","수동 파장",IF(OR(AZ13='설정'!$E$7,AZ13='설정'!$F$7),"경계 극값 확인",IF(COUNTIFS(H13:AT13,IF('설정'!$C$7="최소",AU13,AW13),$H$5:$AT$5,"&gt;="&amp;'설정'!$E$7,$H$5:$AT$5,"&lt;="&amp;'설정'!$F$7)&gt;1,"복수 극값 평균","완료"))))))</x:f>
        <x:v>완료</x:v>
      </x:c>
      <x:c r="BE13" s="71" t="str">
        <x:f>IF(AND(BE$5&gt;='설정'!$E$7,BE$5&lt;='설정'!$F$7),H13,"")</x:f>
      </x:c>
      <x:c r="BF13" s="71" t="str">
        <x:f>IF(AND(BF$5&gt;='설정'!$E$7,BF$5&lt;='설정'!$F$7),I13,"")</x:f>
      </x:c>
      <x:c r="BG13" s="71" t="str">
        <x:f>IF(AND(BG$5&gt;='설정'!$E$7,BG$5&lt;='설정'!$F$7),J13,"")</x:f>
      </x:c>
      <x:c r="BH13" s="71" t="str">
        <x:f>IF(AND(BH$5&gt;='설정'!$E$7,BH$5&lt;='설정'!$F$7),K13,"")</x:f>
      </x:c>
      <x:c r="BI13" s="71" t="str">
        <x:f>IF(AND(BI$5&gt;='설정'!$E$7,BI$5&lt;='설정'!$F$7),L13,"")</x:f>
      </x:c>
      <x:c r="BJ13" s="71" t="str">
        <x:f>IF(AND(BJ$5&gt;='설정'!$E$7,BJ$5&lt;='설정'!$F$7),M13,"")</x:f>
      </x:c>
      <x:c r="BK13" s="71" t="str">
        <x:f>IF(AND(BK$5&gt;='설정'!$E$7,BK$5&lt;='설정'!$F$7),N13,"")</x:f>
      </x:c>
      <x:c r="BL13" s="71" t="n">
        <x:f>IF(AND(BL$5&gt;='설정'!$E$7,BL$5&lt;='설정'!$F$7),O13,"")</x:f>
        <x:v>22.28</x:v>
      </x:c>
      <x:c r="BM13" s="71" t="n">
        <x:f>IF(AND(BM$5&gt;='설정'!$E$7,BM$5&lt;='설정'!$F$7),P13,"")</x:f>
        <x:v>19.6</x:v>
      </x:c>
      <x:c r="BN13" s="71" t="n">
        <x:f>IF(AND(BN$5&gt;='설정'!$E$7,BN$5&lt;='설정'!$F$7),Q13,"")</x:f>
        <x:v>17.58</x:v>
      </x:c>
      <x:c r="BO13" s="71" t="n">
        <x:f>IF(AND(BO$5&gt;='설정'!$E$7,BO$5&lt;='설정'!$F$7),R13,"")</x:f>
        <x:v>15.72</x:v>
      </x:c>
      <x:c r="BP13" s="71" t="n">
        <x:f>IF(AND(BP$5&gt;='설정'!$E$7,BP$5&lt;='설정'!$F$7),S13,"")</x:f>
        <x:v>14.29</x:v>
      </x:c>
      <x:c r="BQ13" s="71" t="n">
        <x:f>IF(AND(BQ$5&gt;='설정'!$E$7,BQ$5&lt;='설정'!$F$7),T13,"")</x:f>
        <x:v>13.16</x:v>
      </x:c>
      <x:c r="BR13" s="71" t="n">
        <x:f>IF(AND(BR$5&gt;='설정'!$E$7,BR$5&lt;='설정'!$F$7),U13,"")</x:f>
        <x:v>12.54</x:v>
      </x:c>
      <x:c r="BS13" s="71" t="n">
        <x:f>IF(AND(BS$5&gt;='설정'!$E$7,BS$5&lt;='설정'!$F$7),V13,"")</x:f>
        <x:v>12.14</x:v>
      </x:c>
      <x:c r="BT13" s="71" t="n">
        <x:f>IF(AND(BT$5&gt;='설정'!$E$7,BT$5&lt;='설정'!$F$7),W13,"")</x:f>
        <x:v>12.07</x:v>
      </x:c>
      <x:c r="BU13" s="71" t="n">
        <x:f>IF(AND(BU$5&gt;='설정'!$E$7,BU$5&lt;='설정'!$F$7),X13,"")</x:f>
        <x:v>12.24</x:v>
      </x:c>
      <x:c r="BV13" s="71" t="n">
        <x:f>IF(AND(BV$5&gt;='설정'!$E$7,BV$5&lt;='설정'!$F$7),Y13,"")</x:f>
        <x:v>12.61</x:v>
      </x:c>
      <x:c r="BW13" s="71" t="n">
        <x:f>IF(AND(BW$5&gt;='설정'!$E$7,BW$5&lt;='설정'!$F$7),Z13,"")</x:f>
        <x:v>13.17</x:v>
      </x:c>
      <x:c r="BX13" s="71" t="n">
        <x:f>IF(AND(BX$5&gt;='설정'!$E$7,BX$5&lt;='설정'!$F$7),AA13,"")</x:f>
        <x:v>13.78</x:v>
      </x:c>
      <x:c r="BY13" s="71" t="n">
        <x:f>IF(AND(BY$5&gt;='설정'!$E$7,BY$5&lt;='설정'!$F$7),AB13,"")</x:f>
        <x:v>14.52</x:v>
      </x:c>
      <x:c r="BZ13" s="71" t="n">
        <x:f>IF(AND(BZ$5&gt;='설정'!$E$7,BZ$5&lt;='설정'!$F$7),AC13,"")</x:f>
        <x:v>15.32</x:v>
      </x:c>
      <x:c r="CA13" s="71" t="n">
        <x:f>IF(AND(CA$5&gt;='설정'!$E$7,CA$5&lt;='설정'!$F$7),AD13,"")</x:f>
        <x:v>16.12</x:v>
      </x:c>
      <x:c r="CB13" s="71" t="n">
        <x:f>IF(AND(CB$5&gt;='설정'!$E$7,CB$5&lt;='설정'!$F$7),AE13,"")</x:f>
        <x:v>16.95</x:v>
      </x:c>
      <x:c r="CC13" s="71" t="n">
        <x:f>IF(AND(CC$5&gt;='설정'!$E$7,CC$5&lt;='설정'!$F$7),AF13,"")</x:f>
        <x:v>17.78</x:v>
      </x:c>
      <x:c r="CD13" s="71" t="str">
        <x:f>IF(AND(CD$5&gt;='설정'!$E$7,CD$5&lt;='설정'!$F$7),AG13,"")</x:f>
      </x:c>
      <x:c r="CE13" s="71" t="str">
        <x:f>IF(AND(CE$5&gt;='설정'!$E$7,CE$5&lt;='설정'!$F$7),AH13,"")</x:f>
      </x:c>
      <x:c r="CF13" s="71" t="str">
        <x:f>IF(AND(CF$5&gt;='설정'!$E$7,CF$5&lt;='설정'!$F$7),AI13,"")</x:f>
      </x:c>
      <x:c r="CG13" s="71" t="str">
        <x:f>IF(AND(CG$5&gt;='설정'!$E$7,CG$5&lt;='설정'!$F$7),AJ13,"")</x:f>
      </x:c>
      <x:c r="CH13" s="71" t="str">
        <x:f>IF(AND(CH$5&gt;='설정'!$E$7,CH$5&lt;='설정'!$F$7),AK13,"")</x:f>
      </x:c>
      <x:c r="CI13" s="71" t="str">
        <x:f>IF(AND(CI$5&gt;='설정'!$E$7,CI$5&lt;='설정'!$F$7),AL13,"")</x:f>
      </x:c>
      <x:c r="CJ13" s="71" t="str">
        <x:f>IF(AND(CJ$5&gt;='설정'!$E$7,CJ$5&lt;='설정'!$F$7),AM13,"")</x:f>
      </x:c>
      <x:c r="CK13" s="71" t="str">
        <x:f>IF(AND(CK$5&gt;='설정'!$E$7,CK$5&lt;='설정'!$F$7),AN13,"")</x:f>
      </x:c>
      <x:c r="CL13" s="71" t="str">
        <x:f>IF(AND(CL$5&gt;='설정'!$E$7,CL$5&lt;='설정'!$F$7),AO13,"")</x:f>
      </x:c>
      <x:c r="CM13" s="71" t="str">
        <x:f>IF(AND(CM$5&gt;='설정'!$E$7,CM$5&lt;='설정'!$F$7),AP13,"")</x:f>
      </x:c>
      <x:c r="CN13" s="71" t="str">
        <x:f>IF(AND(CN$5&gt;='설정'!$E$7,CN$5&lt;='설정'!$F$7),AQ13,"")</x:f>
      </x:c>
      <x:c r="CO13" s="71" t="str">
        <x:f>IF(AND(CO$5&gt;='설정'!$E$7,CO$5&lt;='설정'!$F$7),AR13,"")</x:f>
      </x:c>
      <x:c r="CP13" s="71" t="str">
        <x:f>IF(AND(CP$5&gt;='설정'!$E$7,CP$5&lt;='설정'!$F$7),AS13,"")</x:f>
      </x:c>
      <x:c r="CQ13" s="71" t="str">
        <x:f>IF(AND(CQ$5&gt;='설정'!$E$7,CQ$5&lt;='설정'!$F$7),AT13,"")</x:f>
      </x:c>
    </x:row>
    <x:row r="14" ht="20" customHeight="1">
      <x:c r="A14" s="46" t="n">
        <x:v>9</x:v>
      </x:c>
      <x:c r="B14" s="44" t="str">
        <x:v>Nb2O5 균일도_09</x:v>
      </x:c>
      <x:c r="C14" s="61" t="n">
        <x:v>47.06</x:v>
      </x:c>
      <x:c r="D14" s="61" t="n">
        <x:v>12.07</x:v>
      </x:c>
      <x:c r="E14" s="61" t="n">
        <x:v>1.03</x:v>
      </x:c>
      <x:c r="F14" s="61" t="n">
        <x:v>16.06</x:v>
      </x:c>
      <x:c r="G14" s="44" t="str">
        <x:v>SCI</x:v>
      </x:c>
      <x:c r="H14" s="61" t="n">
        <x:v>36.63</x:v>
      </x:c>
      <x:c r="I14" s="61" t="n">
        <x:v>35.56</x:v>
      </x:c>
      <x:c r="J14" s="61" t="n">
        <x:v>33.28</x:v>
      </x:c>
      <x:c r="K14" s="61" t="n">
        <x:v>30.58</x:v>
      </x:c>
      <x:c r="L14" s="61" t="n">
        <x:v>27.58</x:v>
      </x:c>
      <x:c r="M14" s="61" t="n">
        <x:v>24.45</x:v>
      </x:c>
      <x:c r="N14" s="61" t="n">
        <x:v>21.48</x:v>
      </x:c>
      <x:c r="O14" s="61" t="n">
        <x:v>18.93</x:v>
      </x:c>
      <x:c r="P14" s="61" t="n">
        <x:v>16.66</x:v>
      </x:c>
      <x:c r="Q14" s="61" t="n">
        <x:v>14.97</x:v>
      </x:c>
      <x:c r="R14" s="61" t="n">
        <x:v>13.58</x:v>
      </x:c>
      <x:c r="S14" s="61" t="n">
        <x:v>12.71</x:v>
      </x:c>
      <x:c r="T14" s="61" t="n">
        <x:v>12.18</x:v>
      </x:c>
      <x:c r="U14" s="61" t="n">
        <x:v>12.06</x:v>
      </x:c>
      <x:c r="V14" s="61" t="n">
        <x:v>12.21</x:v>
      </x:c>
      <x:c r="W14" s="61" t="n">
        <x:v>12.55</x:v>
      </x:c>
      <x:c r="X14" s="61" t="n">
        <x:v>13.09</x:v>
      </x:c>
      <x:c r="Y14" s="61" t="n">
        <x:v>13.77</x:v>
      </x:c>
      <x:c r="Z14" s="61" t="n">
        <x:v>14.57</x:v>
      </x:c>
      <x:c r="AA14" s="61" t="n">
        <x:v>15.37</x:v>
      </x:c>
      <x:c r="AB14" s="61" t="n">
        <x:v>16.24</x:v>
      </x:c>
      <x:c r="AC14" s="61" t="n">
        <x:v>17.14</x:v>
      </x:c>
      <x:c r="AD14" s="61" t="n">
        <x:v>17.99</x:v>
      </x:c>
      <x:c r="AE14" s="61" t="n">
        <x:v>18.83</x:v>
      </x:c>
      <x:c r="AF14" s="61" t="n">
        <x:v>19.68</x:v>
      </x:c>
      <x:c r="AG14" s="61" t="n">
        <x:v>20.48</x:v>
      </x:c>
      <x:c r="AH14" s="61" t="n">
        <x:v>21.22</x:v>
      </x:c>
      <x:c r="AI14" s="61" t="n">
        <x:v>21.88</x:v>
      </x:c>
      <x:c r="AJ14" s="61" t="n">
        <x:v>22.61</x:v>
      </x:c>
      <x:c r="AK14" s="61" t="n">
        <x:v>23.19</x:v>
      </x:c>
      <x:c r="AL14" s="61" t="n">
        <x:v>23.8</x:v>
      </x:c>
      <x:c r="AM14" s="61" t="n">
        <x:v>24.3</x:v>
      </x:c>
      <x:c r="AN14" s="61" t="n">
        <x:v>24.79</x:v>
      </x:c>
      <x:c r="AO14" s="61" t="n">
        <x:v>25.3</x:v>
      </x:c>
      <x:c r="AP14" s="61" t="n">
        <x:v>25.69</x:v>
      </x:c>
      <x:c r="AQ14" s="61" t="n">
        <x:v>26.12</x:v>
      </x:c>
      <x:c r="AR14" s="61" t="n">
        <x:v>26.38</x:v>
      </x:c>
      <x:c r="AS14" s="61" t="n">
        <x:v>26.74</x:v>
      </x:c>
      <x:c r="AT14" s="61" t="n">
        <x:v>27.05</x:v>
      </x:c>
      <x:c r="AU14" s="40" t="n">
        <x:f>IF(OR('설정'!$E$7&gt;'설정'!$F$7,COUNT(H14:AT14)=0),"",MIN(BE14:CQ14))</x:f>
        <x:v>12.06</x:v>
      </x:c>
      <x:c r="AV14" s="40" t="n">
        <x:f>IF(AU14="","",SUMIFS($BE$5:$CQ$5,BE14:CQ14,AU14)/COUNTIFS(BE14:CQ14,AU14))</x:f>
        <x:v>490</x:v>
      </x:c>
      <x:c r="AW14" s="40" t="n">
        <x:f>IF(OR('설정'!$E$7&gt;'설정'!$F$7,COUNT(H14:AT14)=0),"",MAX(BE14:CQ14))</x:f>
        <x:v>19.68</x:v>
      </x:c>
      <x:c r="AX14" s="40" t="n">
        <x:f>IF(AW14="","",SUMIFS($BE$5:$CQ$5,BE14:CQ14,AW14)/COUNTIFS(BE14:CQ14,AW14))</x:f>
        <x:v>600</x:v>
      </x:c>
      <x:c r="AY14" s="66"/>
      <x:c r="AZ14" s="38" t="n">
        <x:f>IF(AY14&lt;&gt;"",AY14,IF('설정'!$C$7="최소",AV14,AX14))</x:f>
        <x:v>490</x:v>
      </x:c>
      <x:c r="BA14" s="39" t="n">
        <x:f>IF(AZ14="","",IF(OR(AZ14&lt;'굴절률'!$A$6,AZ14&gt;'굴절률'!$A$44),"",IF(COUNTIFS('굴절률'!$A$6:$A$44,AZ14)&gt;0,INDEX('굴절률'!$C$6:$C$44,MATCH(AZ14,'굴절률'!$A$6:$A$44,0)),INDEX('굴절률'!$C$6:$C$44,MATCH(AZ14,'굴절률'!$A$6:$A$44,1))+(AZ14-INDEX('굴절률'!$A$6:$A$44,MATCH(AZ14,'굴절률'!$A$6:$A$44,1)))*(INDEX('굴절률'!$C$6:$C$44,MATCH(AZ14,'굴절률'!$A$6:$A$44,1)+1)-INDEX('굴절률'!$C$6:$C$44,MATCH(AZ14,'굴절률'!$A$6:$A$44,1)))/(INDEX('굴절률'!$A$6:$A$44,MATCH(AZ14,'굴절률'!$A$6:$A$44,1)+1)-INDEX('굴절률'!$A$6:$A$44,MATCH(AZ14,'굴절률'!$A$6:$A$44,1))))))</x:f>
        <x:v>2.35198</x:v>
      </x:c>
      <x:c r="BB14" s="39" t="n">
        <x:f>IF(BA14="","",COS(ASIN(SIN(RADIANS('설정'!$G$7))/BA14)))</x:f>
        <x:v>1</x:v>
      </x:c>
      <x:c r="BC14" s="40" t="n">
        <x:f>IF(OR(AZ14="",BA14="",BB14=""),"",IF('설정'!$C$7="최소",'설정'!$D$7*AZ14/(2*BA14*BB14),(2*'설정'!$D$7-1)*AZ14/(4*BA14*BB14)))</x:f>
        <x:v>104.16755244517384</x:v>
      </x:c>
      <x:c r="BD14" s="42" t="str">
        <x:f>IF(COUNT(H14:AT14)=0,"입력 필요",IF(COUNT(H14:AT14)&lt;&gt;39,"데이터 점검",IF(OR('설정'!$E$7&gt;'설정'!$F$7,'설정'!$E$7&lt;360,'설정'!$F$7&gt;740),"검색 범위 오류",IF(AY14&lt;&gt;"","수동 파장",IF(OR(AZ14='설정'!$E$7,AZ14='설정'!$F$7),"경계 극값 확인",IF(COUNTIFS(H14:AT14,IF('설정'!$C$7="최소",AU14,AW14),$H$5:$AT$5,"&gt;="&amp;'설정'!$E$7,$H$5:$AT$5,"&lt;="&amp;'설정'!$F$7)&gt;1,"복수 극값 평균","완료"))))))</x:f>
        <x:v>완료</x:v>
      </x:c>
      <x:c r="BE14" s="71" t="str">
        <x:f>IF(AND(BE$5&gt;='설정'!$E$7,BE$5&lt;='설정'!$F$7),H14,"")</x:f>
      </x:c>
      <x:c r="BF14" s="71" t="str">
        <x:f>IF(AND(BF$5&gt;='설정'!$E$7,BF$5&lt;='설정'!$F$7),I14,"")</x:f>
      </x:c>
      <x:c r="BG14" s="71" t="str">
        <x:f>IF(AND(BG$5&gt;='설정'!$E$7,BG$5&lt;='설정'!$F$7),J14,"")</x:f>
      </x:c>
      <x:c r="BH14" s="71" t="str">
        <x:f>IF(AND(BH$5&gt;='설정'!$E$7,BH$5&lt;='설정'!$F$7),K14,"")</x:f>
      </x:c>
      <x:c r="BI14" s="71" t="str">
        <x:f>IF(AND(BI$5&gt;='설정'!$E$7,BI$5&lt;='설정'!$F$7),L14,"")</x:f>
      </x:c>
      <x:c r="BJ14" s="71" t="str">
        <x:f>IF(AND(BJ$5&gt;='설정'!$E$7,BJ$5&lt;='설정'!$F$7),M14,"")</x:f>
      </x:c>
      <x:c r="BK14" s="71" t="str">
        <x:f>IF(AND(BK$5&gt;='설정'!$E$7,BK$5&lt;='설정'!$F$7),N14,"")</x:f>
      </x:c>
      <x:c r="BL14" s="71" t="n">
        <x:f>IF(AND(BL$5&gt;='설정'!$E$7,BL$5&lt;='설정'!$F$7),O14,"")</x:f>
        <x:v>18.93</x:v>
      </x:c>
      <x:c r="BM14" s="71" t="n">
        <x:f>IF(AND(BM$5&gt;='설정'!$E$7,BM$5&lt;='설정'!$F$7),P14,"")</x:f>
        <x:v>16.66</x:v>
      </x:c>
      <x:c r="BN14" s="71" t="n">
        <x:f>IF(AND(BN$5&gt;='설정'!$E$7,BN$5&lt;='설정'!$F$7),Q14,"")</x:f>
        <x:v>14.97</x:v>
      </x:c>
      <x:c r="BO14" s="71" t="n">
        <x:f>IF(AND(BO$5&gt;='설정'!$E$7,BO$5&lt;='설정'!$F$7),R14,"")</x:f>
        <x:v>13.58</x:v>
      </x:c>
      <x:c r="BP14" s="71" t="n">
        <x:f>IF(AND(BP$5&gt;='설정'!$E$7,BP$5&lt;='설정'!$F$7),S14,"")</x:f>
        <x:v>12.71</x:v>
      </x:c>
      <x:c r="BQ14" s="71" t="n">
        <x:f>IF(AND(BQ$5&gt;='설정'!$E$7,BQ$5&lt;='설정'!$F$7),T14,"")</x:f>
        <x:v>12.18</x:v>
      </x:c>
      <x:c r="BR14" s="71" t="n">
        <x:f>IF(AND(BR$5&gt;='설정'!$E$7,BR$5&lt;='설정'!$F$7),U14,"")</x:f>
        <x:v>12.06</x:v>
      </x:c>
      <x:c r="BS14" s="71" t="n">
        <x:f>IF(AND(BS$5&gt;='설정'!$E$7,BS$5&lt;='설정'!$F$7),V14,"")</x:f>
        <x:v>12.21</x:v>
      </x:c>
      <x:c r="BT14" s="71" t="n">
        <x:f>IF(AND(BT$5&gt;='설정'!$E$7,BT$5&lt;='설정'!$F$7),W14,"")</x:f>
        <x:v>12.55</x:v>
      </x:c>
      <x:c r="BU14" s="71" t="n">
        <x:f>IF(AND(BU$5&gt;='설정'!$E$7,BU$5&lt;='설정'!$F$7),X14,"")</x:f>
        <x:v>13.09</x:v>
      </x:c>
      <x:c r="BV14" s="71" t="n">
        <x:f>IF(AND(BV$5&gt;='설정'!$E$7,BV$5&lt;='설정'!$F$7),Y14,"")</x:f>
        <x:v>13.77</x:v>
      </x:c>
      <x:c r="BW14" s="71" t="n">
        <x:f>IF(AND(BW$5&gt;='설정'!$E$7,BW$5&lt;='설정'!$F$7),Z14,"")</x:f>
        <x:v>14.57</x:v>
      </x:c>
      <x:c r="BX14" s="71" t="n">
        <x:f>IF(AND(BX$5&gt;='설정'!$E$7,BX$5&lt;='설정'!$F$7),AA14,"")</x:f>
        <x:v>15.37</x:v>
      </x:c>
      <x:c r="BY14" s="71" t="n">
        <x:f>IF(AND(BY$5&gt;='설정'!$E$7,BY$5&lt;='설정'!$F$7),AB14,"")</x:f>
        <x:v>16.24</x:v>
      </x:c>
      <x:c r="BZ14" s="71" t="n">
        <x:f>IF(AND(BZ$5&gt;='설정'!$E$7,BZ$5&lt;='설정'!$F$7),AC14,"")</x:f>
        <x:v>17.14</x:v>
      </x:c>
      <x:c r="CA14" s="71" t="n">
        <x:f>IF(AND(CA$5&gt;='설정'!$E$7,CA$5&lt;='설정'!$F$7),AD14,"")</x:f>
        <x:v>17.99</x:v>
      </x:c>
      <x:c r="CB14" s="71" t="n">
        <x:f>IF(AND(CB$5&gt;='설정'!$E$7,CB$5&lt;='설정'!$F$7),AE14,"")</x:f>
        <x:v>18.83</x:v>
      </x:c>
      <x:c r="CC14" s="71" t="n">
        <x:f>IF(AND(CC$5&gt;='설정'!$E$7,CC$5&lt;='설정'!$F$7),AF14,"")</x:f>
        <x:v>19.68</x:v>
      </x:c>
      <x:c r="CD14" s="71" t="str">
        <x:f>IF(AND(CD$5&gt;='설정'!$E$7,CD$5&lt;='설정'!$F$7),AG14,"")</x:f>
      </x:c>
      <x:c r="CE14" s="71" t="str">
        <x:f>IF(AND(CE$5&gt;='설정'!$E$7,CE$5&lt;='설정'!$F$7),AH14,"")</x:f>
      </x:c>
      <x:c r="CF14" s="71" t="str">
        <x:f>IF(AND(CF$5&gt;='설정'!$E$7,CF$5&lt;='설정'!$F$7),AI14,"")</x:f>
      </x:c>
      <x:c r="CG14" s="71" t="str">
        <x:f>IF(AND(CG$5&gt;='설정'!$E$7,CG$5&lt;='설정'!$F$7),AJ14,"")</x:f>
      </x:c>
      <x:c r="CH14" s="71" t="str">
        <x:f>IF(AND(CH$5&gt;='설정'!$E$7,CH$5&lt;='설정'!$F$7),AK14,"")</x:f>
      </x:c>
      <x:c r="CI14" s="71" t="str">
        <x:f>IF(AND(CI$5&gt;='설정'!$E$7,CI$5&lt;='설정'!$F$7),AL14,"")</x:f>
      </x:c>
      <x:c r="CJ14" s="71" t="str">
        <x:f>IF(AND(CJ$5&gt;='설정'!$E$7,CJ$5&lt;='설정'!$F$7),AM14,"")</x:f>
      </x:c>
      <x:c r="CK14" s="71" t="str">
        <x:f>IF(AND(CK$5&gt;='설정'!$E$7,CK$5&lt;='설정'!$F$7),AN14,"")</x:f>
      </x:c>
      <x:c r="CL14" s="71" t="str">
        <x:f>IF(AND(CL$5&gt;='설정'!$E$7,CL$5&lt;='설정'!$F$7),AO14,"")</x:f>
      </x:c>
      <x:c r="CM14" s="71" t="str">
        <x:f>IF(AND(CM$5&gt;='설정'!$E$7,CM$5&lt;='설정'!$F$7),AP14,"")</x:f>
      </x:c>
      <x:c r="CN14" s="71" t="str">
        <x:f>IF(AND(CN$5&gt;='설정'!$E$7,CN$5&lt;='설정'!$F$7),AQ14,"")</x:f>
      </x:c>
      <x:c r="CO14" s="71" t="str">
        <x:f>IF(AND(CO$5&gt;='설정'!$E$7,CO$5&lt;='설정'!$F$7),AR14,"")</x:f>
      </x:c>
      <x:c r="CP14" s="71" t="str">
        <x:f>IF(AND(CP$5&gt;='설정'!$E$7,CP$5&lt;='설정'!$F$7),AS14,"")</x:f>
      </x:c>
      <x:c r="CQ14" s="71" t="str">
        <x:f>IF(AND(CQ$5&gt;='설정'!$E$7,CQ$5&lt;='설정'!$F$7),AT14,"")</x:f>
      </x:c>
    </x:row>
    <x:row r="15" ht="20" customHeight="1">
      <x:c r="A15" s="46" t="n">
        <x:v>10</x:v>
      </x:c>
      <x:c r="B15" s="44" t="str">
        <x:v>Nb2O5 균일도_10</x:v>
      </x:c>
      <x:c r="C15" s="61" t="n">
        <x:v>48.88</x:v>
      </x:c>
      <x:c r="D15" s="61" t="n">
        <x:v>9.64</x:v>
      </x:c>
      <x:c r="E15" s="61" t="n">
        <x:v>8.15</x:v>
      </x:c>
      <x:c r="F15" s="61" t="n">
        <x:v>17.49</x:v>
      </x:c>
      <x:c r="G15" s="44" t="str">
        <x:v>SCI</x:v>
      </x:c>
      <x:c r="H15" s="61" t="n">
        <x:v>36.28</x:v>
      </x:c>
      <x:c r="I15" s="61" t="n">
        <x:v>33.83</x:v>
      </x:c>
      <x:c r="J15" s="61" t="n">
        <x:v>30.67</x:v>
      </x:c>
      <x:c r="K15" s="61" t="n">
        <x:v>27.36</x:v>
      </x:c>
      <x:c r="L15" s="61" t="n">
        <x:v>24.07</x:v>
      </x:c>
      <x:c r="M15" s="61" t="n">
        <x:v>20.92</x:v>
      </x:c>
      <x:c r="N15" s="61" t="n">
        <x:v>18.14</x:v>
      </x:c>
      <x:c r="O15" s="61" t="n">
        <x:v>15.98</x:v>
      </x:c>
      <x:c r="P15" s="61" t="n">
        <x:v>14.23</x:v>
      </x:c>
      <x:c r="Q15" s="61" t="n">
        <x:v>13.12</x:v>
      </x:c>
      <x:c r="R15" s="61" t="n">
        <x:v>12.35</x:v>
      </x:c>
      <x:c r="S15" s="61" t="n">
        <x:v>12.06</x:v>
      </x:c>
      <x:c r="T15" s="61" t="n">
        <x:v>12.1</x:v>
      </x:c>
      <x:c r="U15" s="61" t="n">
        <x:v>12.42</x:v>
      </x:c>
      <x:c r="V15" s="61" t="n">
        <x:v>13.02</x:v>
      </x:c>
      <x:c r="W15" s="61" t="n">
        <x:v>13.68</x:v>
      </x:c>
      <x:c r="X15" s="61" t="n">
        <x:v>14.48</x:v>
      </x:c>
      <x:c r="Y15" s="61" t="n">
        <x:v>15.38</x:v>
      </x:c>
      <x:c r="Z15" s="61" t="n">
        <x:v>16.32</x:v>
      </x:c>
      <x:c r="AA15" s="61" t="n">
        <x:v>17.21</x:v>
      </x:c>
      <x:c r="AB15" s="61" t="n">
        <x:v>18.14</x:v>
      </x:c>
      <x:c r="AC15" s="61" t="n">
        <x:v>19.04</x:v>
      </x:c>
      <x:c r="AD15" s="61" t="n">
        <x:v>19.89</x:v>
      </x:c>
      <x:c r="AE15" s="61" t="n">
        <x:v>20.72</x:v>
      </x:c>
      <x:c r="AF15" s="61" t="n">
        <x:v>21.52</x:v>
      </x:c>
      <x:c r="AG15" s="61" t="n">
        <x:v>22.25</x:v>
      </x:c>
      <x:c r="AH15" s="61" t="n">
        <x:v>22.94</x:v>
      </x:c>
      <x:c r="AI15" s="61" t="n">
        <x:v>23.54</x:v>
      </x:c>
      <x:c r="AJ15" s="61" t="n">
        <x:v>24.17</x:v>
      </x:c>
      <x:c r="AK15" s="61" t="n">
        <x:v>24.68</x:v>
      </x:c>
      <x:c r="AL15" s="61" t="n">
        <x:v>25.19</x:v>
      </x:c>
      <x:c r="AM15" s="61" t="n">
        <x:v>25.63</x:v>
      </x:c>
      <x:c r="AN15" s="61" t="n">
        <x:v>26.04</x:v>
      </x:c>
      <x:c r="AO15" s="61" t="n">
        <x:v>26.46</x:v>
      </x:c>
      <x:c r="AP15" s="61" t="n">
        <x:v>26.82</x:v>
      </x:c>
      <x:c r="AQ15" s="61" t="n">
        <x:v>27.09</x:v>
      </x:c>
      <x:c r="AR15" s="61" t="n">
        <x:v>27.29</x:v>
      </x:c>
      <x:c r="AS15" s="61" t="n">
        <x:v>27.65</x:v>
      </x:c>
      <x:c r="AT15" s="61" t="n">
        <x:v>27.85</x:v>
      </x:c>
      <x:c r="AU15" s="40" t="n">
        <x:f>IF(OR('설정'!$E$7&gt;'설정'!$F$7,COUNT(H15:AT15)=0),"",MIN(BE15:CQ15))</x:f>
        <x:v>12.06</x:v>
      </x:c>
      <x:c r="AV15" s="40" t="n">
        <x:f>IF(AU15="","",SUMIFS($BE$5:$CQ$5,BE15:CQ15,AU15)/COUNTIFS(BE15:CQ15,AU15))</x:f>
        <x:v>470</x:v>
      </x:c>
      <x:c r="AW15" s="40" t="n">
        <x:f>IF(OR('설정'!$E$7&gt;'설정'!$F$7,COUNT(H15:AT15)=0),"",MAX(BE15:CQ15))</x:f>
        <x:v>21.52</x:v>
      </x:c>
      <x:c r="AX15" s="40" t="n">
        <x:f>IF(AW15="","",SUMIFS($BE$5:$CQ$5,BE15:CQ15,AW15)/COUNTIFS(BE15:CQ15,AW15))</x:f>
        <x:v>600</x:v>
      </x:c>
      <x:c r="AY15" s="66"/>
      <x:c r="AZ15" s="38" t="n">
        <x:f>IF(AY15&lt;&gt;"",AY15,IF('설정'!$C$7="최소",AV15,AX15))</x:f>
        <x:v>470</x:v>
      </x:c>
      <x:c r="BA15" s="39" t="n">
        <x:f>IF(AZ15="","",IF(OR(AZ15&lt;'굴절률'!$A$6,AZ15&gt;'굴절률'!$A$44),"",IF(COUNTIFS('굴절률'!$A$6:$A$44,AZ15)&gt;0,INDEX('굴절률'!$C$6:$C$44,MATCH(AZ15,'굴절률'!$A$6:$A$44,0)),INDEX('굴절률'!$C$6:$C$44,MATCH(AZ15,'굴절률'!$A$6:$A$44,1))+(AZ15-INDEX('굴절률'!$A$6:$A$44,MATCH(AZ15,'굴절률'!$A$6:$A$44,1)))*(INDEX('굴절률'!$C$6:$C$44,MATCH(AZ15,'굴절률'!$A$6:$A$44,1)+1)-INDEX('굴절률'!$C$6:$C$44,MATCH(AZ15,'굴절률'!$A$6:$A$44,1)))/(INDEX('굴절률'!$A$6:$A$44,MATCH(AZ15,'굴절률'!$A$6:$A$44,1)+1)-INDEX('굴절률'!$A$6:$A$44,MATCH(AZ15,'굴절률'!$A$6:$A$44,1))))))</x:f>
        <x:v>2.36641</x:v>
      </x:c>
      <x:c r="BB15" s="39" t="n">
        <x:f>IF(BA15="","",COS(ASIN(SIN(RADIANS('설정'!$G$7))/BA15)))</x:f>
        <x:v>1</x:v>
      </x:c>
      <x:c r="BC15" s="40" t="n">
        <x:f>IF(OR(AZ15="",BA15="",BB15=""),"",IF('설정'!$C$7="최소",'설정'!$D$7*AZ15/(2*BA15*BB15),(2*'설정'!$D$7-1)*AZ15/(4*BA15*BB15)))</x:f>
        <x:v>99.3065445125739</x:v>
      </x:c>
      <x:c r="BD15" s="42" t="str">
        <x:f>IF(COUNT(H15:AT15)=0,"입력 필요",IF(COUNT(H15:AT15)&lt;&gt;39,"데이터 점검",IF(OR('설정'!$E$7&gt;'설정'!$F$7,'설정'!$E$7&lt;360,'설정'!$F$7&gt;740),"검색 범위 오류",IF(AY15&lt;&gt;"","수동 파장",IF(OR(AZ15='설정'!$E$7,AZ15='설정'!$F$7),"경계 극값 확인",IF(COUNTIFS(H15:AT15,IF('설정'!$C$7="최소",AU15,AW15),$H$5:$AT$5,"&gt;="&amp;'설정'!$E$7,$H$5:$AT$5,"&lt;="&amp;'설정'!$F$7)&gt;1,"복수 극값 평균","완료"))))))</x:f>
        <x:v>완료</x:v>
      </x:c>
      <x:c r="BE15" s="71" t="str">
        <x:f>IF(AND(BE$5&gt;='설정'!$E$7,BE$5&lt;='설정'!$F$7),H15,"")</x:f>
      </x:c>
      <x:c r="BF15" s="71" t="str">
        <x:f>IF(AND(BF$5&gt;='설정'!$E$7,BF$5&lt;='설정'!$F$7),I15,"")</x:f>
      </x:c>
      <x:c r="BG15" s="71" t="str">
        <x:f>IF(AND(BG$5&gt;='설정'!$E$7,BG$5&lt;='설정'!$F$7),J15,"")</x:f>
      </x:c>
      <x:c r="BH15" s="71" t="str">
        <x:f>IF(AND(BH$5&gt;='설정'!$E$7,BH$5&lt;='설정'!$F$7),K15,"")</x:f>
      </x:c>
      <x:c r="BI15" s="71" t="str">
        <x:f>IF(AND(BI$5&gt;='설정'!$E$7,BI$5&lt;='설정'!$F$7),L15,"")</x:f>
      </x:c>
      <x:c r="BJ15" s="71" t="str">
        <x:f>IF(AND(BJ$5&gt;='설정'!$E$7,BJ$5&lt;='설정'!$F$7),M15,"")</x:f>
      </x:c>
      <x:c r="BK15" s="71" t="str">
        <x:f>IF(AND(BK$5&gt;='설정'!$E$7,BK$5&lt;='설정'!$F$7),N15,"")</x:f>
      </x:c>
      <x:c r="BL15" s="71" t="n">
        <x:f>IF(AND(BL$5&gt;='설정'!$E$7,BL$5&lt;='설정'!$F$7),O15,"")</x:f>
        <x:v>15.98</x:v>
      </x:c>
      <x:c r="BM15" s="71" t="n">
        <x:f>IF(AND(BM$5&gt;='설정'!$E$7,BM$5&lt;='설정'!$F$7),P15,"")</x:f>
        <x:v>14.23</x:v>
      </x:c>
      <x:c r="BN15" s="71" t="n">
        <x:f>IF(AND(BN$5&gt;='설정'!$E$7,BN$5&lt;='설정'!$F$7),Q15,"")</x:f>
        <x:v>13.12</x:v>
      </x:c>
      <x:c r="BO15" s="71" t="n">
        <x:f>IF(AND(BO$5&gt;='설정'!$E$7,BO$5&lt;='설정'!$F$7),R15,"")</x:f>
        <x:v>12.35</x:v>
      </x:c>
      <x:c r="BP15" s="71" t="n">
        <x:f>IF(AND(BP$5&gt;='설정'!$E$7,BP$5&lt;='설정'!$F$7),S15,"")</x:f>
        <x:v>12.06</x:v>
      </x:c>
      <x:c r="BQ15" s="71" t="n">
        <x:f>IF(AND(BQ$5&gt;='설정'!$E$7,BQ$5&lt;='설정'!$F$7),T15,"")</x:f>
        <x:v>12.1</x:v>
      </x:c>
      <x:c r="BR15" s="71" t="n">
        <x:f>IF(AND(BR$5&gt;='설정'!$E$7,BR$5&lt;='설정'!$F$7),U15,"")</x:f>
        <x:v>12.42</x:v>
      </x:c>
      <x:c r="BS15" s="71" t="n">
        <x:f>IF(AND(BS$5&gt;='설정'!$E$7,BS$5&lt;='설정'!$F$7),V15,"")</x:f>
        <x:v>13.02</x:v>
      </x:c>
      <x:c r="BT15" s="71" t="n">
        <x:f>IF(AND(BT$5&gt;='설정'!$E$7,BT$5&lt;='설정'!$F$7),W15,"")</x:f>
        <x:v>13.68</x:v>
      </x:c>
      <x:c r="BU15" s="71" t="n">
        <x:f>IF(AND(BU$5&gt;='설정'!$E$7,BU$5&lt;='설정'!$F$7),X15,"")</x:f>
        <x:v>14.48</x:v>
      </x:c>
      <x:c r="BV15" s="71" t="n">
        <x:f>IF(AND(BV$5&gt;='설정'!$E$7,BV$5&lt;='설정'!$F$7),Y15,"")</x:f>
        <x:v>15.38</x:v>
      </x:c>
      <x:c r="BW15" s="71" t="n">
        <x:f>IF(AND(BW$5&gt;='설정'!$E$7,BW$5&lt;='설정'!$F$7),Z15,"")</x:f>
        <x:v>16.32</x:v>
      </x:c>
      <x:c r="BX15" s="71" t="n">
        <x:f>IF(AND(BX$5&gt;='설정'!$E$7,BX$5&lt;='설정'!$F$7),AA15,"")</x:f>
        <x:v>17.21</x:v>
      </x:c>
      <x:c r="BY15" s="71" t="n">
        <x:f>IF(AND(BY$5&gt;='설정'!$E$7,BY$5&lt;='설정'!$F$7),AB15,"")</x:f>
        <x:v>18.14</x:v>
      </x:c>
      <x:c r="BZ15" s="71" t="n">
        <x:f>IF(AND(BZ$5&gt;='설정'!$E$7,BZ$5&lt;='설정'!$F$7),AC15,"")</x:f>
        <x:v>19.04</x:v>
      </x:c>
      <x:c r="CA15" s="71" t="n">
        <x:f>IF(AND(CA$5&gt;='설정'!$E$7,CA$5&lt;='설정'!$F$7),AD15,"")</x:f>
        <x:v>19.89</x:v>
      </x:c>
      <x:c r="CB15" s="71" t="n">
        <x:f>IF(AND(CB$5&gt;='설정'!$E$7,CB$5&lt;='설정'!$F$7),AE15,"")</x:f>
        <x:v>20.72</x:v>
      </x:c>
      <x:c r="CC15" s="71" t="n">
        <x:f>IF(AND(CC$5&gt;='설정'!$E$7,CC$5&lt;='설정'!$F$7),AF15,"")</x:f>
        <x:v>21.52</x:v>
      </x:c>
      <x:c r="CD15" s="71" t="str">
        <x:f>IF(AND(CD$5&gt;='설정'!$E$7,CD$5&lt;='설정'!$F$7),AG15,"")</x:f>
      </x:c>
      <x:c r="CE15" s="71" t="str">
        <x:f>IF(AND(CE$5&gt;='설정'!$E$7,CE$5&lt;='설정'!$F$7),AH15,"")</x:f>
      </x:c>
      <x:c r="CF15" s="71" t="str">
        <x:f>IF(AND(CF$5&gt;='설정'!$E$7,CF$5&lt;='설정'!$F$7),AI15,"")</x:f>
      </x:c>
      <x:c r="CG15" s="71" t="str">
        <x:f>IF(AND(CG$5&gt;='설정'!$E$7,CG$5&lt;='설정'!$F$7),AJ15,"")</x:f>
      </x:c>
      <x:c r="CH15" s="71" t="str">
        <x:f>IF(AND(CH$5&gt;='설정'!$E$7,CH$5&lt;='설정'!$F$7),AK15,"")</x:f>
      </x:c>
      <x:c r="CI15" s="71" t="str">
        <x:f>IF(AND(CI$5&gt;='설정'!$E$7,CI$5&lt;='설정'!$F$7),AL15,"")</x:f>
      </x:c>
      <x:c r="CJ15" s="71" t="str">
        <x:f>IF(AND(CJ$5&gt;='설정'!$E$7,CJ$5&lt;='설정'!$F$7),AM15,"")</x:f>
      </x:c>
      <x:c r="CK15" s="71" t="str">
        <x:f>IF(AND(CK$5&gt;='설정'!$E$7,CK$5&lt;='설정'!$F$7),AN15,"")</x:f>
      </x:c>
      <x:c r="CL15" s="71" t="str">
        <x:f>IF(AND(CL$5&gt;='설정'!$E$7,CL$5&lt;='설정'!$F$7),AO15,"")</x:f>
      </x:c>
      <x:c r="CM15" s="71" t="str">
        <x:f>IF(AND(CM$5&gt;='설정'!$E$7,CM$5&lt;='설정'!$F$7),AP15,"")</x:f>
      </x:c>
      <x:c r="CN15" s="71" t="str">
        <x:f>IF(AND(CN$5&gt;='설정'!$E$7,CN$5&lt;='설정'!$F$7),AQ15,"")</x:f>
      </x:c>
      <x:c r="CO15" s="71" t="str">
        <x:f>IF(AND(CO$5&gt;='설정'!$E$7,CO$5&lt;='설정'!$F$7),AR15,"")</x:f>
      </x:c>
      <x:c r="CP15" s="71" t="str">
        <x:f>IF(AND(CP$5&gt;='설정'!$E$7,CP$5&lt;='설정'!$F$7),AS15,"")</x:f>
      </x:c>
      <x:c r="CQ15" s="71" t="str">
        <x:f>IF(AND(CQ$5&gt;='설정'!$E$7,CQ$5&lt;='설정'!$F$7),AT15,"")</x:f>
      </x:c>
    </x:row>
    <x:row r="16" ht="20" customHeight="1">
      <x:c r="A16" s="46" t="n">
        <x:v>11</x:v>
      </x:c>
      <x:c r="B16" s="44" t="str">
        <x:v>Nb2O5 균일도_11</x:v>
      </x:c>
      <x:c r="C16" s="61" t="n">
        <x:v>50.47</x:v>
      </x:c>
      <x:c r="D16" s="61" t="n">
        <x:v>7.55</x:v>
      </x:c>
      <x:c r="E16" s="61" t="n">
        <x:v>12.81</x:v>
      </x:c>
      <x:c r="F16" s="61" t="n">
        <x:v>18.81</x:v>
      </x:c>
      <x:c r="G16" s="44" t="str">
        <x:v>SCI</x:v>
      </x:c>
      <x:c r="H16" s="61" t="n">
        <x:v>35.26</x:v>
      </x:c>
      <x:c r="I16" s="61" t="n">
        <x:v>31.8</x:v>
      </x:c>
      <x:c r="J16" s="61" t="n">
        <x:v>28.14</x:v>
      </x:c>
      <x:c r="K16" s="61" t="n">
        <x:v>24.55</x:v>
      </x:c>
      <x:c r="L16" s="61" t="n">
        <x:v>21.22</x:v>
      </x:c>
      <x:c r="M16" s="61" t="n">
        <x:v>18.28</x:v>
      </x:c>
      <x:c r="N16" s="61" t="n">
        <x:v>15.84</x:v>
      </x:c>
      <x:c r="O16" s="61" t="n">
        <x:v>14.12</x:v>
      </x:c>
      <x:c r="P16" s="61" t="n">
        <x:v>12.92</x:v>
      </x:c>
      <x:c r="Q16" s="61" t="n">
        <x:v>12.29</x:v>
      </x:c>
      <x:c r="R16" s="61" t="n">
        <x:v>12.04</x:v>
      </x:c>
      <x:c r="S16" s="61" t="n">
        <x:v>12.17</x:v>
      </x:c>
      <x:c r="T16" s="61" t="n">
        <x:v>12.64</x:v>
      </x:c>
      <x:c r="U16" s="61" t="n">
        <x:v>13.26</x:v>
      </x:c>
      <x:c r="V16" s="61" t="n">
        <x:v>14.13</x:v>
      </x:c>
      <x:c r="W16" s="61" t="n">
        <x:v>14.97</x:v>
      </x:c>
      <x:c r="X16" s="61" t="n">
        <x:v>15.94</x:v>
      </x:c>
      <x:c r="Y16" s="61" t="n">
        <x:v>16.89</x:v>
      </x:c>
      <x:c r="Z16" s="61" t="n">
        <x:v>17.89</x:v>
      </x:c>
      <x:c r="AA16" s="61" t="n">
        <x:v>18.81</x:v>
      </x:c>
      <x:c r="AB16" s="61" t="n">
        <x:v>19.75</x:v>
      </x:c>
      <x:c r="AC16" s="61" t="n">
        <x:v>20.62</x:v>
      </x:c>
      <x:c r="AD16" s="61" t="n">
        <x:v>21.45</x:v>
      </x:c>
      <x:c r="AE16" s="61" t="n">
        <x:v>22.22</x:v>
      </x:c>
      <x:c r="AF16" s="61" t="n">
        <x:v>22.94</x:v>
      </x:c>
      <x:c r="AG16" s="61" t="n">
        <x:v>23.63</x:v>
      </x:c>
      <x:c r="AH16" s="61" t="n">
        <x:v>24.25</x:v>
      </x:c>
      <x:c r="AI16" s="61" t="n">
        <x:v>24.79</x:v>
      </x:c>
      <x:c r="AJ16" s="61" t="n">
        <x:v>25.35</x:v>
      </x:c>
      <x:c r="AK16" s="61" t="n">
        <x:v>25.79</x:v>
      </x:c>
      <x:c r="AL16" s="61" t="n">
        <x:v>26.22</x:v>
      </x:c>
      <x:c r="AM16" s="61" t="n">
        <x:v>26.59</x:v>
      </x:c>
      <x:c r="AN16" s="61" t="n">
        <x:v>26.97</x:v>
      </x:c>
      <x:c r="AO16" s="61" t="n">
        <x:v>27.31</x:v>
      </x:c>
      <x:c r="AP16" s="61" t="n">
        <x:v>27.58</x:v>
      </x:c>
      <x:c r="AQ16" s="61" t="n">
        <x:v>27.82</x:v>
      </x:c>
      <x:c r="AR16" s="61" t="n">
        <x:v>27.98</x:v>
      </x:c>
      <x:c r="AS16" s="61" t="n">
        <x:v>28.22</x:v>
      </x:c>
      <x:c r="AT16" s="61" t="n">
        <x:v>28.38</x:v>
      </x:c>
      <x:c r="AU16" s="40" t="n">
        <x:f>IF(OR('설정'!$E$7&gt;'설정'!$F$7,COUNT(H16:AT16)=0),"",MIN(BE16:CQ16))</x:f>
        <x:v>12.04</x:v>
      </x:c>
      <x:c r="AV16" s="40" t="n">
        <x:f>IF(AU16="","",SUMIFS($BE$5:$CQ$5,BE16:CQ16,AU16)/COUNTIFS(BE16:CQ16,AU16))</x:f>
        <x:v>460</x:v>
      </x:c>
      <x:c r="AW16" s="40" t="n">
        <x:f>IF(OR('설정'!$E$7&gt;'설정'!$F$7,COUNT(H16:AT16)=0),"",MAX(BE16:CQ16))</x:f>
        <x:v>22.94</x:v>
      </x:c>
      <x:c r="AX16" s="40" t="n">
        <x:f>IF(AW16="","",SUMIFS($BE$5:$CQ$5,BE16:CQ16,AW16)/COUNTIFS(BE16:CQ16,AW16))</x:f>
        <x:v>600</x:v>
      </x:c>
      <x:c r="AY16" s="66"/>
      <x:c r="AZ16" s="38" t="n">
        <x:f>IF(AY16&lt;&gt;"",AY16,IF('설정'!$C$7="최소",AV16,AX16))</x:f>
        <x:v>460</x:v>
      </x:c>
      <x:c r="BA16" s="39" t="n">
        <x:f>IF(AZ16="","",IF(OR(AZ16&lt;'굴절률'!$A$6,AZ16&gt;'굴절률'!$A$44),"",IF(COUNTIFS('굴절률'!$A$6:$A$44,AZ16)&gt;0,INDEX('굴절률'!$C$6:$C$44,MATCH(AZ16,'굴절률'!$A$6:$A$44,0)),INDEX('굴절률'!$C$6:$C$44,MATCH(AZ16,'굴절률'!$A$6:$A$44,1))+(AZ16-INDEX('굴절률'!$A$6:$A$44,MATCH(AZ16,'굴절률'!$A$6:$A$44,1)))*(INDEX('굴절률'!$C$6:$C$44,MATCH(AZ16,'굴절률'!$A$6:$A$44,1)+1)-INDEX('굴절률'!$C$6:$C$44,MATCH(AZ16,'굴절률'!$A$6:$A$44,1)))/(INDEX('굴절률'!$A$6:$A$44,MATCH(AZ16,'굴절률'!$A$6:$A$44,1)+1)-INDEX('굴절률'!$A$6:$A$44,MATCH(AZ16,'굴절률'!$A$6:$A$44,1))))))</x:f>
        <x:v>2.37476</x:v>
      </x:c>
      <x:c r="BB16" s="39" t="n">
        <x:f>IF(BA16="","",COS(ASIN(SIN(RADIANS('설정'!$G$7))/BA16)))</x:f>
        <x:v>1</x:v>
      </x:c>
      <x:c r="BC16" s="40" t="n">
        <x:f>IF(OR(AZ16="",BA16="",BB16=""),"",IF('설정'!$C$7="최소",'설정'!$D$7*AZ16/(2*BA16*BB16),(2*'설정'!$D$7-1)*AZ16/(4*BA16*BB16)))</x:f>
        <x:v>96.85189240175849</x:v>
      </x:c>
      <x:c r="BD16" s="42" t="str">
        <x:f>IF(COUNT(H16:AT16)=0,"입력 필요",IF(COUNT(H16:AT16)&lt;&gt;39,"데이터 점검",IF(OR('설정'!$E$7&gt;'설정'!$F$7,'설정'!$E$7&lt;360,'설정'!$F$7&gt;740),"검색 범위 오류",IF(AY16&lt;&gt;"","수동 파장",IF(OR(AZ16='설정'!$E$7,AZ16='설정'!$F$7),"경계 극값 확인",IF(COUNTIFS(H16:AT16,IF('설정'!$C$7="최소",AU16,AW16),$H$5:$AT$5,"&gt;="&amp;'설정'!$E$7,$H$5:$AT$5,"&lt;="&amp;'설정'!$F$7)&gt;1,"복수 극값 평균","완료"))))))</x:f>
        <x:v>완료</x:v>
      </x:c>
      <x:c r="BE16" s="71" t="str">
        <x:f>IF(AND(BE$5&gt;='설정'!$E$7,BE$5&lt;='설정'!$F$7),H16,"")</x:f>
      </x:c>
      <x:c r="BF16" s="71" t="str">
        <x:f>IF(AND(BF$5&gt;='설정'!$E$7,BF$5&lt;='설정'!$F$7),I16,"")</x:f>
      </x:c>
      <x:c r="BG16" s="71" t="str">
        <x:f>IF(AND(BG$5&gt;='설정'!$E$7,BG$5&lt;='설정'!$F$7),J16,"")</x:f>
      </x:c>
      <x:c r="BH16" s="71" t="str">
        <x:f>IF(AND(BH$5&gt;='설정'!$E$7,BH$5&lt;='설정'!$F$7),K16,"")</x:f>
      </x:c>
      <x:c r="BI16" s="71" t="str">
        <x:f>IF(AND(BI$5&gt;='설정'!$E$7,BI$5&lt;='설정'!$F$7),L16,"")</x:f>
      </x:c>
      <x:c r="BJ16" s="71" t="str">
        <x:f>IF(AND(BJ$5&gt;='설정'!$E$7,BJ$5&lt;='설정'!$F$7),M16,"")</x:f>
      </x:c>
      <x:c r="BK16" s="71" t="str">
        <x:f>IF(AND(BK$5&gt;='설정'!$E$7,BK$5&lt;='설정'!$F$7),N16,"")</x:f>
      </x:c>
      <x:c r="BL16" s="71" t="n">
        <x:f>IF(AND(BL$5&gt;='설정'!$E$7,BL$5&lt;='설정'!$F$7),O16,"")</x:f>
        <x:v>14.12</x:v>
      </x:c>
      <x:c r="BM16" s="71" t="n">
        <x:f>IF(AND(BM$5&gt;='설정'!$E$7,BM$5&lt;='설정'!$F$7),P16,"")</x:f>
        <x:v>12.92</x:v>
      </x:c>
      <x:c r="BN16" s="71" t="n">
        <x:f>IF(AND(BN$5&gt;='설정'!$E$7,BN$5&lt;='설정'!$F$7),Q16,"")</x:f>
        <x:v>12.29</x:v>
      </x:c>
      <x:c r="BO16" s="71" t="n">
        <x:f>IF(AND(BO$5&gt;='설정'!$E$7,BO$5&lt;='설정'!$F$7),R16,"")</x:f>
        <x:v>12.04</x:v>
      </x:c>
      <x:c r="BP16" s="71" t="n">
        <x:f>IF(AND(BP$5&gt;='설정'!$E$7,BP$5&lt;='설정'!$F$7),S16,"")</x:f>
        <x:v>12.17</x:v>
      </x:c>
      <x:c r="BQ16" s="71" t="n">
        <x:f>IF(AND(BQ$5&gt;='설정'!$E$7,BQ$5&lt;='설정'!$F$7),T16,"")</x:f>
        <x:v>12.64</x:v>
      </x:c>
      <x:c r="BR16" s="71" t="n">
        <x:f>IF(AND(BR$5&gt;='설정'!$E$7,BR$5&lt;='설정'!$F$7),U16,"")</x:f>
        <x:v>13.26</x:v>
      </x:c>
      <x:c r="BS16" s="71" t="n">
        <x:f>IF(AND(BS$5&gt;='설정'!$E$7,BS$5&lt;='설정'!$F$7),V16,"")</x:f>
        <x:v>14.13</x:v>
      </x:c>
      <x:c r="BT16" s="71" t="n">
        <x:f>IF(AND(BT$5&gt;='설정'!$E$7,BT$5&lt;='설정'!$F$7),W16,"")</x:f>
        <x:v>14.97</x:v>
      </x:c>
      <x:c r="BU16" s="71" t="n">
        <x:f>IF(AND(BU$5&gt;='설정'!$E$7,BU$5&lt;='설정'!$F$7),X16,"")</x:f>
        <x:v>15.94</x:v>
      </x:c>
      <x:c r="BV16" s="71" t="n">
        <x:f>IF(AND(BV$5&gt;='설정'!$E$7,BV$5&lt;='설정'!$F$7),Y16,"")</x:f>
        <x:v>16.89</x:v>
      </x:c>
      <x:c r="BW16" s="71" t="n">
        <x:f>IF(AND(BW$5&gt;='설정'!$E$7,BW$5&lt;='설정'!$F$7),Z16,"")</x:f>
        <x:v>17.89</x:v>
      </x:c>
      <x:c r="BX16" s="71" t="n">
        <x:f>IF(AND(BX$5&gt;='설정'!$E$7,BX$5&lt;='설정'!$F$7),AA16,"")</x:f>
        <x:v>18.81</x:v>
      </x:c>
      <x:c r="BY16" s="71" t="n">
        <x:f>IF(AND(BY$5&gt;='설정'!$E$7,BY$5&lt;='설정'!$F$7),AB16,"")</x:f>
        <x:v>19.75</x:v>
      </x:c>
      <x:c r="BZ16" s="71" t="n">
        <x:f>IF(AND(BZ$5&gt;='설정'!$E$7,BZ$5&lt;='설정'!$F$7),AC16,"")</x:f>
        <x:v>20.62</x:v>
      </x:c>
      <x:c r="CA16" s="71" t="n">
        <x:f>IF(AND(CA$5&gt;='설정'!$E$7,CA$5&lt;='설정'!$F$7),AD16,"")</x:f>
        <x:v>21.45</x:v>
      </x:c>
      <x:c r="CB16" s="71" t="n">
        <x:f>IF(AND(CB$5&gt;='설정'!$E$7,CB$5&lt;='설정'!$F$7),AE16,"")</x:f>
        <x:v>22.22</x:v>
      </x:c>
      <x:c r="CC16" s="71" t="n">
        <x:f>IF(AND(CC$5&gt;='설정'!$E$7,CC$5&lt;='설정'!$F$7),AF16,"")</x:f>
        <x:v>22.94</x:v>
      </x:c>
      <x:c r="CD16" s="71" t="str">
        <x:f>IF(AND(CD$5&gt;='설정'!$E$7,CD$5&lt;='설정'!$F$7),AG16,"")</x:f>
      </x:c>
      <x:c r="CE16" s="71" t="str">
        <x:f>IF(AND(CE$5&gt;='설정'!$E$7,CE$5&lt;='설정'!$F$7),AH16,"")</x:f>
      </x:c>
      <x:c r="CF16" s="71" t="str">
        <x:f>IF(AND(CF$5&gt;='설정'!$E$7,CF$5&lt;='설정'!$F$7),AI16,"")</x:f>
      </x:c>
      <x:c r="CG16" s="71" t="str">
        <x:f>IF(AND(CG$5&gt;='설정'!$E$7,CG$5&lt;='설정'!$F$7),AJ16,"")</x:f>
      </x:c>
      <x:c r="CH16" s="71" t="str">
        <x:f>IF(AND(CH$5&gt;='설정'!$E$7,CH$5&lt;='설정'!$F$7),AK16,"")</x:f>
      </x:c>
      <x:c r="CI16" s="71" t="str">
        <x:f>IF(AND(CI$5&gt;='설정'!$E$7,CI$5&lt;='설정'!$F$7),AL16,"")</x:f>
      </x:c>
      <x:c r="CJ16" s="71" t="str">
        <x:f>IF(AND(CJ$5&gt;='설정'!$E$7,CJ$5&lt;='설정'!$F$7),AM16,"")</x:f>
      </x:c>
      <x:c r="CK16" s="71" t="str">
        <x:f>IF(AND(CK$5&gt;='설정'!$E$7,CK$5&lt;='설정'!$F$7),AN16,"")</x:f>
      </x:c>
      <x:c r="CL16" s="71" t="str">
        <x:f>IF(AND(CL$5&gt;='설정'!$E$7,CL$5&lt;='설정'!$F$7),AO16,"")</x:f>
      </x:c>
      <x:c r="CM16" s="71" t="str">
        <x:f>IF(AND(CM$5&gt;='설정'!$E$7,CM$5&lt;='설정'!$F$7),AP16,"")</x:f>
      </x:c>
      <x:c r="CN16" s="71" t="str">
        <x:f>IF(AND(CN$5&gt;='설정'!$E$7,CN$5&lt;='설정'!$F$7),AQ16,"")</x:f>
      </x:c>
      <x:c r="CO16" s="71" t="str">
        <x:f>IF(AND(CO$5&gt;='설정'!$E$7,CO$5&lt;='설정'!$F$7),AR16,"")</x:f>
      </x:c>
      <x:c r="CP16" s="71" t="str">
        <x:f>IF(AND(CP$5&gt;='설정'!$E$7,CP$5&lt;='설정'!$F$7),AS16,"")</x:f>
      </x:c>
      <x:c r="CQ16" s="71" t="str">
        <x:f>IF(AND(CQ$5&gt;='설정'!$E$7,CQ$5&lt;='설정'!$F$7),AT16,"")</x:f>
      </x:c>
    </x:row>
    <x:row r="17" ht="20" customHeight="1">
      <x:c r="A17" s="46" t="n">
        <x:v>12</x:v>
      </x:c>
      <x:c r="B17" s="44" t="str">
        <x:v>Nb2O5 균일도_12</x:v>
      </x:c>
      <x:c r="C17" s="61" t="n">
        <x:v>51.53</x:v>
      </x:c>
      <x:c r="D17" s="61" t="n">
        <x:v>6.19</x:v>
      </x:c>
      <x:c r="E17" s="61" t="n">
        <x:v>15.36</x:v>
      </x:c>
      <x:c r="F17" s="61" t="n">
        <x:v>19.73</x:v>
      </x:c>
      <x:c r="G17" s="44" t="str">
        <x:v>SCI</x:v>
      </x:c>
      <x:c r="H17" s="61" t="n">
        <x:v>34.06</x:v>
      </x:c>
      <x:c r="I17" s="61" t="n">
        <x:v>30.1</x:v>
      </x:c>
      <x:c r="J17" s="61" t="n">
        <x:v>26.14</x:v>
      </x:c>
      <x:c r="K17" s="61" t="n">
        <x:v>22.5</x:v>
      </x:c>
      <x:c r="L17" s="61" t="n">
        <x:v>19.27</x:v>
      </x:c>
      <x:c r="M17" s="61" t="n">
        <x:v>16.56</x:v>
      </x:c>
      <x:c r="N17" s="61" t="n">
        <x:v>14.47</x:v>
      </x:c>
      <x:c r="O17" s="61" t="n">
        <x:v>13.11</x:v>
      </x:c>
      <x:c r="P17" s="61" t="n">
        <x:v>12.28</x:v>
      </x:c>
      <x:c r="Q17" s="61" t="n">
        <x:v>12</x:v>
      </x:c>
      <x:c r="R17" s="61" t="n">
        <x:v>12.1</x:v>
      </x:c>
      <x:c r="S17" s="61" t="n">
        <x:v>12.5</x:v>
      </x:c>
      <x:c r="T17" s="61" t="n">
        <x:v>13.21</x:v>
      </x:c>
      <x:c r="U17" s="61" t="n">
        <x:v>14</x:v>
      </x:c>
      <x:c r="V17" s="61" t="n">
        <x:v>14.99</x:v>
      </x:c>
      <x:c r="W17" s="61" t="n">
        <x:v>15.96</x:v>
      </x:c>
      <x:c r="X17" s="61" t="n">
        <x:v>16.97</x:v>
      </x:c>
      <x:c r="Y17" s="61" t="n">
        <x:v>17.96</x:v>
      </x:c>
      <x:c r="Z17" s="61" t="n">
        <x:v>18.98</x:v>
      </x:c>
      <x:c r="AA17" s="61" t="n">
        <x:v>19.88</x:v>
      </x:c>
      <x:c r="AB17" s="61" t="n">
        <x:v>20.81</x:v>
      </x:c>
      <x:c r="AC17" s="61" t="n">
        <x:v>21.65</x:v>
      </x:c>
      <x:c r="AD17" s="61" t="n">
        <x:v>22.45</x:v>
      </x:c>
      <x:c r="AE17" s="61" t="n">
        <x:v>23.19</x:v>
      </x:c>
      <x:c r="AF17" s="61" t="n">
        <x:v>23.88</x:v>
      </x:c>
      <x:c r="AG17" s="61" t="n">
        <x:v>24.51</x:v>
      </x:c>
      <x:c r="AH17" s="61" t="n">
        <x:v>25.09</x:v>
      </x:c>
      <x:c r="AI17" s="61" t="n">
        <x:v>25.57</x:v>
      </x:c>
      <x:c r="AJ17" s="61" t="n">
        <x:v>26.08</x:v>
      </x:c>
      <x:c r="AK17" s="61" t="n">
        <x:v>26.5</x:v>
      </x:c>
      <x:c r="AL17" s="61" t="n">
        <x:v>26.86</x:v>
      </x:c>
      <x:c r="AM17" s="61" t="n">
        <x:v>27.18</x:v>
      </x:c>
      <x:c r="AN17" s="61" t="n">
        <x:v>27.58</x:v>
      </x:c>
      <x:c r="AO17" s="61" t="n">
        <x:v>27.85</x:v>
      </x:c>
      <x:c r="AP17" s="61" t="n">
        <x:v>28.07</x:v>
      </x:c>
      <x:c r="AQ17" s="61" t="n">
        <x:v>28.24</x:v>
      </x:c>
      <x:c r="AR17" s="61" t="n">
        <x:v>28.39</x:v>
      </x:c>
      <x:c r="AS17" s="61" t="n">
        <x:v>28.64</x:v>
      </x:c>
      <x:c r="AT17" s="61" t="n">
        <x:v>28.73</x:v>
      </x:c>
      <x:c r="AU17" s="40" t="n">
        <x:f>IF(OR('설정'!$E$7&gt;'설정'!$F$7,COUNT(H17:AT17)=0),"",MIN(BE17:CQ17))</x:f>
        <x:v>12</x:v>
      </x:c>
      <x:c r="AV17" s="40" t="n">
        <x:f>IF(AU17="","",SUMIFS($BE$5:$CQ$5,BE17:CQ17,AU17)/COUNTIFS(BE17:CQ17,AU17))</x:f>
        <x:v>450</x:v>
      </x:c>
      <x:c r="AW17" s="40" t="n">
        <x:f>IF(OR('설정'!$E$7&gt;'설정'!$F$7,COUNT(H17:AT17)=0),"",MAX(BE17:CQ17))</x:f>
        <x:v>23.88</x:v>
      </x:c>
      <x:c r="AX17" s="40" t="n">
        <x:f>IF(AW17="","",SUMIFS($BE$5:$CQ$5,BE17:CQ17,AW17)/COUNTIFS(BE17:CQ17,AW17))</x:f>
        <x:v>600</x:v>
      </x:c>
      <x:c r="AY17" s="66"/>
      <x:c r="AZ17" s="38" t="n">
        <x:f>IF(AY17&lt;&gt;"",AY17,IF('설정'!$C$7="최소",AV17,AX17))</x:f>
        <x:v>450</x:v>
      </x:c>
      <x:c r="BA17" s="39" t="n">
        <x:f>IF(AZ17="","",IF(OR(AZ17&lt;'굴절률'!$A$6,AZ17&gt;'굴절률'!$A$44),"",IF(COUNTIFS('굴절률'!$A$6:$A$44,AZ17)&gt;0,INDEX('굴절률'!$C$6:$C$44,MATCH(AZ17,'굴절률'!$A$6:$A$44,0)),INDEX('굴절률'!$C$6:$C$44,MATCH(AZ17,'굴절률'!$A$6:$A$44,1))+(AZ17-INDEX('굴절률'!$A$6:$A$44,MATCH(AZ17,'굴절률'!$A$6:$A$44,1)))*(INDEX('굴절률'!$C$6:$C$44,MATCH(AZ17,'굴절률'!$A$6:$A$44,1)+1)-INDEX('굴절률'!$C$6:$C$44,MATCH(AZ17,'굴절률'!$A$6:$A$44,1)))/(INDEX('굴절률'!$A$6:$A$44,MATCH(AZ17,'굴절률'!$A$6:$A$44,1)+1)-INDEX('굴절률'!$A$6:$A$44,MATCH(AZ17,'굴절률'!$A$6:$A$44,1))))))</x:f>
        <x:v>2.38404</x:v>
      </x:c>
      <x:c r="BB17" s="39" t="n">
        <x:f>IF(BA17="","",COS(ASIN(SIN(RADIANS('설정'!$G$7))/BA17)))</x:f>
        <x:v>1</x:v>
      </x:c>
      <x:c r="BC17" s="40" t="n">
        <x:f>IF(OR(AZ17="",BA17="",BB17=""),"",IF('설정'!$C$7="최소",'설정'!$D$7*AZ17/(2*BA17*BB17),(2*'설정'!$D$7-1)*AZ17/(4*BA17*BB17)))</x:f>
        <x:v>94.37761111390748</x:v>
      </x:c>
      <x:c r="BD17" s="42" t="str">
        <x:f>IF(COUNT(H17:AT17)=0,"입력 필요",IF(COUNT(H17:AT17)&lt;&gt;39,"데이터 점검",IF(OR('설정'!$E$7&gt;'설정'!$F$7,'설정'!$E$7&lt;360,'설정'!$F$7&gt;740),"검색 범위 오류",IF(AY17&lt;&gt;"","수동 파장",IF(OR(AZ17='설정'!$E$7,AZ17='설정'!$F$7),"경계 극값 확인",IF(COUNTIFS(H17:AT17,IF('설정'!$C$7="최소",AU17,AW17),$H$5:$AT$5,"&gt;="&amp;'설정'!$E$7,$H$5:$AT$5,"&lt;="&amp;'설정'!$F$7)&gt;1,"복수 극값 평균","완료"))))))</x:f>
        <x:v>완료</x:v>
      </x:c>
      <x:c r="BE17" s="71" t="str">
        <x:f>IF(AND(BE$5&gt;='설정'!$E$7,BE$5&lt;='설정'!$F$7),H17,"")</x:f>
      </x:c>
      <x:c r="BF17" s="71" t="str">
        <x:f>IF(AND(BF$5&gt;='설정'!$E$7,BF$5&lt;='설정'!$F$7),I17,"")</x:f>
      </x:c>
      <x:c r="BG17" s="71" t="str">
        <x:f>IF(AND(BG$5&gt;='설정'!$E$7,BG$5&lt;='설정'!$F$7),J17,"")</x:f>
      </x:c>
      <x:c r="BH17" s="71" t="str">
        <x:f>IF(AND(BH$5&gt;='설정'!$E$7,BH$5&lt;='설정'!$F$7),K17,"")</x:f>
      </x:c>
      <x:c r="BI17" s="71" t="str">
        <x:f>IF(AND(BI$5&gt;='설정'!$E$7,BI$5&lt;='설정'!$F$7),L17,"")</x:f>
      </x:c>
      <x:c r="BJ17" s="71" t="str">
        <x:f>IF(AND(BJ$5&gt;='설정'!$E$7,BJ$5&lt;='설정'!$F$7),M17,"")</x:f>
      </x:c>
      <x:c r="BK17" s="71" t="str">
        <x:f>IF(AND(BK$5&gt;='설정'!$E$7,BK$5&lt;='설정'!$F$7),N17,"")</x:f>
      </x:c>
      <x:c r="BL17" s="71" t="n">
        <x:f>IF(AND(BL$5&gt;='설정'!$E$7,BL$5&lt;='설정'!$F$7),O17,"")</x:f>
        <x:v>13.11</x:v>
      </x:c>
      <x:c r="BM17" s="71" t="n">
        <x:f>IF(AND(BM$5&gt;='설정'!$E$7,BM$5&lt;='설정'!$F$7),P17,"")</x:f>
        <x:v>12.28</x:v>
      </x:c>
      <x:c r="BN17" s="71" t="n">
        <x:f>IF(AND(BN$5&gt;='설정'!$E$7,BN$5&lt;='설정'!$F$7),Q17,"")</x:f>
        <x:v>12</x:v>
      </x:c>
      <x:c r="BO17" s="71" t="n">
        <x:f>IF(AND(BO$5&gt;='설정'!$E$7,BO$5&lt;='설정'!$F$7),R17,"")</x:f>
        <x:v>12.1</x:v>
      </x:c>
      <x:c r="BP17" s="71" t="n">
        <x:f>IF(AND(BP$5&gt;='설정'!$E$7,BP$5&lt;='설정'!$F$7),S17,"")</x:f>
        <x:v>12.5</x:v>
      </x:c>
      <x:c r="BQ17" s="71" t="n">
        <x:f>IF(AND(BQ$5&gt;='설정'!$E$7,BQ$5&lt;='설정'!$F$7),T17,"")</x:f>
        <x:v>13.21</x:v>
      </x:c>
      <x:c r="BR17" s="71" t="n">
        <x:f>IF(AND(BR$5&gt;='설정'!$E$7,BR$5&lt;='설정'!$F$7),U17,"")</x:f>
        <x:v>14</x:v>
      </x:c>
      <x:c r="BS17" s="71" t="n">
        <x:f>IF(AND(BS$5&gt;='설정'!$E$7,BS$5&lt;='설정'!$F$7),V17,"")</x:f>
        <x:v>14.99</x:v>
      </x:c>
      <x:c r="BT17" s="71" t="n">
        <x:f>IF(AND(BT$5&gt;='설정'!$E$7,BT$5&lt;='설정'!$F$7),W17,"")</x:f>
        <x:v>15.96</x:v>
      </x:c>
      <x:c r="BU17" s="71" t="n">
        <x:f>IF(AND(BU$5&gt;='설정'!$E$7,BU$5&lt;='설정'!$F$7),X17,"")</x:f>
        <x:v>16.97</x:v>
      </x:c>
      <x:c r="BV17" s="71" t="n">
        <x:f>IF(AND(BV$5&gt;='설정'!$E$7,BV$5&lt;='설정'!$F$7),Y17,"")</x:f>
        <x:v>17.96</x:v>
      </x:c>
      <x:c r="BW17" s="71" t="n">
        <x:f>IF(AND(BW$5&gt;='설정'!$E$7,BW$5&lt;='설정'!$F$7),Z17,"")</x:f>
        <x:v>18.98</x:v>
      </x:c>
      <x:c r="BX17" s="71" t="n">
        <x:f>IF(AND(BX$5&gt;='설정'!$E$7,BX$5&lt;='설정'!$F$7),AA17,"")</x:f>
        <x:v>19.88</x:v>
      </x:c>
      <x:c r="BY17" s="71" t="n">
        <x:f>IF(AND(BY$5&gt;='설정'!$E$7,BY$5&lt;='설정'!$F$7),AB17,"")</x:f>
        <x:v>20.81</x:v>
      </x:c>
      <x:c r="BZ17" s="71" t="n">
        <x:f>IF(AND(BZ$5&gt;='설정'!$E$7,BZ$5&lt;='설정'!$F$7),AC17,"")</x:f>
        <x:v>21.65</x:v>
      </x:c>
      <x:c r="CA17" s="71" t="n">
        <x:f>IF(AND(CA$5&gt;='설정'!$E$7,CA$5&lt;='설정'!$F$7),AD17,"")</x:f>
        <x:v>22.45</x:v>
      </x:c>
      <x:c r="CB17" s="71" t="n">
        <x:f>IF(AND(CB$5&gt;='설정'!$E$7,CB$5&lt;='설정'!$F$7),AE17,"")</x:f>
        <x:v>23.19</x:v>
      </x:c>
      <x:c r="CC17" s="71" t="n">
        <x:f>IF(AND(CC$5&gt;='설정'!$E$7,CC$5&lt;='설정'!$F$7),AF17,"")</x:f>
        <x:v>23.88</x:v>
      </x:c>
      <x:c r="CD17" s="71" t="str">
        <x:f>IF(AND(CD$5&gt;='설정'!$E$7,CD$5&lt;='설정'!$F$7),AG17,"")</x:f>
      </x:c>
      <x:c r="CE17" s="71" t="str">
        <x:f>IF(AND(CE$5&gt;='설정'!$E$7,CE$5&lt;='설정'!$F$7),AH17,"")</x:f>
      </x:c>
      <x:c r="CF17" s="71" t="str">
        <x:f>IF(AND(CF$5&gt;='설정'!$E$7,CF$5&lt;='설정'!$F$7),AI17,"")</x:f>
      </x:c>
      <x:c r="CG17" s="71" t="str">
        <x:f>IF(AND(CG$5&gt;='설정'!$E$7,CG$5&lt;='설정'!$F$7),AJ17,"")</x:f>
      </x:c>
      <x:c r="CH17" s="71" t="str">
        <x:f>IF(AND(CH$5&gt;='설정'!$E$7,CH$5&lt;='설정'!$F$7),AK17,"")</x:f>
      </x:c>
      <x:c r="CI17" s="71" t="str">
        <x:f>IF(AND(CI$5&gt;='설정'!$E$7,CI$5&lt;='설정'!$F$7),AL17,"")</x:f>
      </x:c>
      <x:c r="CJ17" s="71" t="str">
        <x:f>IF(AND(CJ$5&gt;='설정'!$E$7,CJ$5&lt;='설정'!$F$7),AM17,"")</x:f>
      </x:c>
      <x:c r="CK17" s="71" t="str">
        <x:f>IF(AND(CK$5&gt;='설정'!$E$7,CK$5&lt;='설정'!$F$7),AN17,"")</x:f>
      </x:c>
      <x:c r="CL17" s="71" t="str">
        <x:f>IF(AND(CL$5&gt;='설정'!$E$7,CL$5&lt;='설정'!$F$7),AO17,"")</x:f>
      </x:c>
      <x:c r="CM17" s="71" t="str">
        <x:f>IF(AND(CM$5&gt;='설정'!$E$7,CM$5&lt;='설정'!$F$7),AP17,"")</x:f>
      </x:c>
      <x:c r="CN17" s="71" t="str">
        <x:f>IF(AND(CN$5&gt;='설정'!$E$7,CN$5&lt;='설정'!$F$7),AQ17,"")</x:f>
      </x:c>
      <x:c r="CO17" s="71" t="str">
        <x:f>IF(AND(CO$5&gt;='설정'!$E$7,CO$5&lt;='설정'!$F$7),AR17,"")</x:f>
      </x:c>
      <x:c r="CP17" s="71" t="str">
        <x:f>IF(AND(CP$5&gt;='설정'!$E$7,CP$5&lt;='설정'!$F$7),AS17,"")</x:f>
      </x:c>
      <x:c r="CQ17" s="71" t="str">
        <x:f>IF(AND(CQ$5&gt;='설정'!$E$7,CQ$5&lt;='설정'!$F$7),AT17,"")</x:f>
      </x:c>
    </x:row>
    <x:row r="18" ht="20" customHeight="1">
      <x:c r="A18" s="46" t="n">
        <x:v>13</x:v>
      </x:c>
      <x:c r="B18" s="44" t="str">
        <x:v>Nb2O5 균일도_13</x:v>
      </x:c>
      <x:c r="C18" s="61" t="n">
        <x:v>52.24</x:v>
      </x:c>
      <x:c r="D18" s="61" t="n">
        <x:v>5.53</x:v>
      </x:c>
      <x:c r="E18" s="61" t="n">
        <x:v>16.49</x:v>
      </x:c>
      <x:c r="F18" s="61" t="n">
        <x:v>20.36</x:v>
      </x:c>
      <x:c r="G18" s="44" t="str">
        <x:v>SCI</x:v>
      </x:c>
      <x:c r="H18" s="61" t="n">
        <x:v>33.64</x:v>
      </x:c>
      <x:c r="I18" s="61" t="n">
        <x:v>29.39</x:v>
      </x:c>
      <x:c r="J18" s="61" t="n">
        <x:v>25.3</x:v>
      </x:c>
      <x:c r="K18" s="61" t="n">
        <x:v>21.61</x:v>
      </x:c>
      <x:c r="L18" s="61" t="n">
        <x:v>18.44</x:v>
      </x:c>
      <x:c r="M18" s="61" t="n">
        <x:v>15.86</x:v>
      </x:c>
      <x:c r="N18" s="61" t="n">
        <x:v>13.94</x:v>
      </x:c>
      <x:c r="O18" s="61" t="n">
        <x:v>12.76</x:v>
      </x:c>
      <x:c r="P18" s="61" t="n">
        <x:v>12.15</x:v>
      </x:c>
      <x:c r="Q18" s="61" t="n">
        <x:v>12.04</x:v>
      </x:c>
      <x:c r="R18" s="61" t="n">
        <x:v>12.28</x:v>
      </x:c>
      <x:c r="S18" s="61" t="n">
        <x:v>12.85</x:v>
      </x:c>
      <x:c r="T18" s="61" t="n">
        <x:v>13.65</x:v>
      </x:c>
      <x:c r="U18" s="61" t="n">
        <x:v>14.53</x:v>
      </x:c>
      <x:c r="V18" s="61" t="n">
        <x:v>15.6</x:v>
      </x:c>
      <x:c r="W18" s="61" t="n">
        <x:v>16.58</x:v>
      </x:c>
      <x:c r="X18" s="61" t="n">
        <x:v>17.64</x:v>
      </x:c>
      <x:c r="Y18" s="61" t="n">
        <x:v>18.67</x:v>
      </x:c>
      <x:c r="Z18" s="61" t="n">
        <x:v>19.68</x:v>
      </x:c>
      <x:c r="AA18" s="61" t="n">
        <x:v>20.59</x:v>
      </x:c>
      <x:c r="AB18" s="61" t="n">
        <x:v>21.51</x:v>
      </x:c>
      <x:c r="AC18" s="61" t="n">
        <x:v>22.34</x:v>
      </x:c>
      <x:c r="AD18" s="61" t="n">
        <x:v>23.11</x:v>
      </x:c>
      <x:c r="AE18" s="61" t="n">
        <x:v>23.84</x:v>
      </x:c>
      <x:c r="AF18" s="61" t="n">
        <x:v>24.5</x:v>
      </x:c>
      <x:c r="AG18" s="61" t="n">
        <x:v>25.12</x:v>
      </x:c>
      <x:c r="AH18" s="61" t="n">
        <x:v>25.68</x:v>
      </x:c>
      <x:c r="AI18" s="61" t="n">
        <x:v>26.13</x:v>
      </x:c>
      <x:c r="AJ18" s="61" t="n">
        <x:v>26.63</x:v>
      </x:c>
      <x:c r="AK18" s="61" t="n">
        <x:v>26.99</x:v>
      </x:c>
      <x:c r="AL18" s="61" t="n">
        <x:v>27.4</x:v>
      </x:c>
      <x:c r="AM18" s="61" t="n">
        <x:v>27.72</x:v>
      </x:c>
      <x:c r="AN18" s="61" t="n">
        <x:v>27.96</x:v>
      </x:c>
      <x:c r="AO18" s="61" t="n">
        <x:v>28.3</x:v>
      </x:c>
      <x:c r="AP18" s="61" t="n">
        <x:v>28.47</x:v>
      </x:c>
      <x:c r="AQ18" s="61" t="n">
        <x:v>28.68</x:v>
      </x:c>
      <x:c r="AR18" s="61" t="n">
        <x:v>28.78</x:v>
      </x:c>
      <x:c r="AS18" s="61" t="n">
        <x:v>28.96</x:v>
      </x:c>
      <x:c r="AT18" s="61" t="n">
        <x:v>29.07</x:v>
      </x:c>
      <x:c r="AU18" s="40" t="n">
        <x:f>IF(OR('설정'!$E$7&gt;'설정'!$F$7,COUNT(H18:AT18)=0),"",MIN(BE18:CQ18))</x:f>
        <x:v>12.04</x:v>
      </x:c>
      <x:c r="AV18" s="40" t="n">
        <x:f>IF(AU18="","",SUMIFS($BE$5:$CQ$5,BE18:CQ18,AU18)/COUNTIFS(BE18:CQ18,AU18))</x:f>
        <x:v>450</x:v>
      </x:c>
      <x:c r="AW18" s="40" t="n">
        <x:f>IF(OR('설정'!$E$7&gt;'설정'!$F$7,COUNT(H18:AT18)=0),"",MAX(BE18:CQ18))</x:f>
        <x:v>24.5</x:v>
      </x:c>
      <x:c r="AX18" s="40" t="n">
        <x:f>IF(AW18="","",SUMIFS($BE$5:$CQ$5,BE18:CQ18,AW18)/COUNTIFS(BE18:CQ18,AW18))</x:f>
        <x:v>600</x:v>
      </x:c>
      <x:c r="AY18" s="66"/>
      <x:c r="AZ18" s="38" t="n">
        <x:f>IF(AY18&lt;&gt;"",AY18,IF('설정'!$C$7="최소",AV18,AX18))</x:f>
        <x:v>450</x:v>
      </x:c>
      <x:c r="BA18" s="39" t="n">
        <x:f>IF(AZ18="","",IF(OR(AZ18&lt;'굴절률'!$A$6,AZ18&gt;'굴절률'!$A$44),"",IF(COUNTIFS('굴절률'!$A$6:$A$44,AZ18)&gt;0,INDEX('굴절률'!$C$6:$C$44,MATCH(AZ18,'굴절률'!$A$6:$A$44,0)),INDEX('굴절률'!$C$6:$C$44,MATCH(AZ18,'굴절률'!$A$6:$A$44,1))+(AZ18-INDEX('굴절률'!$A$6:$A$44,MATCH(AZ18,'굴절률'!$A$6:$A$44,1)))*(INDEX('굴절률'!$C$6:$C$44,MATCH(AZ18,'굴절률'!$A$6:$A$44,1)+1)-INDEX('굴절률'!$C$6:$C$44,MATCH(AZ18,'굴절률'!$A$6:$A$44,1)))/(INDEX('굴절률'!$A$6:$A$44,MATCH(AZ18,'굴절률'!$A$6:$A$44,1)+1)-INDEX('굴절률'!$A$6:$A$44,MATCH(AZ18,'굴절률'!$A$6:$A$44,1))))))</x:f>
        <x:v>2.38404</x:v>
      </x:c>
      <x:c r="BB18" s="39" t="n">
        <x:f>IF(BA18="","",COS(ASIN(SIN(RADIANS('설정'!$G$7))/BA18)))</x:f>
        <x:v>1</x:v>
      </x:c>
      <x:c r="BC18" s="40" t="n">
        <x:f>IF(OR(AZ18="",BA18="",BB18=""),"",IF('설정'!$C$7="최소",'설정'!$D$7*AZ18/(2*BA18*BB18),(2*'설정'!$D$7-1)*AZ18/(4*BA18*BB18)))</x:f>
        <x:v>94.37761111390748</x:v>
      </x:c>
      <x:c r="BD18" s="42" t="str">
        <x:f>IF(COUNT(H18:AT18)=0,"입력 필요",IF(COUNT(H18:AT18)&lt;&gt;39,"데이터 점검",IF(OR('설정'!$E$7&gt;'설정'!$F$7,'설정'!$E$7&lt;360,'설정'!$F$7&gt;740),"검색 범위 오류",IF(AY18&lt;&gt;"","수동 파장",IF(OR(AZ18='설정'!$E$7,AZ18='설정'!$F$7),"경계 극값 확인",IF(COUNTIFS(H18:AT18,IF('설정'!$C$7="최소",AU18,AW18),$H$5:$AT$5,"&gt;="&amp;'설정'!$E$7,$H$5:$AT$5,"&lt;="&amp;'설정'!$F$7)&gt;1,"복수 극값 평균","완료"))))))</x:f>
        <x:v>완료</x:v>
      </x:c>
      <x:c r="BE18" s="71" t="str">
        <x:f>IF(AND(BE$5&gt;='설정'!$E$7,BE$5&lt;='설정'!$F$7),H18,"")</x:f>
      </x:c>
      <x:c r="BF18" s="71" t="str">
        <x:f>IF(AND(BF$5&gt;='설정'!$E$7,BF$5&lt;='설정'!$F$7),I18,"")</x:f>
      </x:c>
      <x:c r="BG18" s="71" t="str">
        <x:f>IF(AND(BG$5&gt;='설정'!$E$7,BG$5&lt;='설정'!$F$7),J18,"")</x:f>
      </x:c>
      <x:c r="BH18" s="71" t="str">
        <x:f>IF(AND(BH$5&gt;='설정'!$E$7,BH$5&lt;='설정'!$F$7),K18,"")</x:f>
      </x:c>
      <x:c r="BI18" s="71" t="str">
        <x:f>IF(AND(BI$5&gt;='설정'!$E$7,BI$5&lt;='설정'!$F$7),L18,"")</x:f>
      </x:c>
      <x:c r="BJ18" s="71" t="str">
        <x:f>IF(AND(BJ$5&gt;='설정'!$E$7,BJ$5&lt;='설정'!$F$7),M18,"")</x:f>
      </x:c>
      <x:c r="BK18" s="71" t="str">
        <x:f>IF(AND(BK$5&gt;='설정'!$E$7,BK$5&lt;='설정'!$F$7),N18,"")</x:f>
      </x:c>
      <x:c r="BL18" s="71" t="n">
        <x:f>IF(AND(BL$5&gt;='설정'!$E$7,BL$5&lt;='설정'!$F$7),O18,"")</x:f>
        <x:v>12.76</x:v>
      </x:c>
      <x:c r="BM18" s="71" t="n">
        <x:f>IF(AND(BM$5&gt;='설정'!$E$7,BM$5&lt;='설정'!$F$7),P18,"")</x:f>
        <x:v>12.15</x:v>
      </x:c>
      <x:c r="BN18" s="71" t="n">
        <x:f>IF(AND(BN$5&gt;='설정'!$E$7,BN$5&lt;='설정'!$F$7),Q18,"")</x:f>
        <x:v>12.04</x:v>
      </x:c>
      <x:c r="BO18" s="71" t="n">
        <x:f>IF(AND(BO$5&gt;='설정'!$E$7,BO$5&lt;='설정'!$F$7),R18,"")</x:f>
        <x:v>12.28</x:v>
      </x:c>
      <x:c r="BP18" s="71" t="n">
        <x:f>IF(AND(BP$5&gt;='설정'!$E$7,BP$5&lt;='설정'!$F$7),S18,"")</x:f>
        <x:v>12.85</x:v>
      </x:c>
      <x:c r="BQ18" s="71" t="n">
        <x:f>IF(AND(BQ$5&gt;='설정'!$E$7,BQ$5&lt;='설정'!$F$7),T18,"")</x:f>
        <x:v>13.65</x:v>
      </x:c>
      <x:c r="BR18" s="71" t="n">
        <x:f>IF(AND(BR$5&gt;='설정'!$E$7,BR$5&lt;='설정'!$F$7),U18,"")</x:f>
        <x:v>14.53</x:v>
      </x:c>
      <x:c r="BS18" s="71" t="n">
        <x:f>IF(AND(BS$5&gt;='설정'!$E$7,BS$5&lt;='설정'!$F$7),V18,"")</x:f>
        <x:v>15.6</x:v>
      </x:c>
      <x:c r="BT18" s="71" t="n">
        <x:f>IF(AND(BT$5&gt;='설정'!$E$7,BT$5&lt;='설정'!$F$7),W18,"")</x:f>
        <x:v>16.58</x:v>
      </x:c>
      <x:c r="BU18" s="71" t="n">
        <x:f>IF(AND(BU$5&gt;='설정'!$E$7,BU$5&lt;='설정'!$F$7),X18,"")</x:f>
        <x:v>17.64</x:v>
      </x:c>
      <x:c r="BV18" s="71" t="n">
        <x:f>IF(AND(BV$5&gt;='설정'!$E$7,BV$5&lt;='설정'!$F$7),Y18,"")</x:f>
        <x:v>18.67</x:v>
      </x:c>
      <x:c r="BW18" s="71" t="n">
        <x:f>IF(AND(BW$5&gt;='설정'!$E$7,BW$5&lt;='설정'!$F$7),Z18,"")</x:f>
        <x:v>19.68</x:v>
      </x:c>
      <x:c r="BX18" s="71" t="n">
        <x:f>IF(AND(BX$5&gt;='설정'!$E$7,BX$5&lt;='설정'!$F$7),AA18,"")</x:f>
        <x:v>20.59</x:v>
      </x:c>
      <x:c r="BY18" s="71" t="n">
        <x:f>IF(AND(BY$5&gt;='설정'!$E$7,BY$5&lt;='설정'!$F$7),AB18,"")</x:f>
        <x:v>21.51</x:v>
      </x:c>
      <x:c r="BZ18" s="71" t="n">
        <x:f>IF(AND(BZ$5&gt;='설정'!$E$7,BZ$5&lt;='설정'!$F$7),AC18,"")</x:f>
        <x:v>22.34</x:v>
      </x:c>
      <x:c r="CA18" s="71" t="n">
        <x:f>IF(AND(CA$5&gt;='설정'!$E$7,CA$5&lt;='설정'!$F$7),AD18,"")</x:f>
        <x:v>23.11</x:v>
      </x:c>
      <x:c r="CB18" s="71" t="n">
        <x:f>IF(AND(CB$5&gt;='설정'!$E$7,CB$5&lt;='설정'!$F$7),AE18,"")</x:f>
        <x:v>23.84</x:v>
      </x:c>
      <x:c r="CC18" s="71" t="n">
        <x:f>IF(AND(CC$5&gt;='설정'!$E$7,CC$5&lt;='설정'!$F$7),AF18,"")</x:f>
        <x:v>24.5</x:v>
      </x:c>
      <x:c r="CD18" s="71" t="str">
        <x:f>IF(AND(CD$5&gt;='설정'!$E$7,CD$5&lt;='설정'!$F$7),AG18,"")</x:f>
      </x:c>
      <x:c r="CE18" s="71" t="str">
        <x:f>IF(AND(CE$5&gt;='설정'!$E$7,CE$5&lt;='설정'!$F$7),AH18,"")</x:f>
      </x:c>
      <x:c r="CF18" s="71" t="str">
        <x:f>IF(AND(CF$5&gt;='설정'!$E$7,CF$5&lt;='설정'!$F$7),AI18,"")</x:f>
      </x:c>
      <x:c r="CG18" s="71" t="str">
        <x:f>IF(AND(CG$5&gt;='설정'!$E$7,CG$5&lt;='설정'!$F$7),AJ18,"")</x:f>
      </x:c>
      <x:c r="CH18" s="71" t="str">
        <x:f>IF(AND(CH$5&gt;='설정'!$E$7,CH$5&lt;='설정'!$F$7),AK18,"")</x:f>
      </x:c>
      <x:c r="CI18" s="71" t="str">
        <x:f>IF(AND(CI$5&gt;='설정'!$E$7,CI$5&lt;='설정'!$F$7),AL18,"")</x:f>
      </x:c>
      <x:c r="CJ18" s="71" t="str">
        <x:f>IF(AND(CJ$5&gt;='설정'!$E$7,CJ$5&lt;='설정'!$F$7),AM18,"")</x:f>
      </x:c>
      <x:c r="CK18" s="71" t="str">
        <x:f>IF(AND(CK$5&gt;='설정'!$E$7,CK$5&lt;='설정'!$F$7),AN18,"")</x:f>
      </x:c>
      <x:c r="CL18" s="71" t="str">
        <x:f>IF(AND(CL$5&gt;='설정'!$E$7,CL$5&lt;='설정'!$F$7),AO18,"")</x:f>
      </x:c>
      <x:c r="CM18" s="71" t="str">
        <x:f>IF(AND(CM$5&gt;='설정'!$E$7,CM$5&lt;='설정'!$F$7),AP18,"")</x:f>
      </x:c>
      <x:c r="CN18" s="71" t="str">
        <x:f>IF(AND(CN$5&gt;='설정'!$E$7,CN$5&lt;='설정'!$F$7),AQ18,"")</x:f>
      </x:c>
      <x:c r="CO18" s="71" t="str">
        <x:f>IF(AND(CO$5&gt;='설정'!$E$7,CO$5&lt;='설정'!$F$7),AR18,"")</x:f>
      </x:c>
      <x:c r="CP18" s="71" t="str">
        <x:f>IF(AND(CP$5&gt;='설정'!$E$7,CP$5&lt;='설정'!$F$7),AS18,"")</x:f>
      </x:c>
      <x:c r="CQ18" s="71" t="str">
        <x:f>IF(AND(CQ$5&gt;='설정'!$E$7,CQ$5&lt;='설정'!$F$7),AT18,"")</x:f>
      </x:c>
    </x:row>
    <x:row r="20">
      <x:c r="A20" s="73" t="str">
        <x:v>참고: 원본의 13-1 재측정 행은 13개 본 위치 결과에서 제외했습니다.</x:v>
      </x:c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</x:row>
  </x:sheetData>
  <x:conditionalFormatting sqref="BD6:BD18">
    <x:cfRule type="containsText" dxfId="10" priority="1" operator="containsText" text="오류"/>
    <x:cfRule type="containsText" dxfId="11" priority="2" operator="containsText" text="필요"/>
    <x:cfRule type="containsText" dxfId="12" priority="3" operator="containsText" text="확인"/>
    <x:cfRule type="containsText" dxfId="13" priority="4" operator="containsText" text="복수"/>
    <x:cfRule type="containsText" dxfId="14" priority="5" operator="containsText" text="완료"/>
  </x:conditionalFormatting>
  <x:dataValidations count="1">
    <x:dataValidation type="whole" operator="between" sqref="AY6:AY18">
      <x:formula1>360</x:formula1>
      <x:formula2>740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7" ySplit="5" topLeftCell="H6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4" hidden="0" customWidth="1"/>
    <x:col min="54" max="54" width="14" hidden="0" customWidth="1"/>
    <x:col min="55" max="55" width="14" hidden="0" customWidth="1"/>
    <x:col min="56" max="56" width="18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  <x:col min="68" max="68" width="3" hidden="0" customWidth="1"/>
    <x:col min="69" max="69" width="3" hidden="0" customWidth="1"/>
    <x:col min="70" max="70" width="3" hidden="0" customWidth="1"/>
    <x:col min="71" max="71" width="3" hidden="0" customWidth="1"/>
    <x:col min="72" max="72" width="3" hidden="0" customWidth="1"/>
    <x:col min="73" max="73" width="3" hidden="0" customWidth="1"/>
    <x:col min="74" max="74" width="3" hidden="0" customWidth="1"/>
    <x:col min="75" max="75" width="3" hidden="0" customWidth="1"/>
    <x:col min="76" max="76" width="3" hidden="0" customWidth="1"/>
    <x:col min="77" max="77" width="3" hidden="0" customWidth="1"/>
    <x:col min="78" max="78" width="3" hidden="0" customWidth="1"/>
    <x:col min="79" max="79" width="3" hidden="0" customWidth="1"/>
    <x:col min="80" max="80" width="3" hidden="0" customWidth="1"/>
    <x:col min="81" max="81" width="3" hidden="0" customWidth="1"/>
    <x:col min="82" max="82" width="3" hidden="0" customWidth="1"/>
    <x:col min="83" max="83" width="3" hidden="0" customWidth="1"/>
    <x:col min="84" max="84" width="3" hidden="0" customWidth="1"/>
    <x:col min="85" max="85" width="3" hidden="0" customWidth="1"/>
    <x:col min="86" max="86" width="3" hidden="0" customWidth="1"/>
    <x:col min="87" max="87" width="3" hidden="0" customWidth="1"/>
    <x:col min="88" max="88" width="3" hidden="0" customWidth="1"/>
    <x:col min="89" max="89" width="3" hidden="0" customWidth="1"/>
    <x:col min="90" max="90" width="3" hidden="0" customWidth="1"/>
    <x:col min="91" max="91" width="3" hidden="0" customWidth="1"/>
    <x:col min="92" max="92" width="3" hidden="0" customWidth="1"/>
    <x:col min="93" max="93" width="3" hidden="0" customWidth="1"/>
    <x:col min="94" max="94" width="3" hidden="0" customWidth="1"/>
    <x:col min="95" max="95" width="3" hidden="0" customWidth="1"/>
  </x:cols>
  <x:sheetData>
    <x:row r="2" ht="24" customHeight="1">
      <x:c r="A2" s="2" t="str">
        <x:v>Nb2O5 (1L) / SiO2 (2L) 반사율 입력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</x:row>
    <x:row r="3">
      <x:c r="A3" s="5" t="str">
        <x:v>CM-36dG 원본 13개 행(A:AT)을 노란색 영역에 붙여넣으면 극값과 두께가 자동 계산됩니다.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</x:row>
    <x:row r="5">
      <x:c r="A5" s="24" t="str">
        <x:v>시료</x:v>
      </x:c>
      <x:c r="B5" s="25" t="str">
        <x:v>Data Name</x:v>
      </x:c>
      <x:c r="C5" s="25" t="str">
        <x:v>L*(D65)</x:v>
      </x:c>
      <x:c r="D5" s="25" t="str">
        <x:v>a*(D65)</x:v>
      </x:c>
      <x:c r="E5" s="25" t="str">
        <x:v>b*(D65)</x:v>
      </x:c>
      <x:c r="F5" s="25" t="str">
        <x:v>Y(D65)</x:v>
      </x:c>
      <x:c r="G5" s="25" t="str">
        <x:v>Group Traits</x:v>
      </x:c>
      <x:c r="H5" s="56" t="n">
        <x:v>360</x:v>
      </x:c>
      <x:c r="I5" s="56" t="n">
        <x:v>370</x:v>
      </x:c>
      <x:c r="J5" s="56" t="n">
        <x:v>380</x:v>
      </x:c>
      <x:c r="K5" s="56" t="n">
        <x:v>390</x:v>
      </x:c>
      <x:c r="L5" s="56" t="n">
        <x:v>400</x:v>
      </x:c>
      <x:c r="M5" s="56" t="n">
        <x:v>410</x:v>
      </x:c>
      <x:c r="N5" s="56" t="n">
        <x:v>420</x:v>
      </x:c>
      <x:c r="O5" s="56" t="n">
        <x:v>430</x:v>
      </x:c>
      <x:c r="P5" s="56" t="n">
        <x:v>440</x:v>
      </x:c>
      <x:c r="Q5" s="56" t="n">
        <x:v>450</x:v>
      </x:c>
      <x:c r="R5" s="56" t="n">
        <x:v>460</x:v>
      </x:c>
      <x:c r="S5" s="56" t="n">
        <x:v>470</x:v>
      </x:c>
      <x:c r="T5" s="56" t="n">
        <x:v>480</x:v>
      </x:c>
      <x:c r="U5" s="56" t="n">
        <x:v>490</x:v>
      </x:c>
      <x:c r="V5" s="56" t="n">
        <x:v>500</x:v>
      </x:c>
      <x:c r="W5" s="56" t="n">
        <x:v>510</x:v>
      </x:c>
      <x:c r="X5" s="56" t="n">
        <x:v>520</x:v>
      </x:c>
      <x:c r="Y5" s="56" t="n">
        <x:v>530</x:v>
      </x:c>
      <x:c r="Z5" s="56" t="n">
        <x:v>540</x:v>
      </x:c>
      <x:c r="AA5" s="56" t="n">
        <x:v>550</x:v>
      </x:c>
      <x:c r="AB5" s="56" t="n">
        <x:v>560</x:v>
      </x:c>
      <x:c r="AC5" s="56" t="n">
        <x:v>570</x:v>
      </x:c>
      <x:c r="AD5" s="56" t="n">
        <x:v>580</x:v>
      </x:c>
      <x:c r="AE5" s="56" t="n">
        <x:v>590</x:v>
      </x:c>
      <x:c r="AF5" s="56" t="n">
        <x:v>600</x:v>
      </x:c>
      <x:c r="AG5" s="56" t="n">
        <x:v>610</x:v>
      </x:c>
      <x:c r="AH5" s="56" t="n">
        <x:v>620</x:v>
      </x:c>
      <x:c r="AI5" s="56" t="n">
        <x:v>630</x:v>
      </x:c>
      <x:c r="AJ5" s="56" t="n">
        <x:v>640</x:v>
      </x:c>
      <x:c r="AK5" s="56" t="n">
        <x:v>650</x:v>
      </x:c>
      <x:c r="AL5" s="56" t="n">
        <x:v>660</x:v>
      </x:c>
      <x:c r="AM5" s="56" t="n">
        <x:v>670</x:v>
      </x:c>
      <x:c r="AN5" s="56" t="n">
        <x:v>680</x:v>
      </x:c>
      <x:c r="AO5" s="56" t="n">
        <x:v>690</x:v>
      </x:c>
      <x:c r="AP5" s="56" t="n">
        <x:v>700</x:v>
      </x:c>
      <x:c r="AQ5" s="56" t="n">
        <x:v>710</x:v>
      </x:c>
      <x:c r="AR5" s="56" t="n">
        <x:v>720</x:v>
      </x:c>
      <x:c r="AS5" s="56" t="n">
        <x:v>730</x:v>
      </x:c>
      <x:c r="AT5" s="56" t="n">
        <x:v>740</x:v>
      </x:c>
      <x:c r="AU5" s="25" t="str">
        <x:v>최소 R(%)</x:v>
      </x:c>
      <x:c r="AV5" s="25" t="str">
        <x:v>최소 λ(nm)</x:v>
      </x:c>
      <x:c r="AW5" s="25" t="str">
        <x:v>최대 R(%)</x:v>
      </x:c>
      <x:c r="AX5" s="25" t="str">
        <x:v>최대 λ(nm)</x:v>
      </x:c>
      <x:c r="AY5" s="25" t="str">
        <x:v>수동 λ(nm)</x:v>
      </x:c>
      <x:c r="AZ5" s="25" t="str">
        <x:v>사용 λ(nm)</x:v>
      </x:c>
      <x:c r="BA5" s="25" t="str">
        <x:v>굴절률 n</x:v>
      </x:c>
      <x:c r="BB5" s="25" t="str">
        <x:v>cosθf</x:v>
      </x:c>
      <x:c r="BC5" s="25" t="str">
        <x:v>SiO2 QW 등가 두께(nm)</x:v>
      </x:c>
      <x:c r="BD5" s="26" t="str">
        <x:v>상태</x:v>
      </x:c>
      <x:c r="BE5" s="71" t="n">
        <x:v>360</x:v>
      </x:c>
      <x:c r="BF5" s="71" t="n">
        <x:v>370</x:v>
      </x:c>
      <x:c r="BG5" s="71" t="n">
        <x:v>380</x:v>
      </x:c>
      <x:c r="BH5" s="71" t="n">
        <x:v>390</x:v>
      </x:c>
      <x:c r="BI5" s="71" t="n">
        <x:v>400</x:v>
      </x:c>
      <x:c r="BJ5" s="71" t="n">
        <x:v>410</x:v>
      </x:c>
      <x:c r="BK5" s="71" t="n">
        <x:v>420</x:v>
      </x:c>
      <x:c r="BL5" s="71" t="n">
        <x:v>430</x:v>
      </x:c>
      <x:c r="BM5" s="71" t="n">
        <x:v>440</x:v>
      </x:c>
      <x:c r="BN5" s="71" t="n">
        <x:v>450</x:v>
      </x:c>
      <x:c r="BO5" s="71" t="n">
        <x:v>460</x:v>
      </x:c>
      <x:c r="BP5" s="71" t="n">
        <x:v>470</x:v>
      </x:c>
      <x:c r="BQ5" s="71" t="n">
        <x:v>480</x:v>
      </x:c>
      <x:c r="BR5" s="71" t="n">
        <x:v>490</x:v>
      </x:c>
      <x:c r="BS5" s="71" t="n">
        <x:v>500</x:v>
      </x:c>
      <x:c r="BT5" s="71" t="n">
        <x:v>510</x:v>
      </x:c>
      <x:c r="BU5" s="71" t="n">
        <x:v>520</x:v>
      </x:c>
      <x:c r="BV5" s="71" t="n">
        <x:v>530</x:v>
      </x:c>
      <x:c r="BW5" s="71" t="n">
        <x:v>540</x:v>
      </x:c>
      <x:c r="BX5" s="71" t="n">
        <x:v>550</x:v>
      </x:c>
      <x:c r="BY5" s="71" t="n">
        <x:v>560</x:v>
      </x:c>
      <x:c r="BZ5" s="71" t="n">
        <x:v>570</x:v>
      </x:c>
      <x:c r="CA5" s="71" t="n">
        <x:v>580</x:v>
      </x:c>
      <x:c r="CB5" s="71" t="n">
        <x:v>590</x:v>
      </x:c>
      <x:c r="CC5" s="71" t="n">
        <x:v>600</x:v>
      </x:c>
      <x:c r="CD5" s="71" t="n">
        <x:v>610</x:v>
      </x:c>
      <x:c r="CE5" s="71" t="n">
        <x:v>620</x:v>
      </x:c>
      <x:c r="CF5" s="71" t="n">
        <x:v>630</x:v>
      </x:c>
      <x:c r="CG5" s="71" t="n">
        <x:v>640</x:v>
      </x:c>
      <x:c r="CH5" s="71" t="n">
        <x:v>650</x:v>
      </x:c>
      <x:c r="CI5" s="71" t="n">
        <x:v>660</x:v>
      </x:c>
      <x:c r="CJ5" s="71" t="n">
        <x:v>670</x:v>
      </x:c>
      <x:c r="CK5" s="71" t="n">
        <x:v>680</x:v>
      </x:c>
      <x:c r="CL5" s="71" t="n">
        <x:v>690</x:v>
      </x:c>
      <x:c r="CM5" s="71" t="n">
        <x:v>700</x:v>
      </x:c>
      <x:c r="CN5" s="71" t="n">
        <x:v>710</x:v>
      </x:c>
      <x:c r="CO5" s="71" t="n">
        <x:v>720</x:v>
      </x:c>
      <x:c r="CP5" s="71" t="n">
        <x:v>730</x:v>
      </x:c>
      <x:c r="CQ5" s="71" t="n">
        <x:v>740</x:v>
      </x:c>
    </x:row>
    <x:row r="6" ht="20" customHeight="1">
      <x:c r="A6" s="45" t="n">
        <x:v>1</x:v>
      </x:c>
      <x:c r="B6" s="43" t="str">
        <x:v>SiO2 균일도_01</x:v>
      </x:c>
      <x:c r="C6" s="60" t="n">
        <x:v>32.45</x:v>
      </x:c>
      <x:c r="D6" s="60" t="n">
        <x:v>4.74</x:v>
      </x:c>
      <x:c r="E6" s="60" t="n">
        <x:v>3.36</x:v>
      </x:c>
      <x:c r="F6" s="60" t="n">
        <x:v>7.29</x:v>
      </x:c>
      <x:c r="G6" s="43" t="str">
        <x:v>SCI</x:v>
      </x:c>
      <x:c r="H6" s="60" t="n">
        <x:v>17.07</x:v>
      </x:c>
      <x:c r="I6" s="60" t="n">
        <x:v>14.45</x:v>
      </x:c>
      <x:c r="J6" s="60" t="n">
        <x:v>12.51</x:v>
      </x:c>
      <x:c r="K6" s="60" t="n">
        <x:v>10.86</x:v>
      </x:c>
      <x:c r="L6" s="60" t="n">
        <x:v>9.53</x:v>
      </x:c>
      <x:c r="M6" s="60" t="n">
        <x:v>8.45</x:v>
      </x:c>
      <x:c r="N6" s="60" t="n">
        <x:v>7.56</x:v>
      </x:c>
      <x:c r="O6" s="60" t="n">
        <x:v>6.94</x:v>
      </x:c>
      <x:c r="P6" s="60" t="n">
        <x:v>6.51</x:v>
      </x:c>
      <x:c r="Q6" s="60" t="n">
        <x:v>6.21</x:v>
      </x:c>
      <x:c r="R6" s="60" t="n">
        <x:v>6.03</x:v>
      </x:c>
      <x:c r="S6" s="60" t="n">
        <x:v>5.95</x:v>
      </x:c>
      <x:c r="T6" s="60" t="n">
        <x:v>5.95</x:v>
      </x:c>
      <x:c r="U6" s="60" t="n">
        <x:v>6.06</x:v>
      </x:c>
      <x:c r="V6" s="60" t="n">
        <x:v>6.19</x:v>
      </x:c>
      <x:c r="W6" s="60" t="n">
        <x:v>6.32</x:v>
      </x:c>
      <x:c r="X6" s="60" t="n">
        <x:v>6.51</x:v>
      </x:c>
      <x:c r="Y6" s="60" t="n">
        <x:v>6.72</x:v>
      </x:c>
      <x:c r="Z6" s="60" t="n">
        <x:v>6.95</x:v>
      </x:c>
      <x:c r="AA6" s="60" t="n">
        <x:v>7.16</x:v>
      </x:c>
      <x:c r="AB6" s="60" t="n">
        <x:v>7.4</x:v>
      </x:c>
      <x:c r="AC6" s="60" t="n">
        <x:v>7.64</x:v>
      </x:c>
      <x:c r="AD6" s="60" t="n">
        <x:v>7.87</x:v>
      </x:c>
      <x:c r="AE6" s="60" t="n">
        <x:v>8.09</x:v>
      </x:c>
      <x:c r="AF6" s="60" t="n">
        <x:v>8.33</x:v>
      </x:c>
      <x:c r="AG6" s="60" t="n">
        <x:v>8.57</x:v>
      </x:c>
      <x:c r="AH6" s="60" t="n">
        <x:v>8.74</x:v>
      </x:c>
      <x:c r="AI6" s="60" t="n">
        <x:v>8.94</x:v>
      </x:c>
      <x:c r="AJ6" s="60" t="n">
        <x:v>9.17</x:v>
      </x:c>
      <x:c r="AK6" s="60" t="n">
        <x:v>9.31</x:v>
      </x:c>
      <x:c r="AL6" s="60" t="n">
        <x:v>9.53</x:v>
      </x:c>
      <x:c r="AM6" s="60" t="n">
        <x:v>9.66</x:v>
      </x:c>
      <x:c r="AN6" s="60" t="n">
        <x:v>9.84</x:v>
      </x:c>
      <x:c r="AO6" s="60" t="n">
        <x:v>10.03</x:v>
      </x:c>
      <x:c r="AP6" s="60" t="n">
        <x:v>10.17</x:v>
      </x:c>
      <x:c r="AQ6" s="60" t="n">
        <x:v>10.3</x:v>
      </x:c>
      <x:c r="AR6" s="60" t="n">
        <x:v>10.37</x:v>
      </x:c>
      <x:c r="AS6" s="60" t="n">
        <x:v>10.52</x:v>
      </x:c>
      <x:c r="AT6" s="60" t="n">
        <x:v>10.65</x:v>
      </x:c>
      <x:c r="AU6" s="36" t="n">
        <x:f>IF(OR('설정'!$E$8&gt;'설정'!$F$8,COUNT(H6:AT6)=0),"",MIN(BE6:CQ6))</x:f>
        <x:v>5.95</x:v>
      </x:c>
      <x:c r="AV6" s="36" t="n">
        <x:f>IF(AU6="","",SUMIFS($BE$5:$CQ$5,BE6:CQ6,AU6)/COUNTIFS(BE6:CQ6,AU6))</x:f>
        <x:v>475</x:v>
      </x:c>
      <x:c r="AW6" s="36" t="n">
        <x:f>IF(OR('설정'!$E$8&gt;'설정'!$F$8,COUNT(H6:AT6)=0),"",MAX(BE6:CQ6))</x:f>
        <x:v>7.16</x:v>
      </x:c>
      <x:c r="AX6" s="36" t="n">
        <x:f>IF(AW6="","",SUMIFS($BE$5:$CQ$5,BE6:CQ6,AW6)/COUNTIFS(BE6:CQ6,AW6))</x:f>
        <x:v>550</x:v>
      </x:c>
      <x:c r="AY6" s="64"/>
      <x:c r="AZ6" s="34" t="n">
        <x:f>IF(AY6&lt;&gt;"",AY6,IF('설정'!$C$8="최소",AV6,AX6))</x:f>
        <x:v>475</x:v>
      </x:c>
      <x:c r="BA6" s="35" t="n">
        <x:f>IF(AZ6="","",IF(OR(AZ6&lt;'굴절률'!$A$6,AZ6&gt;'굴절률'!$A$44),"",IF(COUNTIFS('굴절률'!$A$6:$A$44,AZ6)&gt;0,INDEX('굴절률'!$D$6:$D$44,MATCH(AZ6,'굴절률'!$A$6:$A$44,0)),INDEX('굴절률'!$D$6:$D$44,MATCH(AZ6,'굴절률'!$A$6:$A$44,1))+(AZ6-INDEX('굴절률'!$A$6:$A$44,MATCH(AZ6,'굴절률'!$A$6:$A$44,1)))*(INDEX('굴절률'!$D$6:$D$44,MATCH(AZ6,'굴절률'!$A$6:$A$44,1)+1)-INDEX('굴절률'!$D$6:$D$44,MATCH(AZ6,'굴절률'!$A$6:$A$44,1)))/(INDEX('굴절률'!$A$6:$A$44,MATCH(AZ6,'굴절률'!$A$6:$A$44,1)+1)-INDEX('굴절률'!$A$6:$A$44,MATCH(AZ6,'굴절률'!$A$6:$A$44,1))))))</x:f>
        <x:v>1.47085</x:v>
      </x:c>
      <x:c r="BB6" s="35" t="n">
        <x:f>IF(BA6="","",COS(ASIN(SIN(RADIANS('설정'!$G$8))/BA6)))</x:f>
        <x:v>1</x:v>
      </x:c>
      <x:c r="BC6" s="36" t="n">
        <x:f>IF(OR(AZ6="",BA6="",BB6=""),"",IF('설정'!$C$8="최소",(2*'설정'!$D$8-1)*AZ6/(4*BA6*BB6),'설정'!$D$8*AZ6/(2*BA6*BB6)))</x:f>
        <x:v>80.73562905802767</x:v>
      </x:c>
      <x:c r="BD6" s="41" t="str">
        <x:f>IF(COUNT(H6:AT6)=0,"입력 필요",IF(COUNT(H6:AT6)&lt;&gt;39,"데이터 점검",IF(OR('설정'!$E$8&gt;'설정'!$F$8,'설정'!$E$8&lt;360,'설정'!$F$8&gt;740),"검색 범위 오류",IF(AY6&lt;&gt;"","수동 파장",IF(OR(AZ6='설정'!$E$8,AZ6='설정'!$F$8),"경계 극값 확인",IF(COUNTIFS(H6:AT6,IF('설정'!$C$8="최소",AU6,AW6),$H$5:$AT$5,"&gt;="&amp;'설정'!$E$8,$H$5:$AT$5,"&lt;="&amp;'설정'!$F$8)&gt;1,"복수 극값 평균","완료"))))))</x:f>
        <x:v>복수 극값 평균</x:v>
      </x:c>
      <x:c r="BE6" s="71" t="str">
        <x:f>IF(AND(BE$5&gt;='설정'!$E$8,BE$5&lt;='설정'!$F$8),H6,"")</x:f>
      </x:c>
      <x:c r="BF6" s="71" t="str">
        <x:f>IF(AND(BF$5&gt;='설정'!$E$8,BF$5&lt;='설정'!$F$8),I6,"")</x:f>
      </x:c>
      <x:c r="BG6" s="71" t="str">
        <x:f>IF(AND(BG$5&gt;='설정'!$E$8,BG$5&lt;='설정'!$F$8),J6,"")</x:f>
      </x:c>
      <x:c r="BH6" s="71" t="str">
        <x:f>IF(AND(BH$5&gt;='설정'!$E$8,BH$5&lt;='설정'!$F$8),K6,"")</x:f>
      </x:c>
      <x:c r="BI6" s="71" t="str">
        <x:f>IF(AND(BI$5&gt;='설정'!$E$8,BI$5&lt;='설정'!$F$8),L6,"")</x:f>
      </x:c>
      <x:c r="BJ6" s="71" t="str">
        <x:f>IF(AND(BJ$5&gt;='설정'!$E$8,BJ$5&lt;='설정'!$F$8),M6,"")</x:f>
      </x:c>
      <x:c r="BK6" s="71" t="str">
        <x:f>IF(AND(BK$5&gt;='설정'!$E$8,BK$5&lt;='설정'!$F$8),N6,"")</x:f>
      </x:c>
      <x:c r="BL6" s="71" t="n">
        <x:f>IF(AND(BL$5&gt;='설정'!$E$8,BL$5&lt;='설정'!$F$8),O6,"")</x:f>
        <x:v>6.94</x:v>
      </x:c>
      <x:c r="BM6" s="71" t="n">
        <x:f>IF(AND(BM$5&gt;='설정'!$E$8,BM$5&lt;='설정'!$F$8),P6,"")</x:f>
        <x:v>6.51</x:v>
      </x:c>
      <x:c r="BN6" s="71" t="n">
        <x:f>IF(AND(BN$5&gt;='설정'!$E$8,BN$5&lt;='설정'!$F$8),Q6,"")</x:f>
        <x:v>6.21</x:v>
      </x:c>
      <x:c r="BO6" s="71" t="n">
        <x:f>IF(AND(BO$5&gt;='설정'!$E$8,BO$5&lt;='설정'!$F$8),R6,"")</x:f>
        <x:v>6.03</x:v>
      </x:c>
      <x:c r="BP6" s="71" t="n">
        <x:f>IF(AND(BP$5&gt;='설정'!$E$8,BP$5&lt;='설정'!$F$8),S6,"")</x:f>
        <x:v>5.95</x:v>
      </x:c>
      <x:c r="BQ6" s="71" t="n">
        <x:f>IF(AND(BQ$5&gt;='설정'!$E$8,BQ$5&lt;='설정'!$F$8),T6,"")</x:f>
        <x:v>5.95</x:v>
      </x:c>
      <x:c r="BR6" s="71" t="n">
        <x:f>IF(AND(BR$5&gt;='설정'!$E$8,BR$5&lt;='설정'!$F$8),U6,"")</x:f>
        <x:v>6.06</x:v>
      </x:c>
      <x:c r="BS6" s="71" t="n">
        <x:f>IF(AND(BS$5&gt;='설정'!$E$8,BS$5&lt;='설정'!$F$8),V6,"")</x:f>
        <x:v>6.19</x:v>
      </x:c>
      <x:c r="BT6" s="71" t="n">
        <x:f>IF(AND(BT$5&gt;='설정'!$E$8,BT$5&lt;='설정'!$F$8),W6,"")</x:f>
        <x:v>6.32</x:v>
      </x:c>
      <x:c r="BU6" s="71" t="n">
        <x:f>IF(AND(BU$5&gt;='설정'!$E$8,BU$5&lt;='설정'!$F$8),X6,"")</x:f>
        <x:v>6.51</x:v>
      </x:c>
      <x:c r="BV6" s="71" t="n">
        <x:f>IF(AND(BV$5&gt;='설정'!$E$8,BV$5&lt;='설정'!$F$8),Y6,"")</x:f>
        <x:v>6.72</x:v>
      </x:c>
      <x:c r="BW6" s="71" t="n">
        <x:f>IF(AND(BW$5&gt;='설정'!$E$8,BW$5&lt;='설정'!$F$8),Z6,"")</x:f>
        <x:v>6.95</x:v>
      </x:c>
      <x:c r="BX6" s="71" t="n">
        <x:f>IF(AND(BX$5&gt;='설정'!$E$8,BX$5&lt;='설정'!$F$8),AA6,"")</x:f>
        <x:v>7.16</x:v>
      </x:c>
      <x:c r="BY6" s="71" t="str">
        <x:f>IF(AND(BY$5&gt;='설정'!$E$8,BY$5&lt;='설정'!$F$8),AB6,"")</x:f>
      </x:c>
      <x:c r="BZ6" s="71" t="str">
        <x:f>IF(AND(BZ$5&gt;='설정'!$E$8,BZ$5&lt;='설정'!$F$8),AC6,"")</x:f>
      </x:c>
      <x:c r="CA6" s="71" t="str">
        <x:f>IF(AND(CA$5&gt;='설정'!$E$8,CA$5&lt;='설정'!$F$8),AD6,"")</x:f>
      </x:c>
      <x:c r="CB6" s="71" t="str">
        <x:f>IF(AND(CB$5&gt;='설정'!$E$8,CB$5&lt;='설정'!$F$8),AE6,"")</x:f>
      </x:c>
      <x:c r="CC6" s="71" t="str">
        <x:f>IF(AND(CC$5&gt;='설정'!$E$8,CC$5&lt;='설정'!$F$8),AF6,"")</x:f>
      </x:c>
      <x:c r="CD6" s="71" t="str">
        <x:f>IF(AND(CD$5&gt;='설정'!$E$8,CD$5&lt;='설정'!$F$8),AG6,"")</x:f>
      </x:c>
      <x:c r="CE6" s="71" t="str">
        <x:f>IF(AND(CE$5&gt;='설정'!$E$8,CE$5&lt;='설정'!$F$8),AH6,"")</x:f>
      </x:c>
      <x:c r="CF6" s="71" t="str">
        <x:f>IF(AND(CF$5&gt;='설정'!$E$8,CF$5&lt;='설정'!$F$8),AI6,"")</x:f>
      </x:c>
      <x:c r="CG6" s="71" t="str">
        <x:f>IF(AND(CG$5&gt;='설정'!$E$8,CG$5&lt;='설정'!$F$8),AJ6,"")</x:f>
      </x:c>
      <x:c r="CH6" s="71" t="str">
        <x:f>IF(AND(CH$5&gt;='설정'!$E$8,CH$5&lt;='설정'!$F$8),AK6,"")</x:f>
      </x:c>
      <x:c r="CI6" s="71" t="str">
        <x:f>IF(AND(CI$5&gt;='설정'!$E$8,CI$5&lt;='설정'!$F$8),AL6,"")</x:f>
      </x:c>
      <x:c r="CJ6" s="71" t="str">
        <x:f>IF(AND(CJ$5&gt;='설정'!$E$8,CJ$5&lt;='설정'!$F$8),AM6,"")</x:f>
      </x:c>
      <x:c r="CK6" s="71" t="str">
        <x:f>IF(AND(CK$5&gt;='설정'!$E$8,CK$5&lt;='설정'!$F$8),AN6,"")</x:f>
      </x:c>
      <x:c r="CL6" s="71" t="str">
        <x:f>IF(AND(CL$5&gt;='설정'!$E$8,CL$5&lt;='설정'!$F$8),AO6,"")</x:f>
      </x:c>
      <x:c r="CM6" s="71" t="str">
        <x:f>IF(AND(CM$5&gt;='설정'!$E$8,CM$5&lt;='설정'!$F$8),AP6,"")</x:f>
      </x:c>
      <x:c r="CN6" s="71" t="str">
        <x:f>IF(AND(CN$5&gt;='설정'!$E$8,CN$5&lt;='설정'!$F$8),AQ6,"")</x:f>
      </x:c>
      <x:c r="CO6" s="71" t="str">
        <x:f>IF(AND(CO$5&gt;='설정'!$E$8,CO$5&lt;='설정'!$F$8),AR6,"")</x:f>
      </x:c>
      <x:c r="CP6" s="71" t="str">
        <x:f>IF(AND(CP$5&gt;='설정'!$E$8,CP$5&lt;='설정'!$F$8),AS6,"")</x:f>
      </x:c>
      <x:c r="CQ6" s="71" t="str">
        <x:f>IF(AND(CQ$5&gt;='설정'!$E$8,CQ$5&lt;='설정'!$F$8),AT6,"")</x:f>
      </x:c>
    </x:row>
    <x:row r="7" ht="20" customHeight="1">
      <x:c r="A7" s="46" t="n">
        <x:v>2</x:v>
      </x:c>
      <x:c r="B7" s="44" t="str">
        <x:v>SiO2 균일도_02</x:v>
      </x:c>
      <x:c r="C7" s="61" t="n">
        <x:v>31.57</x:v>
      </x:c>
      <x:c r="D7" s="61" t="n">
        <x:v>5.99</x:v>
      </x:c>
      <x:c r="E7" s="61" t="n">
        <x:v>-1.01</x:v>
      </x:c>
      <x:c r="F7" s="61" t="n">
        <x:v>6.9</x:v>
      </x:c>
      <x:c r="G7" s="44" t="str">
        <x:v>SCI</x:v>
      </x:c>
      <x:c r="H7" s="61" t="n">
        <x:v>20.72</x:v>
      </x:c>
      <x:c r="I7" s="61" t="n">
        <x:v>17.82</x:v>
      </x:c>
      <x:c r="J7" s="61" t="n">
        <x:v>15.52</x:v>
      </x:c>
      <x:c r="K7" s="61" t="n">
        <x:v>13.51</x:v>
      </x:c>
      <x:c r="L7" s="61" t="n">
        <x:v>11.83</x:v>
      </x:c>
      <x:c r="M7" s="61" t="n">
        <x:v>10.36</x:v>
      </x:c>
      <x:c r="N7" s="61" t="n">
        <x:v>9.14</x:v>
      </x:c>
      <x:c r="O7" s="61" t="n">
        <x:v>8.2</x:v>
      </x:c>
      <x:c r="P7" s="61" t="n">
        <x:v>7.46</x:v>
      </x:c>
      <x:c r="Q7" s="61" t="n">
        <x:v>6.91</x:v>
      </x:c>
      <x:c r="R7" s="61" t="n">
        <x:v>6.5</x:v>
      </x:c>
      <x:c r="S7" s="61" t="n">
        <x:v>6.21</x:v>
      </x:c>
      <x:c r="T7" s="61" t="n">
        <x:v>6.05</x:v>
      </x:c>
      <x:c r="U7" s="61" t="n">
        <x:v>6.01</x:v>
      </x:c>
      <x:c r="V7" s="61" t="n">
        <x:v>6.01</x:v>
      </x:c>
      <x:c r="W7" s="61" t="n">
        <x:v>6.06</x:v>
      </x:c>
      <x:c r="X7" s="61" t="n">
        <x:v>6.16</x:v>
      </x:c>
      <x:c r="Y7" s="61" t="n">
        <x:v>6.3</x:v>
      </x:c>
      <x:c r="Z7" s="61" t="n">
        <x:v>6.49</x:v>
      </x:c>
      <x:c r="AA7" s="61" t="n">
        <x:v>6.66</x:v>
      </x:c>
      <x:c r="AB7" s="61" t="n">
        <x:v>6.86</x:v>
      </x:c>
      <x:c r="AC7" s="61" t="n">
        <x:v>7.09</x:v>
      </x:c>
      <x:c r="AD7" s="61" t="n">
        <x:v>7.32</x:v>
      </x:c>
      <x:c r="AE7" s="61" t="n">
        <x:v>7.52</x:v>
      </x:c>
      <x:c r="AF7" s="61" t="n">
        <x:v>7.76</x:v>
      </x:c>
      <x:c r="AG7" s="61" t="n">
        <x:v>8</x:v>
      </x:c>
      <x:c r="AH7" s="61" t="n">
        <x:v>8.2</x:v>
      </x:c>
      <x:c r="AI7" s="61" t="n">
        <x:v>8.39</x:v>
      </x:c>
      <x:c r="AJ7" s="61" t="n">
        <x:v>8.62</x:v>
      </x:c>
      <x:c r="AK7" s="61" t="n">
        <x:v>8.81</x:v>
      </x:c>
      <x:c r="AL7" s="61" t="n">
        <x:v>9.02</x:v>
      </x:c>
      <x:c r="AM7" s="61" t="n">
        <x:v>9.18</x:v>
      </x:c>
      <x:c r="AN7" s="61" t="n">
        <x:v>9.38</x:v>
      </x:c>
      <x:c r="AO7" s="61" t="n">
        <x:v>9.56</x:v>
      </x:c>
      <x:c r="AP7" s="61" t="n">
        <x:v>9.73</x:v>
      </x:c>
      <x:c r="AQ7" s="61" t="n">
        <x:v>9.88</x:v>
      </x:c>
      <x:c r="AR7" s="61" t="n">
        <x:v>10</x:v>
      </x:c>
      <x:c r="AS7" s="61" t="n">
        <x:v>10.17</x:v>
      </x:c>
      <x:c r="AT7" s="61" t="n">
        <x:v>10.29</x:v>
      </x:c>
      <x:c r="AU7" s="40" t="n">
        <x:f>IF(OR('설정'!$E$8&gt;'설정'!$F$8,COUNT(H7:AT7)=0),"",MIN(BE7:CQ7))</x:f>
        <x:v>6.01</x:v>
      </x:c>
      <x:c r="AV7" s="40" t="n">
        <x:f>IF(AU7="","",SUMIFS($BE$5:$CQ$5,BE7:CQ7,AU7)/COUNTIFS(BE7:CQ7,AU7))</x:f>
        <x:v>495</x:v>
      </x:c>
      <x:c r="AW7" s="40" t="n">
        <x:f>IF(OR('설정'!$E$8&gt;'설정'!$F$8,COUNT(H7:AT7)=0),"",MAX(BE7:CQ7))</x:f>
        <x:v>8.2</x:v>
      </x:c>
      <x:c r="AX7" s="40" t="n">
        <x:f>IF(AW7="","",SUMIFS($BE$5:$CQ$5,BE7:CQ7,AW7)/COUNTIFS(BE7:CQ7,AW7))</x:f>
        <x:v>430</x:v>
      </x:c>
      <x:c r="AY7" s="66"/>
      <x:c r="AZ7" s="38" t="n">
        <x:f>IF(AY7&lt;&gt;"",AY7,IF('설정'!$C$8="최소",AV7,AX7))</x:f>
        <x:v>495</x:v>
      </x:c>
      <x:c r="BA7" s="39" t="n">
        <x:f>IF(AZ7="","",IF(OR(AZ7&lt;'굴절률'!$A$6,AZ7&gt;'굴절률'!$A$44),"",IF(COUNTIFS('굴절률'!$A$6:$A$44,AZ7)&gt;0,INDEX('굴절률'!$D$6:$D$44,MATCH(AZ7,'굴절률'!$A$6:$A$44,0)),INDEX('굴절률'!$D$6:$D$44,MATCH(AZ7,'굴절률'!$A$6:$A$44,1))+(AZ7-INDEX('굴절률'!$A$6:$A$44,MATCH(AZ7,'굴절률'!$A$6:$A$44,1)))*(INDEX('굴절률'!$D$6:$D$44,MATCH(AZ7,'굴절률'!$A$6:$A$44,1)+1)-INDEX('굴절률'!$D$6:$D$44,MATCH(AZ7,'굴절률'!$A$6:$A$44,1)))/(INDEX('굴절률'!$A$6:$A$44,MATCH(AZ7,'굴절률'!$A$6:$A$44,1)+1)-INDEX('굴절률'!$A$6:$A$44,MATCH(AZ7,'굴절률'!$A$6:$A$44,1))))))</x:f>
        <x:v>1.47025</x:v>
      </x:c>
      <x:c r="BB7" s="39" t="n">
        <x:f>IF(BA7="","",COS(ASIN(SIN(RADIANS('설정'!$G$8))/BA7)))</x:f>
        <x:v>1</x:v>
      </x:c>
      <x:c r="BC7" s="40" t="n">
        <x:f>IF(OR(AZ7="",BA7="",BB7=""),"",IF('설정'!$C$8="최소",(2*'설정'!$D$8-1)*AZ7/(4*BA7*BB7),'설정'!$D$8*AZ7/(2*BA7*BB7)))</x:f>
        <x:v>84.16935895255908</x:v>
      </x:c>
      <x:c r="BD7" s="42" t="str">
        <x:f>IF(COUNT(H7:AT7)=0,"입력 필요",IF(COUNT(H7:AT7)&lt;&gt;39,"데이터 점검",IF(OR('설정'!$E$8&gt;'설정'!$F$8,'설정'!$E$8&lt;360,'설정'!$F$8&gt;740),"검색 범위 오류",IF(AY7&lt;&gt;"","수동 파장",IF(OR(AZ7='설정'!$E$8,AZ7='설정'!$F$8),"경계 극값 확인",IF(COUNTIFS(H7:AT7,IF('설정'!$C$8="최소",AU7,AW7),$H$5:$AT$5,"&gt;="&amp;'설정'!$E$8,$H$5:$AT$5,"&lt;="&amp;'설정'!$F$8)&gt;1,"복수 극값 평균","완료"))))))</x:f>
        <x:v>복수 극값 평균</x:v>
      </x:c>
      <x:c r="BE7" s="71" t="str">
        <x:f>IF(AND(BE$5&gt;='설정'!$E$8,BE$5&lt;='설정'!$F$8),H7,"")</x:f>
      </x:c>
      <x:c r="BF7" s="71" t="str">
        <x:f>IF(AND(BF$5&gt;='설정'!$E$8,BF$5&lt;='설정'!$F$8),I7,"")</x:f>
      </x:c>
      <x:c r="BG7" s="71" t="str">
        <x:f>IF(AND(BG$5&gt;='설정'!$E$8,BG$5&lt;='설정'!$F$8),J7,"")</x:f>
      </x:c>
      <x:c r="BH7" s="71" t="str">
        <x:f>IF(AND(BH$5&gt;='설정'!$E$8,BH$5&lt;='설정'!$F$8),K7,"")</x:f>
      </x:c>
      <x:c r="BI7" s="71" t="str">
        <x:f>IF(AND(BI$5&gt;='설정'!$E$8,BI$5&lt;='설정'!$F$8),L7,"")</x:f>
      </x:c>
      <x:c r="BJ7" s="71" t="str">
        <x:f>IF(AND(BJ$5&gt;='설정'!$E$8,BJ$5&lt;='설정'!$F$8),M7,"")</x:f>
      </x:c>
      <x:c r="BK7" s="71" t="str">
        <x:f>IF(AND(BK$5&gt;='설정'!$E$8,BK$5&lt;='설정'!$F$8),N7,"")</x:f>
      </x:c>
      <x:c r="BL7" s="71" t="n">
        <x:f>IF(AND(BL$5&gt;='설정'!$E$8,BL$5&lt;='설정'!$F$8),O7,"")</x:f>
        <x:v>8.2</x:v>
      </x:c>
      <x:c r="BM7" s="71" t="n">
        <x:f>IF(AND(BM$5&gt;='설정'!$E$8,BM$5&lt;='설정'!$F$8),P7,"")</x:f>
        <x:v>7.46</x:v>
      </x:c>
      <x:c r="BN7" s="71" t="n">
        <x:f>IF(AND(BN$5&gt;='설정'!$E$8,BN$5&lt;='설정'!$F$8),Q7,"")</x:f>
        <x:v>6.91</x:v>
      </x:c>
      <x:c r="BO7" s="71" t="n">
        <x:f>IF(AND(BO$5&gt;='설정'!$E$8,BO$5&lt;='설정'!$F$8),R7,"")</x:f>
        <x:v>6.5</x:v>
      </x:c>
      <x:c r="BP7" s="71" t="n">
        <x:f>IF(AND(BP$5&gt;='설정'!$E$8,BP$5&lt;='설정'!$F$8),S7,"")</x:f>
        <x:v>6.21</x:v>
      </x:c>
      <x:c r="BQ7" s="71" t="n">
        <x:f>IF(AND(BQ$5&gt;='설정'!$E$8,BQ$5&lt;='설정'!$F$8),T7,"")</x:f>
        <x:v>6.05</x:v>
      </x:c>
      <x:c r="BR7" s="71" t="n">
        <x:f>IF(AND(BR$5&gt;='설정'!$E$8,BR$5&lt;='설정'!$F$8),U7,"")</x:f>
        <x:v>6.01</x:v>
      </x:c>
      <x:c r="BS7" s="71" t="n">
        <x:f>IF(AND(BS$5&gt;='설정'!$E$8,BS$5&lt;='설정'!$F$8),V7,"")</x:f>
        <x:v>6.01</x:v>
      </x:c>
      <x:c r="BT7" s="71" t="n">
        <x:f>IF(AND(BT$5&gt;='설정'!$E$8,BT$5&lt;='설정'!$F$8),W7,"")</x:f>
        <x:v>6.06</x:v>
      </x:c>
      <x:c r="BU7" s="71" t="n">
        <x:f>IF(AND(BU$5&gt;='설정'!$E$8,BU$5&lt;='설정'!$F$8),X7,"")</x:f>
        <x:v>6.16</x:v>
      </x:c>
      <x:c r="BV7" s="71" t="n">
        <x:f>IF(AND(BV$5&gt;='설정'!$E$8,BV$5&lt;='설정'!$F$8),Y7,"")</x:f>
        <x:v>6.3</x:v>
      </x:c>
      <x:c r="BW7" s="71" t="n">
        <x:f>IF(AND(BW$5&gt;='설정'!$E$8,BW$5&lt;='설정'!$F$8),Z7,"")</x:f>
        <x:v>6.49</x:v>
      </x:c>
      <x:c r="BX7" s="71" t="n">
        <x:f>IF(AND(BX$5&gt;='설정'!$E$8,BX$5&lt;='설정'!$F$8),AA7,"")</x:f>
        <x:v>6.66</x:v>
      </x:c>
      <x:c r="BY7" s="71" t="str">
        <x:f>IF(AND(BY$5&gt;='설정'!$E$8,BY$5&lt;='설정'!$F$8),AB7,"")</x:f>
      </x:c>
      <x:c r="BZ7" s="71" t="str">
        <x:f>IF(AND(BZ$5&gt;='설정'!$E$8,BZ$5&lt;='설정'!$F$8),AC7,"")</x:f>
      </x:c>
      <x:c r="CA7" s="71" t="str">
        <x:f>IF(AND(CA$5&gt;='설정'!$E$8,CA$5&lt;='설정'!$F$8),AD7,"")</x:f>
      </x:c>
      <x:c r="CB7" s="71" t="str">
        <x:f>IF(AND(CB$5&gt;='설정'!$E$8,CB$5&lt;='설정'!$F$8),AE7,"")</x:f>
      </x:c>
      <x:c r="CC7" s="71" t="str">
        <x:f>IF(AND(CC$5&gt;='설정'!$E$8,CC$5&lt;='설정'!$F$8),AF7,"")</x:f>
      </x:c>
      <x:c r="CD7" s="71" t="str">
        <x:f>IF(AND(CD$5&gt;='설정'!$E$8,CD$5&lt;='설정'!$F$8),AG7,"")</x:f>
      </x:c>
      <x:c r="CE7" s="71" t="str">
        <x:f>IF(AND(CE$5&gt;='설정'!$E$8,CE$5&lt;='설정'!$F$8),AH7,"")</x:f>
      </x:c>
      <x:c r="CF7" s="71" t="str">
        <x:f>IF(AND(CF$5&gt;='설정'!$E$8,CF$5&lt;='설정'!$F$8),AI7,"")</x:f>
      </x:c>
      <x:c r="CG7" s="71" t="str">
        <x:f>IF(AND(CG$5&gt;='설정'!$E$8,CG$5&lt;='설정'!$F$8),AJ7,"")</x:f>
      </x:c>
      <x:c r="CH7" s="71" t="str">
        <x:f>IF(AND(CH$5&gt;='설정'!$E$8,CH$5&lt;='설정'!$F$8),AK7,"")</x:f>
      </x:c>
      <x:c r="CI7" s="71" t="str">
        <x:f>IF(AND(CI$5&gt;='설정'!$E$8,CI$5&lt;='설정'!$F$8),AL7,"")</x:f>
      </x:c>
      <x:c r="CJ7" s="71" t="str">
        <x:f>IF(AND(CJ$5&gt;='설정'!$E$8,CJ$5&lt;='설정'!$F$8),AM7,"")</x:f>
      </x:c>
      <x:c r="CK7" s="71" t="str">
        <x:f>IF(AND(CK$5&gt;='설정'!$E$8,CK$5&lt;='설정'!$F$8),AN7,"")</x:f>
      </x:c>
      <x:c r="CL7" s="71" t="str">
        <x:f>IF(AND(CL$5&gt;='설정'!$E$8,CL$5&lt;='설정'!$F$8),AO7,"")</x:f>
      </x:c>
      <x:c r="CM7" s="71" t="str">
        <x:f>IF(AND(CM$5&gt;='설정'!$E$8,CM$5&lt;='설정'!$F$8),AP7,"")</x:f>
      </x:c>
      <x:c r="CN7" s="71" t="str">
        <x:f>IF(AND(CN$5&gt;='설정'!$E$8,CN$5&lt;='설정'!$F$8),AQ7,"")</x:f>
      </x:c>
      <x:c r="CO7" s="71" t="str">
        <x:f>IF(AND(CO$5&gt;='설정'!$E$8,CO$5&lt;='설정'!$F$8),AR7,"")</x:f>
      </x:c>
      <x:c r="CP7" s="71" t="str">
        <x:f>IF(AND(CP$5&gt;='설정'!$E$8,CP$5&lt;='설정'!$F$8),AS7,"")</x:f>
      </x:c>
      <x:c r="CQ7" s="71" t="str">
        <x:f>IF(AND(CQ$5&gt;='설정'!$E$8,CQ$5&lt;='설정'!$F$8),AT7,"")</x:f>
      </x:c>
    </x:row>
    <x:row r="8" ht="20" customHeight="1">
      <x:c r="A8" s="46" t="n">
        <x:v>3</x:v>
      </x:c>
      <x:c r="B8" s="44" t="str">
        <x:v>SiO2 균일도_03</x:v>
      </x:c>
      <x:c r="C8" s="61" t="n">
        <x:v>31.88</x:v>
      </x:c>
      <x:c r="D8" s="61" t="n">
        <x:v>5.8</x:v>
      </x:c>
      <x:c r="E8" s="61" t="n">
        <x:v>-0.34</x:v>
      </x:c>
      <x:c r="F8" s="61" t="n">
        <x:v>7.03</x:v>
      </x:c>
      <x:c r="G8" s="44" t="str">
        <x:v>SCI</x:v>
      </x:c>
      <x:c r="H8" s="61" t="n">
        <x:v>20.47</x:v>
      </x:c>
      <x:c r="I8" s="61" t="n">
        <x:v>17.58</x:v>
      </x:c>
      <x:c r="J8" s="61" t="n">
        <x:v>15.29</x:v>
      </x:c>
      <x:c r="K8" s="61" t="n">
        <x:v>13.3</x:v>
      </x:c>
      <x:c r="L8" s="61" t="n">
        <x:v>11.64</x:v>
      </x:c>
      <x:c r="M8" s="61" t="n">
        <x:v>10.19</x:v>
      </x:c>
      <x:c r="N8" s="61" t="n">
        <x:v>8.99</x:v>
      </x:c>
      <x:c r="O8" s="61" t="n">
        <x:v>8.08</x:v>
      </x:c>
      <x:c r="P8" s="61" t="n">
        <x:v>7.39</x:v>
      </x:c>
      <x:c r="Q8" s="61" t="n">
        <x:v>6.88</x:v>
      </x:c>
      <x:c r="R8" s="61" t="n">
        <x:v>6.48</x:v>
      </x:c>
      <x:c r="S8" s="61" t="n">
        <x:v>6.25</x:v>
      </x:c>
      <x:c r="T8" s="61" t="n">
        <x:v>6.08</x:v>
      </x:c>
      <x:c r="U8" s="61" t="n">
        <x:v>6.08</x:v>
      </x:c>
      <x:c r="V8" s="61" t="n">
        <x:v>6.1</x:v>
      </x:c>
      <x:c r="W8" s="61" t="n">
        <x:v>6.16</x:v>
      </x:c>
      <x:c r="X8" s="61" t="n">
        <x:v>6.29</x:v>
      </x:c>
      <x:c r="Y8" s="61" t="n">
        <x:v>6.44</x:v>
      </x:c>
      <x:c r="Z8" s="61" t="n">
        <x:v>6.63</x:v>
      </x:c>
      <x:c r="AA8" s="61" t="n">
        <x:v>6.82</x:v>
      </x:c>
      <x:c r="AB8" s="61" t="n">
        <x:v>7.03</x:v>
      </x:c>
      <x:c r="AC8" s="61" t="n">
        <x:v>7.26</x:v>
      </x:c>
      <x:c r="AD8" s="61" t="n">
        <x:v>7.48</x:v>
      </x:c>
      <x:c r="AE8" s="61" t="n">
        <x:v>7.69</x:v>
      </x:c>
      <x:c r="AF8" s="61" t="n">
        <x:v>7.94</x:v>
      </x:c>
      <x:c r="AG8" s="61" t="n">
        <x:v>8.17</x:v>
      </x:c>
      <x:c r="AH8" s="61" t="n">
        <x:v>8.34</x:v>
      </x:c>
      <x:c r="AI8" s="61" t="n">
        <x:v>8.56</x:v>
      </x:c>
      <x:c r="AJ8" s="61" t="n">
        <x:v>8.8</x:v>
      </x:c>
      <x:c r="AK8" s="61" t="n">
        <x:v>8.95</x:v>
      </x:c>
      <x:c r="AL8" s="61" t="n">
        <x:v>9.19</x:v>
      </x:c>
      <x:c r="AM8" s="61" t="n">
        <x:v>9.33</x:v>
      </x:c>
      <x:c r="AN8" s="61" t="n">
        <x:v>9.52</x:v>
      </x:c>
      <x:c r="AO8" s="61" t="n">
        <x:v>9.7</x:v>
      </x:c>
      <x:c r="AP8" s="61" t="n">
        <x:v>9.88</x:v>
      </x:c>
      <x:c r="AQ8" s="61" t="n">
        <x:v>10.04</x:v>
      </x:c>
      <x:c r="AR8" s="61" t="n">
        <x:v>10.12</x:v>
      </x:c>
      <x:c r="AS8" s="61" t="n">
        <x:v>10.26</x:v>
      </x:c>
      <x:c r="AT8" s="61" t="n">
        <x:v>10.42</x:v>
      </x:c>
      <x:c r="AU8" s="40" t="n">
        <x:f>IF(OR('설정'!$E$8&gt;'설정'!$F$8,COUNT(H8:AT8)=0),"",MIN(BE8:CQ8))</x:f>
        <x:v>6.08</x:v>
      </x:c>
      <x:c r="AV8" s="40" t="n">
        <x:f>IF(AU8="","",SUMIFS($BE$5:$CQ$5,BE8:CQ8,AU8)/COUNTIFS(BE8:CQ8,AU8))</x:f>
        <x:v>485</x:v>
      </x:c>
      <x:c r="AW8" s="40" t="n">
        <x:f>IF(OR('설정'!$E$8&gt;'설정'!$F$8,COUNT(H8:AT8)=0),"",MAX(BE8:CQ8))</x:f>
        <x:v>8.08</x:v>
      </x:c>
      <x:c r="AX8" s="40" t="n">
        <x:f>IF(AW8="","",SUMIFS($BE$5:$CQ$5,BE8:CQ8,AW8)/COUNTIFS(BE8:CQ8,AW8))</x:f>
        <x:v>430</x:v>
      </x:c>
      <x:c r="AY8" s="66"/>
      <x:c r="AZ8" s="38" t="n">
        <x:f>IF(AY8&lt;&gt;"",AY8,IF('설정'!$C$8="최소",AV8,AX8))</x:f>
        <x:v>485</x:v>
      </x:c>
      <x:c r="BA8" s="39" t="n">
        <x:f>IF(AZ8="","",IF(OR(AZ8&lt;'굴절률'!$A$6,AZ8&gt;'굴절률'!$A$44),"",IF(COUNTIFS('굴절률'!$A$6:$A$44,AZ8)&gt;0,INDEX('굴절률'!$D$6:$D$44,MATCH(AZ8,'굴절률'!$A$6:$A$44,0)),INDEX('굴절률'!$D$6:$D$44,MATCH(AZ8,'굴절률'!$A$6:$A$44,1))+(AZ8-INDEX('굴절률'!$A$6:$A$44,MATCH(AZ8,'굴절률'!$A$6:$A$44,1)))*(INDEX('굴절률'!$D$6:$D$44,MATCH(AZ8,'굴절률'!$A$6:$A$44,1)+1)-INDEX('굴절률'!$D$6:$D$44,MATCH(AZ8,'굴절률'!$A$6:$A$44,1)))/(INDEX('굴절률'!$A$6:$A$44,MATCH(AZ8,'굴절률'!$A$6:$A$44,1)+1)-INDEX('굴절률'!$A$6:$A$44,MATCH(AZ8,'굴절률'!$A$6:$A$44,1))))))</x:f>
        <x:v>1.4705400000000002</x:v>
      </x:c>
      <x:c r="BB8" s="39" t="n">
        <x:f>IF(BA8="","",COS(ASIN(SIN(RADIANS('설정'!$G$8))/BA8)))</x:f>
        <x:v>1</x:v>
      </x:c>
      <x:c r="BC8" s="40" t="n">
        <x:f>IF(OR(AZ8="",BA8="",BB8=""),"",IF('설정'!$C$8="최소",(2*'설정'!$D$8-1)*AZ8/(4*BA8*BB8),'설정'!$D$8*AZ8/(2*BA8*BB8)))</x:f>
        <x:v>82.4527044487059</x:v>
      </x:c>
      <x:c r="BD8" s="42" t="str">
        <x:f>IF(COUNT(H8:AT8)=0,"입력 필요",IF(COUNT(H8:AT8)&lt;&gt;39,"데이터 점검",IF(OR('설정'!$E$8&gt;'설정'!$F$8,'설정'!$E$8&lt;360,'설정'!$F$8&gt;740),"검색 범위 오류",IF(AY8&lt;&gt;"","수동 파장",IF(OR(AZ8='설정'!$E$8,AZ8='설정'!$F$8),"경계 극값 확인",IF(COUNTIFS(H8:AT8,IF('설정'!$C$8="최소",AU8,AW8),$H$5:$AT$5,"&gt;="&amp;'설정'!$E$8,$H$5:$AT$5,"&lt;="&amp;'설정'!$F$8)&gt;1,"복수 극값 평균","완료"))))))</x:f>
        <x:v>복수 극값 평균</x:v>
      </x:c>
      <x:c r="BE8" s="71" t="str">
        <x:f>IF(AND(BE$5&gt;='설정'!$E$8,BE$5&lt;='설정'!$F$8),H8,"")</x:f>
      </x:c>
      <x:c r="BF8" s="71" t="str">
        <x:f>IF(AND(BF$5&gt;='설정'!$E$8,BF$5&lt;='설정'!$F$8),I8,"")</x:f>
      </x:c>
      <x:c r="BG8" s="71" t="str">
        <x:f>IF(AND(BG$5&gt;='설정'!$E$8,BG$5&lt;='설정'!$F$8),J8,"")</x:f>
      </x:c>
      <x:c r="BH8" s="71" t="str">
        <x:f>IF(AND(BH$5&gt;='설정'!$E$8,BH$5&lt;='설정'!$F$8),K8,"")</x:f>
      </x:c>
      <x:c r="BI8" s="71" t="str">
        <x:f>IF(AND(BI$5&gt;='설정'!$E$8,BI$5&lt;='설정'!$F$8),L8,"")</x:f>
      </x:c>
      <x:c r="BJ8" s="71" t="str">
        <x:f>IF(AND(BJ$5&gt;='설정'!$E$8,BJ$5&lt;='설정'!$F$8),M8,"")</x:f>
      </x:c>
      <x:c r="BK8" s="71" t="str">
        <x:f>IF(AND(BK$5&gt;='설정'!$E$8,BK$5&lt;='설정'!$F$8),N8,"")</x:f>
      </x:c>
      <x:c r="BL8" s="71" t="n">
        <x:f>IF(AND(BL$5&gt;='설정'!$E$8,BL$5&lt;='설정'!$F$8),O8,"")</x:f>
        <x:v>8.08</x:v>
      </x:c>
      <x:c r="BM8" s="71" t="n">
        <x:f>IF(AND(BM$5&gt;='설정'!$E$8,BM$5&lt;='설정'!$F$8),P8,"")</x:f>
        <x:v>7.39</x:v>
      </x:c>
      <x:c r="BN8" s="71" t="n">
        <x:f>IF(AND(BN$5&gt;='설정'!$E$8,BN$5&lt;='설정'!$F$8),Q8,"")</x:f>
        <x:v>6.88</x:v>
      </x:c>
      <x:c r="BO8" s="71" t="n">
        <x:f>IF(AND(BO$5&gt;='설정'!$E$8,BO$5&lt;='설정'!$F$8),R8,"")</x:f>
        <x:v>6.48</x:v>
      </x:c>
      <x:c r="BP8" s="71" t="n">
        <x:f>IF(AND(BP$5&gt;='설정'!$E$8,BP$5&lt;='설정'!$F$8),S8,"")</x:f>
        <x:v>6.25</x:v>
      </x:c>
      <x:c r="BQ8" s="71" t="n">
        <x:f>IF(AND(BQ$5&gt;='설정'!$E$8,BQ$5&lt;='설정'!$F$8),T8,"")</x:f>
        <x:v>6.08</x:v>
      </x:c>
      <x:c r="BR8" s="71" t="n">
        <x:f>IF(AND(BR$5&gt;='설정'!$E$8,BR$5&lt;='설정'!$F$8),U8,"")</x:f>
        <x:v>6.08</x:v>
      </x:c>
      <x:c r="BS8" s="71" t="n">
        <x:f>IF(AND(BS$5&gt;='설정'!$E$8,BS$5&lt;='설정'!$F$8),V8,"")</x:f>
        <x:v>6.1</x:v>
      </x:c>
      <x:c r="BT8" s="71" t="n">
        <x:f>IF(AND(BT$5&gt;='설정'!$E$8,BT$5&lt;='설정'!$F$8),W8,"")</x:f>
        <x:v>6.16</x:v>
      </x:c>
      <x:c r="BU8" s="71" t="n">
        <x:f>IF(AND(BU$5&gt;='설정'!$E$8,BU$5&lt;='설정'!$F$8),X8,"")</x:f>
        <x:v>6.29</x:v>
      </x:c>
      <x:c r="BV8" s="71" t="n">
        <x:f>IF(AND(BV$5&gt;='설정'!$E$8,BV$5&lt;='설정'!$F$8),Y8,"")</x:f>
        <x:v>6.44</x:v>
      </x:c>
      <x:c r="BW8" s="71" t="n">
        <x:f>IF(AND(BW$5&gt;='설정'!$E$8,BW$5&lt;='설정'!$F$8),Z8,"")</x:f>
        <x:v>6.63</x:v>
      </x:c>
      <x:c r="BX8" s="71" t="n">
        <x:f>IF(AND(BX$5&gt;='설정'!$E$8,BX$5&lt;='설정'!$F$8),AA8,"")</x:f>
        <x:v>6.82</x:v>
      </x:c>
      <x:c r="BY8" s="71" t="str">
        <x:f>IF(AND(BY$5&gt;='설정'!$E$8,BY$5&lt;='설정'!$F$8),AB8,"")</x:f>
      </x:c>
      <x:c r="BZ8" s="71" t="str">
        <x:f>IF(AND(BZ$5&gt;='설정'!$E$8,BZ$5&lt;='설정'!$F$8),AC8,"")</x:f>
      </x:c>
      <x:c r="CA8" s="71" t="str">
        <x:f>IF(AND(CA$5&gt;='설정'!$E$8,CA$5&lt;='설정'!$F$8),AD8,"")</x:f>
      </x:c>
      <x:c r="CB8" s="71" t="str">
        <x:f>IF(AND(CB$5&gt;='설정'!$E$8,CB$5&lt;='설정'!$F$8),AE8,"")</x:f>
      </x:c>
      <x:c r="CC8" s="71" t="str">
        <x:f>IF(AND(CC$5&gt;='설정'!$E$8,CC$5&lt;='설정'!$F$8),AF8,"")</x:f>
      </x:c>
      <x:c r="CD8" s="71" t="str">
        <x:f>IF(AND(CD$5&gt;='설정'!$E$8,CD$5&lt;='설정'!$F$8),AG8,"")</x:f>
      </x:c>
      <x:c r="CE8" s="71" t="str">
        <x:f>IF(AND(CE$5&gt;='설정'!$E$8,CE$5&lt;='설정'!$F$8),AH8,"")</x:f>
      </x:c>
      <x:c r="CF8" s="71" t="str">
        <x:f>IF(AND(CF$5&gt;='설정'!$E$8,CF$5&lt;='설정'!$F$8),AI8,"")</x:f>
      </x:c>
      <x:c r="CG8" s="71" t="str">
        <x:f>IF(AND(CG$5&gt;='설정'!$E$8,CG$5&lt;='설정'!$F$8),AJ8,"")</x:f>
      </x:c>
      <x:c r="CH8" s="71" t="str">
        <x:f>IF(AND(CH$5&gt;='설정'!$E$8,CH$5&lt;='설정'!$F$8),AK8,"")</x:f>
      </x:c>
      <x:c r="CI8" s="71" t="str">
        <x:f>IF(AND(CI$5&gt;='설정'!$E$8,CI$5&lt;='설정'!$F$8),AL8,"")</x:f>
      </x:c>
      <x:c r="CJ8" s="71" t="str">
        <x:f>IF(AND(CJ$5&gt;='설정'!$E$8,CJ$5&lt;='설정'!$F$8),AM8,"")</x:f>
      </x:c>
      <x:c r="CK8" s="71" t="str">
        <x:f>IF(AND(CK$5&gt;='설정'!$E$8,CK$5&lt;='설정'!$F$8),AN8,"")</x:f>
      </x:c>
      <x:c r="CL8" s="71" t="str">
        <x:f>IF(AND(CL$5&gt;='설정'!$E$8,CL$5&lt;='설정'!$F$8),AO8,"")</x:f>
      </x:c>
      <x:c r="CM8" s="71" t="str">
        <x:f>IF(AND(CM$5&gt;='설정'!$E$8,CM$5&lt;='설정'!$F$8),AP8,"")</x:f>
      </x:c>
      <x:c r="CN8" s="71" t="str">
        <x:f>IF(AND(CN$5&gt;='설정'!$E$8,CN$5&lt;='설정'!$F$8),AQ8,"")</x:f>
      </x:c>
      <x:c r="CO8" s="71" t="str">
        <x:f>IF(AND(CO$5&gt;='설정'!$E$8,CO$5&lt;='설정'!$F$8),AR8,"")</x:f>
      </x:c>
      <x:c r="CP8" s="71" t="str">
        <x:f>IF(AND(CP$5&gt;='설정'!$E$8,CP$5&lt;='설정'!$F$8),AS8,"")</x:f>
      </x:c>
      <x:c r="CQ8" s="71" t="str">
        <x:f>IF(AND(CQ$5&gt;='설정'!$E$8,CQ$5&lt;='설정'!$F$8),AT8,"")</x:f>
      </x:c>
    </x:row>
    <x:row r="9" ht="20" customHeight="1">
      <x:c r="A9" s="46" t="n">
        <x:v>4</x:v>
      </x:c>
      <x:c r="B9" s="44" t="str">
        <x:v>SiO2 균일도_04</x:v>
      </x:c>
      <x:c r="C9" s="61" t="n">
        <x:v>32.18</x:v>
      </x:c>
      <x:c r="D9" s="61" t="n">
        <x:v>5.51</x:v>
      </x:c>
      <x:c r="E9" s="61" t="n">
        <x:v>0.58</x:v>
      </x:c>
      <x:c r="F9" s="61" t="n">
        <x:v>7.17</x:v>
      </x:c>
      <x:c r="G9" s="44" t="str">
        <x:v>SCI</x:v>
      </x:c>
      <x:c r="H9" s="61" t="n">
        <x:v>19.83</x:v>
      </x:c>
      <x:c r="I9" s="61" t="n">
        <x:v>16.94</x:v>
      </x:c>
      <x:c r="J9" s="61" t="n">
        <x:v>14.72</x:v>
      </x:c>
      <x:c r="K9" s="61" t="n">
        <x:v>12.8</x:v>
      </x:c>
      <x:c r="L9" s="61" t="n">
        <x:v>11.2</x:v>
      </x:c>
      <x:c r="M9" s="61" t="n">
        <x:v>9.84</x:v>
      </x:c>
      <x:c r="N9" s="61" t="n">
        <x:v>8.72</x:v>
      </x:c>
      <x:c r="O9" s="61" t="n">
        <x:v>7.87</x:v>
      </x:c>
      <x:c r="P9" s="61" t="n">
        <x:v>7.23</x:v>
      </x:c>
      <x:c r="Q9" s="61" t="n">
        <x:v>6.79</x:v>
      </x:c>
      <x:c r="R9" s="61" t="n">
        <x:v>6.44</x:v>
      </x:c>
      <x:c r="S9" s="61" t="n">
        <x:v>6.22</x:v>
      </x:c>
      <x:c r="T9" s="61" t="n">
        <x:v>6.13</x:v>
      </x:c>
      <x:c r="U9" s="61" t="n">
        <x:v>6.14</x:v>
      </x:c>
      <x:c r="V9" s="61" t="n">
        <x:v>6.18</x:v>
      </x:c>
      <x:c r="W9" s="61" t="n">
        <x:v>6.26</x:v>
      </x:c>
      <x:c r="X9" s="61" t="n">
        <x:v>6.41</x:v>
      </x:c>
      <x:c r="Y9" s="61" t="n">
        <x:v>6.58</x:v>
      </x:c>
      <x:c r="Z9" s="61" t="n">
        <x:v>6.78</x:v>
      </x:c>
      <x:c r="AA9" s="61" t="n">
        <x:v>6.98</x:v>
      </x:c>
      <x:c r="AB9" s="61" t="n">
        <x:v>7.19</x:v>
      </x:c>
      <x:c r="AC9" s="61" t="n">
        <x:v>7.43</x:v>
      </x:c>
      <x:c r="AD9" s="61" t="n">
        <x:v>7.65</x:v>
      </x:c>
      <x:c r="AE9" s="61" t="n">
        <x:v>7.87</x:v>
      </x:c>
      <x:c r="AF9" s="61" t="n">
        <x:v>8.1</x:v>
      </x:c>
      <x:c r="AG9" s="61" t="n">
        <x:v>8.35</x:v>
      </x:c>
      <x:c r="AH9" s="61" t="n">
        <x:v>8.52</x:v>
      </x:c>
      <x:c r="AI9" s="61" t="n">
        <x:v>8.72</x:v>
      </x:c>
      <x:c r="AJ9" s="61" t="n">
        <x:v>8.96</x:v>
      </x:c>
      <x:c r="AK9" s="61" t="n">
        <x:v>9.12</x:v>
      </x:c>
      <x:c r="AL9" s="61" t="n">
        <x:v>9.34</x:v>
      </x:c>
      <x:c r="AM9" s="61" t="n">
        <x:v>9.48</x:v>
      </x:c>
      <x:c r="AN9" s="61" t="n">
        <x:v>9.67</x:v>
      </x:c>
      <x:c r="AO9" s="61" t="n">
        <x:v>9.84</x:v>
      </x:c>
      <x:c r="AP9" s="61" t="n">
        <x:v>10</x:v>
      </x:c>
      <x:c r="AQ9" s="61" t="n">
        <x:v>10.17</x:v>
      </x:c>
      <x:c r="AR9" s="61" t="n">
        <x:v>10.26</x:v>
      </x:c>
      <x:c r="AS9" s="61" t="n">
        <x:v>10.39</x:v>
      </x:c>
      <x:c r="AT9" s="61" t="n">
        <x:v>10.55</x:v>
      </x:c>
      <x:c r="AU9" s="40" t="n">
        <x:f>IF(OR('설정'!$E$8&gt;'설정'!$F$8,COUNT(H9:AT9)=0),"",MIN(BE9:CQ9))</x:f>
        <x:v>6.13</x:v>
      </x:c>
      <x:c r="AV9" s="40" t="n">
        <x:f>IF(AU9="","",SUMIFS($BE$5:$CQ$5,BE9:CQ9,AU9)/COUNTIFS(BE9:CQ9,AU9))</x:f>
        <x:v>480</x:v>
      </x:c>
      <x:c r="AW9" s="40" t="n">
        <x:f>IF(OR('설정'!$E$8&gt;'설정'!$F$8,COUNT(H9:AT9)=0),"",MAX(BE9:CQ9))</x:f>
        <x:v>7.87</x:v>
      </x:c>
      <x:c r="AX9" s="40" t="n">
        <x:f>IF(AW9="","",SUMIFS($BE$5:$CQ$5,BE9:CQ9,AW9)/COUNTIFS(BE9:CQ9,AW9))</x:f>
        <x:v>430</x:v>
      </x:c>
      <x:c r="AY9" s="66"/>
      <x:c r="AZ9" s="38" t="n">
        <x:f>IF(AY9&lt;&gt;"",AY9,IF('설정'!$C$8="최소",AV9,AX9))</x:f>
        <x:v>480</x:v>
      </x:c>
      <x:c r="BA9" s="39" t="n">
        <x:f>IF(AZ9="","",IF(OR(AZ9&lt;'굴절률'!$A$6,AZ9&gt;'굴절률'!$A$44),"",IF(COUNTIFS('굴절률'!$A$6:$A$44,AZ9)&gt;0,INDEX('굴절률'!$D$6:$D$44,MATCH(AZ9,'굴절률'!$A$6:$A$44,0)),INDEX('굴절률'!$D$6:$D$44,MATCH(AZ9,'굴절률'!$A$6:$A$44,1))+(AZ9-INDEX('굴절률'!$A$6:$A$44,MATCH(AZ9,'굴절률'!$A$6:$A$44,1)))*(INDEX('굴절률'!$D$6:$D$44,MATCH(AZ9,'굴절률'!$A$6:$A$44,1)+1)-INDEX('굴절률'!$D$6:$D$44,MATCH(AZ9,'굴절률'!$A$6:$A$44,1)))/(INDEX('굴절률'!$A$6:$A$44,MATCH(AZ9,'굴절률'!$A$6:$A$44,1)+1)-INDEX('굴절률'!$A$6:$A$44,MATCH(AZ9,'굴절률'!$A$6:$A$44,1))))))</x:f>
        <x:v>1.47069</x:v>
      </x:c>
      <x:c r="BB9" s="39" t="n">
        <x:f>IF(BA9="","",COS(ASIN(SIN(RADIANS('설정'!$G$8))/BA9)))</x:f>
        <x:v>1</x:v>
      </x:c>
      <x:c r="BC9" s="40" t="n">
        <x:f>IF(OR(AZ9="",BA9="",BB9=""),"",IF('설정'!$C$8="최소",(2*'설정'!$D$8-1)*AZ9/(4*BA9*BB9),'설정'!$D$8*AZ9/(2*BA9*BB9)))</x:f>
        <x:v>81.59435367072598</x:v>
      </x:c>
      <x:c r="BD9" s="42" t="str">
        <x:f>IF(COUNT(H9:AT9)=0,"입력 필요",IF(COUNT(H9:AT9)&lt;&gt;39,"데이터 점검",IF(OR('설정'!$E$8&gt;'설정'!$F$8,'설정'!$E$8&lt;360,'설정'!$F$8&gt;740),"검색 범위 오류",IF(AY9&lt;&gt;"","수동 파장",IF(OR(AZ9='설정'!$E$8,AZ9='설정'!$F$8),"경계 극값 확인",IF(COUNTIFS(H9:AT9,IF('설정'!$C$8="최소",AU9,AW9),$H$5:$AT$5,"&gt;="&amp;'설정'!$E$8,$H$5:$AT$5,"&lt;="&amp;'설정'!$F$8)&gt;1,"복수 극값 평균","완료"))))))</x:f>
        <x:v>완료</x:v>
      </x:c>
      <x:c r="BE9" s="71" t="str">
        <x:f>IF(AND(BE$5&gt;='설정'!$E$8,BE$5&lt;='설정'!$F$8),H9,"")</x:f>
      </x:c>
      <x:c r="BF9" s="71" t="str">
        <x:f>IF(AND(BF$5&gt;='설정'!$E$8,BF$5&lt;='설정'!$F$8),I9,"")</x:f>
      </x:c>
      <x:c r="BG9" s="71" t="str">
        <x:f>IF(AND(BG$5&gt;='설정'!$E$8,BG$5&lt;='설정'!$F$8),J9,"")</x:f>
      </x:c>
      <x:c r="BH9" s="71" t="str">
        <x:f>IF(AND(BH$5&gt;='설정'!$E$8,BH$5&lt;='설정'!$F$8),K9,"")</x:f>
      </x:c>
      <x:c r="BI9" s="71" t="str">
        <x:f>IF(AND(BI$5&gt;='설정'!$E$8,BI$5&lt;='설정'!$F$8),L9,"")</x:f>
      </x:c>
      <x:c r="BJ9" s="71" t="str">
        <x:f>IF(AND(BJ$5&gt;='설정'!$E$8,BJ$5&lt;='설정'!$F$8),M9,"")</x:f>
      </x:c>
      <x:c r="BK9" s="71" t="str">
        <x:f>IF(AND(BK$5&gt;='설정'!$E$8,BK$5&lt;='설정'!$F$8),N9,"")</x:f>
      </x:c>
      <x:c r="BL9" s="71" t="n">
        <x:f>IF(AND(BL$5&gt;='설정'!$E$8,BL$5&lt;='설정'!$F$8),O9,"")</x:f>
        <x:v>7.87</x:v>
      </x:c>
      <x:c r="BM9" s="71" t="n">
        <x:f>IF(AND(BM$5&gt;='설정'!$E$8,BM$5&lt;='설정'!$F$8),P9,"")</x:f>
        <x:v>7.23</x:v>
      </x:c>
      <x:c r="BN9" s="71" t="n">
        <x:f>IF(AND(BN$5&gt;='설정'!$E$8,BN$5&lt;='설정'!$F$8),Q9,"")</x:f>
        <x:v>6.79</x:v>
      </x:c>
      <x:c r="BO9" s="71" t="n">
        <x:f>IF(AND(BO$5&gt;='설정'!$E$8,BO$5&lt;='설정'!$F$8),R9,"")</x:f>
        <x:v>6.44</x:v>
      </x:c>
      <x:c r="BP9" s="71" t="n">
        <x:f>IF(AND(BP$5&gt;='설정'!$E$8,BP$5&lt;='설정'!$F$8),S9,"")</x:f>
        <x:v>6.22</x:v>
      </x:c>
      <x:c r="BQ9" s="71" t="n">
        <x:f>IF(AND(BQ$5&gt;='설정'!$E$8,BQ$5&lt;='설정'!$F$8),T9,"")</x:f>
        <x:v>6.13</x:v>
      </x:c>
      <x:c r="BR9" s="71" t="n">
        <x:f>IF(AND(BR$5&gt;='설정'!$E$8,BR$5&lt;='설정'!$F$8),U9,"")</x:f>
        <x:v>6.14</x:v>
      </x:c>
      <x:c r="BS9" s="71" t="n">
        <x:f>IF(AND(BS$5&gt;='설정'!$E$8,BS$5&lt;='설정'!$F$8),V9,"")</x:f>
        <x:v>6.18</x:v>
      </x:c>
      <x:c r="BT9" s="71" t="n">
        <x:f>IF(AND(BT$5&gt;='설정'!$E$8,BT$5&lt;='설정'!$F$8),W9,"")</x:f>
        <x:v>6.26</x:v>
      </x:c>
      <x:c r="BU9" s="71" t="n">
        <x:f>IF(AND(BU$5&gt;='설정'!$E$8,BU$5&lt;='설정'!$F$8),X9,"")</x:f>
        <x:v>6.41</x:v>
      </x:c>
      <x:c r="BV9" s="71" t="n">
        <x:f>IF(AND(BV$5&gt;='설정'!$E$8,BV$5&lt;='설정'!$F$8),Y9,"")</x:f>
        <x:v>6.58</x:v>
      </x:c>
      <x:c r="BW9" s="71" t="n">
        <x:f>IF(AND(BW$5&gt;='설정'!$E$8,BW$5&lt;='설정'!$F$8),Z9,"")</x:f>
        <x:v>6.78</x:v>
      </x:c>
      <x:c r="BX9" s="71" t="n">
        <x:f>IF(AND(BX$5&gt;='설정'!$E$8,BX$5&lt;='설정'!$F$8),AA9,"")</x:f>
        <x:v>6.98</x:v>
      </x:c>
      <x:c r="BY9" s="71" t="str">
        <x:f>IF(AND(BY$5&gt;='설정'!$E$8,BY$5&lt;='설정'!$F$8),AB9,"")</x:f>
      </x:c>
      <x:c r="BZ9" s="71" t="str">
        <x:f>IF(AND(BZ$5&gt;='설정'!$E$8,BZ$5&lt;='설정'!$F$8),AC9,"")</x:f>
      </x:c>
      <x:c r="CA9" s="71" t="str">
        <x:f>IF(AND(CA$5&gt;='설정'!$E$8,CA$5&lt;='설정'!$F$8),AD9,"")</x:f>
      </x:c>
      <x:c r="CB9" s="71" t="str">
        <x:f>IF(AND(CB$5&gt;='설정'!$E$8,CB$5&lt;='설정'!$F$8),AE9,"")</x:f>
      </x:c>
      <x:c r="CC9" s="71" t="str">
        <x:f>IF(AND(CC$5&gt;='설정'!$E$8,CC$5&lt;='설정'!$F$8),AF9,"")</x:f>
      </x:c>
      <x:c r="CD9" s="71" t="str">
        <x:f>IF(AND(CD$5&gt;='설정'!$E$8,CD$5&lt;='설정'!$F$8),AG9,"")</x:f>
      </x:c>
      <x:c r="CE9" s="71" t="str">
        <x:f>IF(AND(CE$5&gt;='설정'!$E$8,CE$5&lt;='설정'!$F$8),AH9,"")</x:f>
      </x:c>
      <x:c r="CF9" s="71" t="str">
        <x:f>IF(AND(CF$5&gt;='설정'!$E$8,CF$5&lt;='설정'!$F$8),AI9,"")</x:f>
      </x:c>
      <x:c r="CG9" s="71" t="str">
        <x:f>IF(AND(CG$5&gt;='설정'!$E$8,CG$5&lt;='설정'!$F$8),AJ9,"")</x:f>
      </x:c>
      <x:c r="CH9" s="71" t="str">
        <x:f>IF(AND(CH$5&gt;='설정'!$E$8,CH$5&lt;='설정'!$F$8),AK9,"")</x:f>
      </x:c>
      <x:c r="CI9" s="71" t="str">
        <x:f>IF(AND(CI$5&gt;='설정'!$E$8,CI$5&lt;='설정'!$F$8),AL9,"")</x:f>
      </x:c>
      <x:c r="CJ9" s="71" t="str">
        <x:f>IF(AND(CJ$5&gt;='설정'!$E$8,CJ$5&lt;='설정'!$F$8),AM9,"")</x:f>
      </x:c>
      <x:c r="CK9" s="71" t="str">
        <x:f>IF(AND(CK$5&gt;='설정'!$E$8,CK$5&lt;='설정'!$F$8),AN9,"")</x:f>
      </x:c>
      <x:c r="CL9" s="71" t="str">
        <x:f>IF(AND(CL$5&gt;='설정'!$E$8,CL$5&lt;='설정'!$F$8),AO9,"")</x:f>
      </x:c>
      <x:c r="CM9" s="71" t="str">
        <x:f>IF(AND(CM$5&gt;='설정'!$E$8,CM$5&lt;='설정'!$F$8),AP9,"")</x:f>
      </x:c>
      <x:c r="CN9" s="71" t="str">
        <x:f>IF(AND(CN$5&gt;='설정'!$E$8,CN$5&lt;='설정'!$F$8),AQ9,"")</x:f>
      </x:c>
      <x:c r="CO9" s="71" t="str">
        <x:f>IF(AND(CO$5&gt;='설정'!$E$8,CO$5&lt;='설정'!$F$8),AR9,"")</x:f>
      </x:c>
      <x:c r="CP9" s="71" t="str">
        <x:f>IF(AND(CP$5&gt;='설정'!$E$8,CP$5&lt;='설정'!$F$8),AS9,"")</x:f>
      </x:c>
      <x:c r="CQ9" s="71" t="str">
        <x:f>IF(AND(CQ$5&gt;='설정'!$E$8,CQ$5&lt;='설정'!$F$8),AT9,"")</x:f>
      </x:c>
    </x:row>
    <x:row r="10" ht="20" customHeight="1">
      <x:c r="A10" s="46" t="n">
        <x:v>5</x:v>
      </x:c>
      <x:c r="B10" s="44" t="str">
        <x:v>SiO2 균일도_05</x:v>
      </x:c>
      <x:c r="C10" s="61" t="n">
        <x:v>32.32</x:v>
      </x:c>
      <x:c r="D10" s="61" t="n">
        <x:v>5.46</x:v>
      </x:c>
      <x:c r="E10" s="61" t="n">
        <x:v>0.73</x:v>
      </x:c>
      <x:c r="F10" s="61" t="n">
        <x:v>7.23</x:v>
      </x:c>
      <x:c r="G10" s="44" t="str">
        <x:v>SCI</x:v>
      </x:c>
      <x:c r="H10" s="61" t="n">
        <x:v>19.9</x:v>
      </x:c>
      <x:c r="I10" s="61" t="n">
        <x:v>17.02</x:v>
      </x:c>
      <x:c r="J10" s="61" t="n">
        <x:v>14.77</x:v>
      </x:c>
      <x:c r="K10" s="61" t="n">
        <x:v>12.83</x:v>
      </x:c>
      <x:c r="L10" s="61" t="n">
        <x:v>11.24</x:v>
      </x:c>
      <x:c r="M10" s="61" t="n">
        <x:v>9.86</x:v>
      </x:c>
      <x:c r="N10" s="61" t="n">
        <x:v>8.73</x:v>
      </x:c>
      <x:c r="O10" s="61" t="n">
        <x:v>7.88</x:v>
      </x:c>
      <x:c r="P10" s="61" t="n">
        <x:v>7.24</x:v>
      </x:c>
      <x:c r="Q10" s="61" t="n">
        <x:v>6.81</x:v>
      </x:c>
      <x:c r="R10" s="61" t="n">
        <x:v>6.44</x:v>
      </x:c>
      <x:c r="S10" s="61" t="n">
        <x:v>6.26</x:v>
      </x:c>
      <x:c r="T10" s="61" t="n">
        <x:v>6.16</x:v>
      </x:c>
      <x:c r="U10" s="61" t="n">
        <x:v>6.17</x:v>
      </x:c>
      <x:c r="V10" s="61" t="n">
        <x:v>6.23</x:v>
      </x:c>
      <x:c r="W10" s="61" t="n">
        <x:v>6.32</x:v>
      </x:c>
      <x:c r="X10" s="61" t="n">
        <x:v>6.46</x:v>
      </x:c>
      <x:c r="Y10" s="61" t="n">
        <x:v>6.64</x:v>
      </x:c>
      <x:c r="Z10" s="61" t="n">
        <x:v>6.85</x:v>
      </x:c>
      <x:c r="AA10" s="61" t="n">
        <x:v>7.05</x:v>
      </x:c>
      <x:c r="AB10" s="61" t="n">
        <x:v>7.26</x:v>
      </x:c>
      <x:c r="AC10" s="61" t="n">
        <x:v>7.49</x:v>
      </x:c>
      <x:c r="AD10" s="61" t="n">
        <x:v>7.72</x:v>
      </x:c>
      <x:c r="AE10" s="61" t="n">
        <x:v>7.93</x:v>
      </x:c>
      <x:c r="AF10" s="61" t="n">
        <x:v>8.18</x:v>
      </x:c>
      <x:c r="AG10" s="61" t="n">
        <x:v>8.41</x:v>
      </x:c>
      <x:c r="AH10" s="61" t="n">
        <x:v>8.59</x:v>
      </x:c>
      <x:c r="AI10" s="61" t="n">
        <x:v>8.8</x:v>
      </x:c>
      <x:c r="AJ10" s="61" t="n">
        <x:v>9.03</x:v>
      </x:c>
      <x:c r="AK10" s="61" t="n">
        <x:v>9.19</x:v>
      </x:c>
      <x:c r="AL10" s="61" t="n">
        <x:v>9.41</x:v>
      </x:c>
      <x:c r="AM10" s="61" t="n">
        <x:v>9.55</x:v>
      </x:c>
      <x:c r="AN10" s="61" t="n">
        <x:v>9.76</x:v>
      </x:c>
      <x:c r="AO10" s="61" t="n">
        <x:v>9.92</x:v>
      </x:c>
      <x:c r="AP10" s="61" t="n">
        <x:v>10.08</x:v>
      </x:c>
      <x:c r="AQ10" s="61" t="n">
        <x:v>10.23</x:v>
      </x:c>
      <x:c r="AR10" s="61" t="n">
        <x:v>10.31</x:v>
      </x:c>
      <x:c r="AS10" s="61" t="n">
        <x:v>10.48</x:v>
      </x:c>
      <x:c r="AT10" s="61" t="n">
        <x:v>10.63</x:v>
      </x:c>
      <x:c r="AU10" s="40" t="n">
        <x:f>IF(OR('설정'!$E$8&gt;'설정'!$F$8,COUNT(H10:AT10)=0),"",MIN(BE10:CQ10))</x:f>
        <x:v>6.16</x:v>
      </x:c>
      <x:c r="AV10" s="40" t="n">
        <x:f>IF(AU10="","",SUMIFS($BE$5:$CQ$5,BE10:CQ10,AU10)/COUNTIFS(BE10:CQ10,AU10))</x:f>
        <x:v>480</x:v>
      </x:c>
      <x:c r="AW10" s="40" t="n">
        <x:f>IF(OR('설정'!$E$8&gt;'설정'!$F$8,COUNT(H10:AT10)=0),"",MAX(BE10:CQ10))</x:f>
        <x:v>7.88</x:v>
      </x:c>
      <x:c r="AX10" s="40" t="n">
        <x:f>IF(AW10="","",SUMIFS($BE$5:$CQ$5,BE10:CQ10,AW10)/COUNTIFS(BE10:CQ10,AW10))</x:f>
        <x:v>430</x:v>
      </x:c>
      <x:c r="AY10" s="66"/>
      <x:c r="AZ10" s="38" t="n">
        <x:f>IF(AY10&lt;&gt;"",AY10,IF('설정'!$C$8="최소",AV10,AX10))</x:f>
        <x:v>480</x:v>
      </x:c>
      <x:c r="BA10" s="39" t="n">
        <x:f>IF(AZ10="","",IF(OR(AZ10&lt;'굴절률'!$A$6,AZ10&gt;'굴절률'!$A$44),"",IF(COUNTIFS('굴절률'!$A$6:$A$44,AZ10)&gt;0,INDEX('굴절률'!$D$6:$D$44,MATCH(AZ10,'굴절률'!$A$6:$A$44,0)),INDEX('굴절률'!$D$6:$D$44,MATCH(AZ10,'굴절률'!$A$6:$A$44,1))+(AZ10-INDEX('굴절률'!$A$6:$A$44,MATCH(AZ10,'굴절률'!$A$6:$A$44,1)))*(INDEX('굴절률'!$D$6:$D$44,MATCH(AZ10,'굴절률'!$A$6:$A$44,1)+1)-INDEX('굴절률'!$D$6:$D$44,MATCH(AZ10,'굴절률'!$A$6:$A$44,1)))/(INDEX('굴절률'!$A$6:$A$44,MATCH(AZ10,'굴절률'!$A$6:$A$44,1)+1)-INDEX('굴절률'!$A$6:$A$44,MATCH(AZ10,'굴절률'!$A$6:$A$44,1))))))</x:f>
        <x:v>1.47069</x:v>
      </x:c>
      <x:c r="BB10" s="39" t="n">
        <x:f>IF(BA10="","",COS(ASIN(SIN(RADIANS('설정'!$G$8))/BA10)))</x:f>
        <x:v>1</x:v>
      </x:c>
      <x:c r="BC10" s="40" t="n">
        <x:f>IF(OR(AZ10="",BA10="",BB10=""),"",IF('설정'!$C$8="최소",(2*'설정'!$D$8-1)*AZ10/(4*BA10*BB10),'설정'!$D$8*AZ10/(2*BA10*BB10)))</x:f>
        <x:v>81.59435367072598</x:v>
      </x:c>
      <x:c r="BD10" s="42" t="str">
        <x:f>IF(COUNT(H10:AT10)=0,"입력 필요",IF(COUNT(H10:AT10)&lt;&gt;39,"데이터 점검",IF(OR('설정'!$E$8&gt;'설정'!$F$8,'설정'!$E$8&lt;360,'설정'!$F$8&gt;740),"검색 범위 오류",IF(AY10&lt;&gt;"","수동 파장",IF(OR(AZ10='설정'!$E$8,AZ10='설정'!$F$8),"경계 극값 확인",IF(COUNTIFS(H10:AT10,IF('설정'!$C$8="최소",AU10,AW10),$H$5:$AT$5,"&gt;="&amp;'설정'!$E$8,$H$5:$AT$5,"&lt;="&amp;'설정'!$F$8)&gt;1,"복수 극값 평균","완료"))))))</x:f>
        <x:v>완료</x:v>
      </x:c>
      <x:c r="BE10" s="71" t="str">
        <x:f>IF(AND(BE$5&gt;='설정'!$E$8,BE$5&lt;='설정'!$F$8),H10,"")</x:f>
      </x:c>
      <x:c r="BF10" s="71" t="str">
        <x:f>IF(AND(BF$5&gt;='설정'!$E$8,BF$5&lt;='설정'!$F$8),I10,"")</x:f>
      </x:c>
      <x:c r="BG10" s="71" t="str">
        <x:f>IF(AND(BG$5&gt;='설정'!$E$8,BG$5&lt;='설정'!$F$8),J10,"")</x:f>
      </x:c>
      <x:c r="BH10" s="71" t="str">
        <x:f>IF(AND(BH$5&gt;='설정'!$E$8,BH$5&lt;='설정'!$F$8),K10,"")</x:f>
      </x:c>
      <x:c r="BI10" s="71" t="str">
        <x:f>IF(AND(BI$5&gt;='설정'!$E$8,BI$5&lt;='설정'!$F$8),L10,"")</x:f>
      </x:c>
      <x:c r="BJ10" s="71" t="str">
        <x:f>IF(AND(BJ$5&gt;='설정'!$E$8,BJ$5&lt;='설정'!$F$8),M10,"")</x:f>
      </x:c>
      <x:c r="BK10" s="71" t="str">
        <x:f>IF(AND(BK$5&gt;='설정'!$E$8,BK$5&lt;='설정'!$F$8),N10,"")</x:f>
      </x:c>
      <x:c r="BL10" s="71" t="n">
        <x:f>IF(AND(BL$5&gt;='설정'!$E$8,BL$5&lt;='설정'!$F$8),O10,"")</x:f>
        <x:v>7.88</x:v>
      </x:c>
      <x:c r="BM10" s="71" t="n">
        <x:f>IF(AND(BM$5&gt;='설정'!$E$8,BM$5&lt;='설정'!$F$8),P10,"")</x:f>
        <x:v>7.24</x:v>
      </x:c>
      <x:c r="BN10" s="71" t="n">
        <x:f>IF(AND(BN$5&gt;='설정'!$E$8,BN$5&lt;='설정'!$F$8),Q10,"")</x:f>
        <x:v>6.81</x:v>
      </x:c>
      <x:c r="BO10" s="71" t="n">
        <x:f>IF(AND(BO$5&gt;='설정'!$E$8,BO$5&lt;='설정'!$F$8),R10,"")</x:f>
        <x:v>6.44</x:v>
      </x:c>
      <x:c r="BP10" s="71" t="n">
        <x:f>IF(AND(BP$5&gt;='설정'!$E$8,BP$5&lt;='설정'!$F$8),S10,"")</x:f>
        <x:v>6.26</x:v>
      </x:c>
      <x:c r="BQ10" s="71" t="n">
        <x:f>IF(AND(BQ$5&gt;='설정'!$E$8,BQ$5&lt;='설정'!$F$8),T10,"")</x:f>
        <x:v>6.16</x:v>
      </x:c>
      <x:c r="BR10" s="71" t="n">
        <x:f>IF(AND(BR$5&gt;='설정'!$E$8,BR$5&lt;='설정'!$F$8),U10,"")</x:f>
        <x:v>6.17</x:v>
      </x:c>
      <x:c r="BS10" s="71" t="n">
        <x:f>IF(AND(BS$5&gt;='설정'!$E$8,BS$5&lt;='설정'!$F$8),V10,"")</x:f>
        <x:v>6.23</x:v>
      </x:c>
      <x:c r="BT10" s="71" t="n">
        <x:f>IF(AND(BT$5&gt;='설정'!$E$8,BT$5&lt;='설정'!$F$8),W10,"")</x:f>
        <x:v>6.32</x:v>
      </x:c>
      <x:c r="BU10" s="71" t="n">
        <x:f>IF(AND(BU$5&gt;='설정'!$E$8,BU$5&lt;='설정'!$F$8),X10,"")</x:f>
        <x:v>6.46</x:v>
      </x:c>
      <x:c r="BV10" s="71" t="n">
        <x:f>IF(AND(BV$5&gt;='설정'!$E$8,BV$5&lt;='설정'!$F$8),Y10,"")</x:f>
        <x:v>6.64</x:v>
      </x:c>
      <x:c r="BW10" s="71" t="n">
        <x:f>IF(AND(BW$5&gt;='설정'!$E$8,BW$5&lt;='설정'!$F$8),Z10,"")</x:f>
        <x:v>6.85</x:v>
      </x:c>
      <x:c r="BX10" s="71" t="n">
        <x:f>IF(AND(BX$5&gt;='설정'!$E$8,BX$5&lt;='설정'!$F$8),AA10,"")</x:f>
        <x:v>7.05</x:v>
      </x:c>
      <x:c r="BY10" s="71" t="str">
        <x:f>IF(AND(BY$5&gt;='설정'!$E$8,BY$5&lt;='설정'!$F$8),AB10,"")</x:f>
      </x:c>
      <x:c r="BZ10" s="71" t="str">
        <x:f>IF(AND(BZ$5&gt;='설정'!$E$8,BZ$5&lt;='설정'!$F$8),AC10,"")</x:f>
      </x:c>
      <x:c r="CA10" s="71" t="str">
        <x:f>IF(AND(CA$5&gt;='설정'!$E$8,CA$5&lt;='설정'!$F$8),AD10,"")</x:f>
      </x:c>
      <x:c r="CB10" s="71" t="str">
        <x:f>IF(AND(CB$5&gt;='설정'!$E$8,CB$5&lt;='설정'!$F$8),AE10,"")</x:f>
      </x:c>
      <x:c r="CC10" s="71" t="str">
        <x:f>IF(AND(CC$5&gt;='설정'!$E$8,CC$5&lt;='설정'!$F$8),AF10,"")</x:f>
      </x:c>
      <x:c r="CD10" s="71" t="str">
        <x:f>IF(AND(CD$5&gt;='설정'!$E$8,CD$5&lt;='설정'!$F$8),AG10,"")</x:f>
      </x:c>
      <x:c r="CE10" s="71" t="str">
        <x:f>IF(AND(CE$5&gt;='설정'!$E$8,CE$5&lt;='설정'!$F$8),AH10,"")</x:f>
      </x:c>
      <x:c r="CF10" s="71" t="str">
        <x:f>IF(AND(CF$5&gt;='설정'!$E$8,CF$5&lt;='설정'!$F$8),AI10,"")</x:f>
      </x:c>
      <x:c r="CG10" s="71" t="str">
        <x:f>IF(AND(CG$5&gt;='설정'!$E$8,CG$5&lt;='설정'!$F$8),AJ10,"")</x:f>
      </x:c>
      <x:c r="CH10" s="71" t="str">
        <x:f>IF(AND(CH$5&gt;='설정'!$E$8,CH$5&lt;='설정'!$F$8),AK10,"")</x:f>
      </x:c>
      <x:c r="CI10" s="71" t="str">
        <x:f>IF(AND(CI$5&gt;='설정'!$E$8,CI$5&lt;='설정'!$F$8),AL10,"")</x:f>
      </x:c>
      <x:c r="CJ10" s="71" t="str">
        <x:f>IF(AND(CJ$5&gt;='설정'!$E$8,CJ$5&lt;='설정'!$F$8),AM10,"")</x:f>
      </x:c>
      <x:c r="CK10" s="71" t="str">
        <x:f>IF(AND(CK$5&gt;='설정'!$E$8,CK$5&lt;='설정'!$F$8),AN10,"")</x:f>
      </x:c>
      <x:c r="CL10" s="71" t="str">
        <x:f>IF(AND(CL$5&gt;='설정'!$E$8,CL$5&lt;='설정'!$F$8),AO10,"")</x:f>
      </x:c>
      <x:c r="CM10" s="71" t="str">
        <x:f>IF(AND(CM$5&gt;='설정'!$E$8,CM$5&lt;='설정'!$F$8),AP10,"")</x:f>
      </x:c>
      <x:c r="CN10" s="71" t="str">
        <x:f>IF(AND(CN$5&gt;='설정'!$E$8,CN$5&lt;='설정'!$F$8),AQ10,"")</x:f>
      </x:c>
      <x:c r="CO10" s="71" t="str">
        <x:f>IF(AND(CO$5&gt;='설정'!$E$8,CO$5&lt;='설정'!$F$8),AR10,"")</x:f>
      </x:c>
      <x:c r="CP10" s="71" t="str">
        <x:f>IF(AND(CP$5&gt;='설정'!$E$8,CP$5&lt;='설정'!$F$8),AS10,"")</x:f>
      </x:c>
      <x:c r="CQ10" s="71" t="str">
        <x:f>IF(AND(CQ$5&gt;='설정'!$E$8,CQ$5&lt;='설정'!$F$8),AT10,"")</x:f>
      </x:c>
    </x:row>
    <x:row r="11" ht="20" customHeight="1">
      <x:c r="A11" s="46" t="n">
        <x:v>6</x:v>
      </x:c>
      <x:c r="B11" s="44" t="str">
        <x:v>SiO2 균일도_06</x:v>
      </x:c>
      <x:c r="C11" s="61" t="n">
        <x:v>32.33</x:v>
      </x:c>
      <x:c r="D11" s="61" t="n">
        <x:v>5.34</x:v>
      </x:c>
      <x:c r="E11" s="61" t="n">
        <x:v>0.69</x:v>
      </x:c>
      <x:c r="F11" s="61" t="n">
        <x:v>7.23</x:v>
      </x:c>
      <x:c r="G11" s="44" t="str">
        <x:v>SCI</x:v>
      </x:c>
      <x:c r="H11" s="61" t="n">
        <x:v>19.55</x:v>
      </x:c>
      <x:c r="I11" s="61" t="n">
        <x:v>16.73</x:v>
      </x:c>
      <x:c r="J11" s="61" t="n">
        <x:v>14.57</x:v>
      </x:c>
      <x:c r="K11" s="61" t="n">
        <x:v>12.68</x:v>
      </x:c>
      <x:c r="L11" s="61" t="n">
        <x:v>11.12</x:v>
      </x:c>
      <x:c r="M11" s="61" t="n">
        <x:v>9.79</x:v>
      </x:c>
      <x:c r="N11" s="61" t="n">
        <x:v>8.68</x:v>
      </x:c>
      <x:c r="O11" s="61" t="n">
        <x:v>7.88</x:v>
      </x:c>
      <x:c r="P11" s="61" t="n">
        <x:v>7.27</x:v>
      </x:c>
      <x:c r="Q11" s="61" t="n">
        <x:v>6.82</x:v>
      </x:c>
      <x:c r="R11" s="61" t="n">
        <x:v>6.48</x:v>
      </x:c>
      <x:c r="S11" s="61" t="n">
        <x:v>6.3</x:v>
      </x:c>
      <x:c r="T11" s="61" t="n">
        <x:v>6.2</x:v>
      </x:c>
      <x:c r="U11" s="61" t="n">
        <x:v>6.22</x:v>
      </x:c>
      <x:c r="V11" s="61" t="n">
        <x:v>6.26</x:v>
      </x:c>
      <x:c r="W11" s="61" t="n">
        <x:v>6.35</x:v>
      </x:c>
      <x:c r="X11" s="61" t="n">
        <x:v>6.49</x:v>
      </x:c>
      <x:c r="Y11" s="61" t="n">
        <x:v>6.66</x:v>
      </x:c>
      <x:c r="Z11" s="61" t="n">
        <x:v>6.86</x:v>
      </x:c>
      <x:c r="AA11" s="61" t="n">
        <x:v>7.05</x:v>
      </x:c>
      <x:c r="AB11" s="61" t="n">
        <x:v>7.27</x:v>
      </x:c>
      <x:c r="AC11" s="61" t="n">
        <x:v>7.5</x:v>
      </x:c>
      <x:c r="AD11" s="61" t="n">
        <x:v>7.72</x:v>
      </x:c>
      <x:c r="AE11" s="61" t="n">
        <x:v>7.92</x:v>
      </x:c>
      <x:c r="AF11" s="61" t="n">
        <x:v>8.17</x:v>
      </x:c>
      <x:c r="AG11" s="61" t="n">
        <x:v>8.39</x:v>
      </x:c>
      <x:c r="AH11" s="61" t="n">
        <x:v>8.56</x:v>
      </x:c>
      <x:c r="AI11" s="61" t="n">
        <x:v>8.78</x:v>
      </x:c>
      <x:c r="AJ11" s="61" t="n">
        <x:v>8.99</x:v>
      </x:c>
      <x:c r="AK11" s="61" t="n">
        <x:v>9.16</x:v>
      </x:c>
      <x:c r="AL11" s="61" t="n">
        <x:v>9.37</x:v>
      </x:c>
      <x:c r="AM11" s="61" t="n">
        <x:v>9.51</x:v>
      </x:c>
      <x:c r="AN11" s="61" t="n">
        <x:v>9.69</x:v>
      </x:c>
      <x:c r="AO11" s="61" t="n">
        <x:v>9.86</x:v>
      </x:c>
      <x:c r="AP11" s="61" t="n">
        <x:v>10.02</x:v>
      </x:c>
      <x:c r="AQ11" s="61" t="n">
        <x:v>10.17</x:v>
      </x:c>
      <x:c r="AR11" s="61" t="n">
        <x:v>10.25</x:v>
      </x:c>
      <x:c r="AS11" s="61" t="n">
        <x:v>10.4</x:v>
      </x:c>
      <x:c r="AT11" s="61" t="n">
        <x:v>10.52</x:v>
      </x:c>
      <x:c r="AU11" s="40" t="n">
        <x:f>IF(OR('설정'!$E$8&gt;'설정'!$F$8,COUNT(H11:AT11)=0),"",MIN(BE11:CQ11))</x:f>
        <x:v>6.2</x:v>
      </x:c>
      <x:c r="AV11" s="40" t="n">
        <x:f>IF(AU11="","",SUMIFS($BE$5:$CQ$5,BE11:CQ11,AU11)/COUNTIFS(BE11:CQ11,AU11))</x:f>
        <x:v>480</x:v>
      </x:c>
      <x:c r="AW11" s="40" t="n">
        <x:f>IF(OR('설정'!$E$8&gt;'설정'!$F$8,COUNT(H11:AT11)=0),"",MAX(BE11:CQ11))</x:f>
        <x:v>7.88</x:v>
      </x:c>
      <x:c r="AX11" s="40" t="n">
        <x:f>IF(AW11="","",SUMIFS($BE$5:$CQ$5,BE11:CQ11,AW11)/COUNTIFS(BE11:CQ11,AW11))</x:f>
        <x:v>430</x:v>
      </x:c>
      <x:c r="AY11" s="66"/>
      <x:c r="AZ11" s="38" t="n">
        <x:f>IF(AY11&lt;&gt;"",AY11,IF('설정'!$C$8="최소",AV11,AX11))</x:f>
        <x:v>480</x:v>
      </x:c>
      <x:c r="BA11" s="39" t="n">
        <x:f>IF(AZ11="","",IF(OR(AZ11&lt;'굴절률'!$A$6,AZ11&gt;'굴절률'!$A$44),"",IF(COUNTIFS('굴절률'!$A$6:$A$44,AZ11)&gt;0,INDEX('굴절률'!$D$6:$D$44,MATCH(AZ11,'굴절률'!$A$6:$A$44,0)),INDEX('굴절률'!$D$6:$D$44,MATCH(AZ11,'굴절률'!$A$6:$A$44,1))+(AZ11-INDEX('굴절률'!$A$6:$A$44,MATCH(AZ11,'굴절률'!$A$6:$A$44,1)))*(INDEX('굴절률'!$D$6:$D$44,MATCH(AZ11,'굴절률'!$A$6:$A$44,1)+1)-INDEX('굴절률'!$D$6:$D$44,MATCH(AZ11,'굴절률'!$A$6:$A$44,1)))/(INDEX('굴절률'!$A$6:$A$44,MATCH(AZ11,'굴절률'!$A$6:$A$44,1)+1)-INDEX('굴절률'!$A$6:$A$44,MATCH(AZ11,'굴절률'!$A$6:$A$44,1))))))</x:f>
        <x:v>1.47069</x:v>
      </x:c>
      <x:c r="BB11" s="39" t="n">
        <x:f>IF(BA11="","",COS(ASIN(SIN(RADIANS('설정'!$G$8))/BA11)))</x:f>
        <x:v>1</x:v>
      </x:c>
      <x:c r="BC11" s="40" t="n">
        <x:f>IF(OR(AZ11="",BA11="",BB11=""),"",IF('설정'!$C$8="최소",(2*'설정'!$D$8-1)*AZ11/(4*BA11*BB11),'설정'!$D$8*AZ11/(2*BA11*BB11)))</x:f>
        <x:v>81.59435367072598</x:v>
      </x:c>
      <x:c r="BD11" s="42" t="str">
        <x:f>IF(COUNT(H11:AT11)=0,"입력 필요",IF(COUNT(H11:AT11)&lt;&gt;39,"데이터 점검",IF(OR('설정'!$E$8&gt;'설정'!$F$8,'설정'!$E$8&lt;360,'설정'!$F$8&gt;740),"검색 범위 오류",IF(AY11&lt;&gt;"","수동 파장",IF(OR(AZ11='설정'!$E$8,AZ11='설정'!$F$8),"경계 극값 확인",IF(COUNTIFS(H11:AT11,IF('설정'!$C$8="최소",AU11,AW11),$H$5:$AT$5,"&gt;="&amp;'설정'!$E$8,$H$5:$AT$5,"&lt;="&amp;'설정'!$F$8)&gt;1,"복수 극값 평균","완료"))))))</x:f>
        <x:v>완료</x:v>
      </x:c>
      <x:c r="BE11" s="71" t="str">
        <x:f>IF(AND(BE$5&gt;='설정'!$E$8,BE$5&lt;='설정'!$F$8),H11,"")</x:f>
      </x:c>
      <x:c r="BF11" s="71" t="str">
        <x:f>IF(AND(BF$5&gt;='설정'!$E$8,BF$5&lt;='설정'!$F$8),I11,"")</x:f>
      </x:c>
      <x:c r="BG11" s="71" t="str">
        <x:f>IF(AND(BG$5&gt;='설정'!$E$8,BG$5&lt;='설정'!$F$8),J11,"")</x:f>
      </x:c>
      <x:c r="BH11" s="71" t="str">
        <x:f>IF(AND(BH$5&gt;='설정'!$E$8,BH$5&lt;='설정'!$F$8),K11,"")</x:f>
      </x:c>
      <x:c r="BI11" s="71" t="str">
        <x:f>IF(AND(BI$5&gt;='설정'!$E$8,BI$5&lt;='설정'!$F$8),L11,"")</x:f>
      </x:c>
      <x:c r="BJ11" s="71" t="str">
        <x:f>IF(AND(BJ$5&gt;='설정'!$E$8,BJ$5&lt;='설정'!$F$8),M11,"")</x:f>
      </x:c>
      <x:c r="BK11" s="71" t="str">
        <x:f>IF(AND(BK$5&gt;='설정'!$E$8,BK$5&lt;='설정'!$F$8),N11,"")</x:f>
      </x:c>
      <x:c r="BL11" s="71" t="n">
        <x:f>IF(AND(BL$5&gt;='설정'!$E$8,BL$5&lt;='설정'!$F$8),O11,"")</x:f>
        <x:v>7.88</x:v>
      </x:c>
      <x:c r="BM11" s="71" t="n">
        <x:f>IF(AND(BM$5&gt;='설정'!$E$8,BM$5&lt;='설정'!$F$8),P11,"")</x:f>
        <x:v>7.27</x:v>
      </x:c>
      <x:c r="BN11" s="71" t="n">
        <x:f>IF(AND(BN$5&gt;='설정'!$E$8,BN$5&lt;='설정'!$F$8),Q11,"")</x:f>
        <x:v>6.82</x:v>
      </x:c>
      <x:c r="BO11" s="71" t="n">
        <x:f>IF(AND(BO$5&gt;='설정'!$E$8,BO$5&lt;='설정'!$F$8),R11,"")</x:f>
        <x:v>6.48</x:v>
      </x:c>
      <x:c r="BP11" s="71" t="n">
        <x:f>IF(AND(BP$5&gt;='설정'!$E$8,BP$5&lt;='설정'!$F$8),S11,"")</x:f>
        <x:v>6.3</x:v>
      </x:c>
      <x:c r="BQ11" s="71" t="n">
        <x:f>IF(AND(BQ$5&gt;='설정'!$E$8,BQ$5&lt;='설정'!$F$8),T11,"")</x:f>
        <x:v>6.2</x:v>
      </x:c>
      <x:c r="BR11" s="71" t="n">
        <x:f>IF(AND(BR$5&gt;='설정'!$E$8,BR$5&lt;='설정'!$F$8),U11,"")</x:f>
        <x:v>6.22</x:v>
      </x:c>
      <x:c r="BS11" s="71" t="n">
        <x:f>IF(AND(BS$5&gt;='설정'!$E$8,BS$5&lt;='설정'!$F$8),V11,"")</x:f>
        <x:v>6.26</x:v>
      </x:c>
      <x:c r="BT11" s="71" t="n">
        <x:f>IF(AND(BT$5&gt;='설정'!$E$8,BT$5&lt;='설정'!$F$8),W11,"")</x:f>
        <x:v>6.35</x:v>
      </x:c>
      <x:c r="BU11" s="71" t="n">
        <x:f>IF(AND(BU$5&gt;='설정'!$E$8,BU$5&lt;='설정'!$F$8),X11,"")</x:f>
        <x:v>6.49</x:v>
      </x:c>
      <x:c r="BV11" s="71" t="n">
        <x:f>IF(AND(BV$5&gt;='설정'!$E$8,BV$5&lt;='설정'!$F$8),Y11,"")</x:f>
        <x:v>6.66</x:v>
      </x:c>
      <x:c r="BW11" s="71" t="n">
        <x:f>IF(AND(BW$5&gt;='설정'!$E$8,BW$5&lt;='설정'!$F$8),Z11,"")</x:f>
        <x:v>6.86</x:v>
      </x:c>
      <x:c r="BX11" s="71" t="n">
        <x:f>IF(AND(BX$5&gt;='설정'!$E$8,BX$5&lt;='설정'!$F$8),AA11,"")</x:f>
        <x:v>7.05</x:v>
      </x:c>
      <x:c r="BY11" s="71" t="str">
        <x:f>IF(AND(BY$5&gt;='설정'!$E$8,BY$5&lt;='설정'!$F$8),AB11,"")</x:f>
      </x:c>
      <x:c r="BZ11" s="71" t="str">
        <x:f>IF(AND(BZ$5&gt;='설정'!$E$8,BZ$5&lt;='설정'!$F$8),AC11,"")</x:f>
      </x:c>
      <x:c r="CA11" s="71" t="str">
        <x:f>IF(AND(CA$5&gt;='설정'!$E$8,CA$5&lt;='설정'!$F$8),AD11,"")</x:f>
      </x:c>
      <x:c r="CB11" s="71" t="str">
        <x:f>IF(AND(CB$5&gt;='설정'!$E$8,CB$5&lt;='설정'!$F$8),AE11,"")</x:f>
      </x:c>
      <x:c r="CC11" s="71" t="str">
        <x:f>IF(AND(CC$5&gt;='설정'!$E$8,CC$5&lt;='설정'!$F$8),AF11,"")</x:f>
      </x:c>
      <x:c r="CD11" s="71" t="str">
        <x:f>IF(AND(CD$5&gt;='설정'!$E$8,CD$5&lt;='설정'!$F$8),AG11,"")</x:f>
      </x:c>
      <x:c r="CE11" s="71" t="str">
        <x:f>IF(AND(CE$5&gt;='설정'!$E$8,CE$5&lt;='설정'!$F$8),AH11,"")</x:f>
      </x:c>
      <x:c r="CF11" s="71" t="str">
        <x:f>IF(AND(CF$5&gt;='설정'!$E$8,CF$5&lt;='설정'!$F$8),AI11,"")</x:f>
      </x:c>
      <x:c r="CG11" s="71" t="str">
        <x:f>IF(AND(CG$5&gt;='설정'!$E$8,CG$5&lt;='설정'!$F$8),AJ11,"")</x:f>
      </x:c>
      <x:c r="CH11" s="71" t="str">
        <x:f>IF(AND(CH$5&gt;='설정'!$E$8,CH$5&lt;='설정'!$F$8),AK11,"")</x:f>
      </x:c>
      <x:c r="CI11" s="71" t="str">
        <x:f>IF(AND(CI$5&gt;='설정'!$E$8,CI$5&lt;='설정'!$F$8),AL11,"")</x:f>
      </x:c>
      <x:c r="CJ11" s="71" t="str">
        <x:f>IF(AND(CJ$5&gt;='설정'!$E$8,CJ$5&lt;='설정'!$F$8),AM11,"")</x:f>
      </x:c>
      <x:c r="CK11" s="71" t="str">
        <x:f>IF(AND(CK$5&gt;='설정'!$E$8,CK$5&lt;='설정'!$F$8),AN11,"")</x:f>
      </x:c>
      <x:c r="CL11" s="71" t="str">
        <x:f>IF(AND(CL$5&gt;='설정'!$E$8,CL$5&lt;='설정'!$F$8),AO11,"")</x:f>
      </x:c>
      <x:c r="CM11" s="71" t="str">
        <x:f>IF(AND(CM$5&gt;='설정'!$E$8,CM$5&lt;='설정'!$F$8),AP11,"")</x:f>
      </x:c>
      <x:c r="CN11" s="71" t="str">
        <x:f>IF(AND(CN$5&gt;='설정'!$E$8,CN$5&lt;='설정'!$F$8),AQ11,"")</x:f>
      </x:c>
      <x:c r="CO11" s="71" t="str">
        <x:f>IF(AND(CO$5&gt;='설정'!$E$8,CO$5&lt;='설정'!$F$8),AR11,"")</x:f>
      </x:c>
      <x:c r="CP11" s="71" t="str">
        <x:f>IF(AND(CP$5&gt;='설정'!$E$8,CP$5&lt;='설정'!$F$8),AS11,"")</x:f>
      </x:c>
      <x:c r="CQ11" s="71" t="str">
        <x:f>IF(AND(CQ$5&gt;='설정'!$E$8,CQ$5&lt;='설정'!$F$8),AT11,"")</x:f>
      </x:c>
    </x:row>
    <x:row r="12" ht="20" customHeight="1">
      <x:c r="A12" s="46" t="n">
        <x:v>7</x:v>
      </x:c>
      <x:c r="B12" s="44" t="str">
        <x:v>SiO2 균일도_07</x:v>
      </x:c>
      <x:c r="C12" s="61" t="n">
        <x:v>32.77</x:v>
      </x:c>
      <x:c r="D12" s="61" t="n">
        <x:v>4.85</x:v>
      </x:c>
      <x:c r="E12" s="61" t="n">
        <x:v>2.22</x:v>
      </x:c>
      <x:c r="F12" s="61" t="n">
        <x:v>7.43</x:v>
      </x:c>
      <x:c r="G12" s="44" t="str">
        <x:v>SCI</x:v>
      </x:c>
      <x:c r="H12" s="61" t="n">
        <x:v>18.33</x:v>
      </x:c>
      <x:c r="I12" s="61" t="n">
        <x:v>15.61</x:v>
      </x:c>
      <x:c r="J12" s="61" t="n">
        <x:v>13.55</x:v>
      </x:c>
      <x:c r="K12" s="61" t="n">
        <x:v>11.79</x:v>
      </x:c>
      <x:c r="L12" s="61" t="n">
        <x:v>10.36</x:v>
      </x:c>
      <x:c r="M12" s="61" t="n">
        <x:v>9.18</x:v>
      </x:c>
      <x:c r="N12" s="61" t="n">
        <x:v>8.2</x:v>
      </x:c>
      <x:c r="O12" s="61" t="n">
        <x:v>7.47</x:v>
      </x:c>
      <x:c r="P12" s="61" t="n">
        <x:v>6.98</x:v>
      </x:c>
      <x:c r="Q12" s="61" t="n">
        <x:v>6.62</x:v>
      </x:c>
      <x:c r="R12" s="61" t="n">
        <x:v>6.39</x:v>
      </x:c>
      <x:c r="S12" s="61" t="n">
        <x:v>6.26</x:v>
      </x:c>
      <x:c r="T12" s="61" t="n">
        <x:v>6.23</x:v>
      </x:c>
      <x:c r="U12" s="61" t="n">
        <x:v>6.3</x:v>
      </x:c>
      <x:c r="V12" s="61" t="n">
        <x:v>6.39</x:v>
      </x:c>
      <x:c r="W12" s="61" t="n">
        <x:v>6.52</x:v>
      </x:c>
      <x:c r="X12" s="61" t="n">
        <x:v>6.67</x:v>
      </x:c>
      <x:c r="Y12" s="61" t="n">
        <x:v>6.86</x:v>
      </x:c>
      <x:c r="Z12" s="61" t="n">
        <x:v>7.09</x:v>
      </x:c>
      <x:c r="AA12" s="61" t="n">
        <x:v>7.29</x:v>
      </x:c>
      <x:c r="AB12" s="61" t="n">
        <x:v>7.5</x:v>
      </x:c>
      <x:c r="AC12" s="61" t="n">
        <x:v>7.75</x:v>
      </x:c>
      <x:c r="AD12" s="61" t="n">
        <x:v>7.97</x:v>
      </x:c>
      <x:c r="AE12" s="61" t="n">
        <x:v>8.18</x:v>
      </x:c>
      <x:c r="AF12" s="61" t="n">
        <x:v>8.42</x:v>
      </x:c>
      <x:c r="AG12" s="61" t="n">
        <x:v>8.64</x:v>
      </x:c>
      <x:c r="AH12" s="61" t="n">
        <x:v>8.84</x:v>
      </x:c>
      <x:c r="AI12" s="61" t="n">
        <x:v>9</x:v>
      </x:c>
      <x:c r="AJ12" s="61" t="n">
        <x:v>9.24</x:v>
      </x:c>
      <x:c r="AK12" s="61" t="n">
        <x:v>9.39</x:v>
      </x:c>
      <x:c r="AL12" s="61" t="n">
        <x:v>9.59</x:v>
      </x:c>
      <x:c r="AM12" s="61" t="n">
        <x:v>9.71</x:v>
      </x:c>
      <x:c r="AN12" s="61" t="n">
        <x:v>9.91</x:v>
      </x:c>
      <x:c r="AO12" s="61" t="n">
        <x:v>10.06</x:v>
      </x:c>
      <x:c r="AP12" s="61" t="n">
        <x:v>10.22</x:v>
      </x:c>
      <x:c r="AQ12" s="61" t="n">
        <x:v>10.36</x:v>
      </x:c>
      <x:c r="AR12" s="61" t="n">
        <x:v>10.43</x:v>
      </x:c>
      <x:c r="AS12" s="61" t="n">
        <x:v>10.56</x:v>
      </x:c>
      <x:c r="AT12" s="61" t="n">
        <x:v>10.72</x:v>
      </x:c>
      <x:c r="AU12" s="40" t="n">
        <x:f>IF(OR('설정'!$E$8&gt;'설정'!$F$8,COUNT(H12:AT12)=0),"",MIN(BE12:CQ12))</x:f>
        <x:v>6.23</x:v>
      </x:c>
      <x:c r="AV12" s="40" t="n">
        <x:f>IF(AU12="","",SUMIFS($BE$5:$CQ$5,BE12:CQ12,AU12)/COUNTIFS(BE12:CQ12,AU12))</x:f>
        <x:v>480</x:v>
      </x:c>
      <x:c r="AW12" s="40" t="n">
        <x:f>IF(OR('설정'!$E$8&gt;'설정'!$F$8,COUNT(H12:AT12)=0),"",MAX(BE12:CQ12))</x:f>
        <x:v>7.47</x:v>
      </x:c>
      <x:c r="AX12" s="40" t="n">
        <x:f>IF(AW12="","",SUMIFS($BE$5:$CQ$5,BE12:CQ12,AW12)/COUNTIFS(BE12:CQ12,AW12))</x:f>
        <x:v>430</x:v>
      </x:c>
      <x:c r="AY12" s="66"/>
      <x:c r="AZ12" s="38" t="n">
        <x:f>IF(AY12&lt;&gt;"",AY12,IF('설정'!$C$8="최소",AV12,AX12))</x:f>
        <x:v>480</x:v>
      </x:c>
      <x:c r="BA12" s="39" t="n">
        <x:f>IF(AZ12="","",IF(OR(AZ12&lt;'굴절률'!$A$6,AZ12&gt;'굴절률'!$A$44),"",IF(COUNTIFS('굴절률'!$A$6:$A$44,AZ12)&gt;0,INDEX('굴절률'!$D$6:$D$44,MATCH(AZ12,'굴절률'!$A$6:$A$44,0)),INDEX('굴절률'!$D$6:$D$44,MATCH(AZ12,'굴절률'!$A$6:$A$44,1))+(AZ12-INDEX('굴절률'!$A$6:$A$44,MATCH(AZ12,'굴절률'!$A$6:$A$44,1)))*(INDEX('굴절률'!$D$6:$D$44,MATCH(AZ12,'굴절률'!$A$6:$A$44,1)+1)-INDEX('굴절률'!$D$6:$D$44,MATCH(AZ12,'굴절률'!$A$6:$A$44,1)))/(INDEX('굴절률'!$A$6:$A$44,MATCH(AZ12,'굴절률'!$A$6:$A$44,1)+1)-INDEX('굴절률'!$A$6:$A$44,MATCH(AZ12,'굴절률'!$A$6:$A$44,1))))))</x:f>
        <x:v>1.47069</x:v>
      </x:c>
      <x:c r="BB12" s="39" t="n">
        <x:f>IF(BA12="","",COS(ASIN(SIN(RADIANS('설정'!$G$8))/BA12)))</x:f>
        <x:v>1</x:v>
      </x:c>
      <x:c r="BC12" s="40" t="n">
        <x:f>IF(OR(AZ12="",BA12="",BB12=""),"",IF('설정'!$C$8="최소",(2*'설정'!$D$8-1)*AZ12/(4*BA12*BB12),'설정'!$D$8*AZ12/(2*BA12*BB12)))</x:f>
        <x:v>81.59435367072598</x:v>
      </x:c>
      <x:c r="BD12" s="42" t="str">
        <x:f>IF(COUNT(H12:AT12)=0,"입력 필요",IF(COUNT(H12:AT12)&lt;&gt;39,"데이터 점검",IF(OR('설정'!$E$8&gt;'설정'!$F$8,'설정'!$E$8&lt;360,'설정'!$F$8&gt;740),"검색 범위 오류",IF(AY12&lt;&gt;"","수동 파장",IF(OR(AZ12='설정'!$E$8,AZ12='설정'!$F$8),"경계 극값 확인",IF(COUNTIFS(H12:AT12,IF('설정'!$C$8="최소",AU12,AW12),$H$5:$AT$5,"&gt;="&amp;'설정'!$E$8,$H$5:$AT$5,"&lt;="&amp;'설정'!$F$8)&gt;1,"복수 극값 평균","완료"))))))</x:f>
        <x:v>완료</x:v>
      </x:c>
      <x:c r="BE12" s="71" t="str">
        <x:f>IF(AND(BE$5&gt;='설정'!$E$8,BE$5&lt;='설정'!$F$8),H12,"")</x:f>
      </x:c>
      <x:c r="BF12" s="71" t="str">
        <x:f>IF(AND(BF$5&gt;='설정'!$E$8,BF$5&lt;='설정'!$F$8),I12,"")</x:f>
      </x:c>
      <x:c r="BG12" s="71" t="str">
        <x:f>IF(AND(BG$5&gt;='설정'!$E$8,BG$5&lt;='설정'!$F$8),J12,"")</x:f>
      </x:c>
      <x:c r="BH12" s="71" t="str">
        <x:f>IF(AND(BH$5&gt;='설정'!$E$8,BH$5&lt;='설정'!$F$8),K12,"")</x:f>
      </x:c>
      <x:c r="BI12" s="71" t="str">
        <x:f>IF(AND(BI$5&gt;='설정'!$E$8,BI$5&lt;='설정'!$F$8),L12,"")</x:f>
      </x:c>
      <x:c r="BJ12" s="71" t="str">
        <x:f>IF(AND(BJ$5&gt;='설정'!$E$8,BJ$5&lt;='설정'!$F$8),M12,"")</x:f>
      </x:c>
      <x:c r="BK12" s="71" t="str">
        <x:f>IF(AND(BK$5&gt;='설정'!$E$8,BK$5&lt;='설정'!$F$8),N12,"")</x:f>
      </x:c>
      <x:c r="BL12" s="71" t="n">
        <x:f>IF(AND(BL$5&gt;='설정'!$E$8,BL$5&lt;='설정'!$F$8),O12,"")</x:f>
        <x:v>7.47</x:v>
      </x:c>
      <x:c r="BM12" s="71" t="n">
        <x:f>IF(AND(BM$5&gt;='설정'!$E$8,BM$5&lt;='설정'!$F$8),P12,"")</x:f>
        <x:v>6.98</x:v>
      </x:c>
      <x:c r="BN12" s="71" t="n">
        <x:f>IF(AND(BN$5&gt;='설정'!$E$8,BN$5&lt;='설정'!$F$8),Q12,"")</x:f>
        <x:v>6.62</x:v>
      </x:c>
      <x:c r="BO12" s="71" t="n">
        <x:f>IF(AND(BO$5&gt;='설정'!$E$8,BO$5&lt;='설정'!$F$8),R12,"")</x:f>
        <x:v>6.39</x:v>
      </x:c>
      <x:c r="BP12" s="71" t="n">
        <x:f>IF(AND(BP$5&gt;='설정'!$E$8,BP$5&lt;='설정'!$F$8),S12,"")</x:f>
        <x:v>6.26</x:v>
      </x:c>
      <x:c r="BQ12" s="71" t="n">
        <x:f>IF(AND(BQ$5&gt;='설정'!$E$8,BQ$5&lt;='설정'!$F$8),T12,"")</x:f>
        <x:v>6.23</x:v>
      </x:c>
      <x:c r="BR12" s="71" t="n">
        <x:f>IF(AND(BR$5&gt;='설정'!$E$8,BR$5&lt;='설정'!$F$8),U12,"")</x:f>
        <x:v>6.3</x:v>
      </x:c>
      <x:c r="BS12" s="71" t="n">
        <x:f>IF(AND(BS$5&gt;='설정'!$E$8,BS$5&lt;='설정'!$F$8),V12,"")</x:f>
        <x:v>6.39</x:v>
      </x:c>
      <x:c r="BT12" s="71" t="n">
        <x:f>IF(AND(BT$5&gt;='설정'!$E$8,BT$5&lt;='설정'!$F$8),W12,"")</x:f>
        <x:v>6.52</x:v>
      </x:c>
      <x:c r="BU12" s="71" t="n">
        <x:f>IF(AND(BU$5&gt;='설정'!$E$8,BU$5&lt;='설정'!$F$8),X12,"")</x:f>
        <x:v>6.67</x:v>
      </x:c>
      <x:c r="BV12" s="71" t="n">
        <x:f>IF(AND(BV$5&gt;='설정'!$E$8,BV$5&lt;='설정'!$F$8),Y12,"")</x:f>
        <x:v>6.86</x:v>
      </x:c>
      <x:c r="BW12" s="71" t="n">
        <x:f>IF(AND(BW$5&gt;='설정'!$E$8,BW$5&lt;='설정'!$F$8),Z12,"")</x:f>
        <x:v>7.09</x:v>
      </x:c>
      <x:c r="BX12" s="71" t="n">
        <x:f>IF(AND(BX$5&gt;='설정'!$E$8,BX$5&lt;='설정'!$F$8),AA12,"")</x:f>
        <x:v>7.29</x:v>
      </x:c>
      <x:c r="BY12" s="71" t="str">
        <x:f>IF(AND(BY$5&gt;='설정'!$E$8,BY$5&lt;='설정'!$F$8),AB12,"")</x:f>
      </x:c>
      <x:c r="BZ12" s="71" t="str">
        <x:f>IF(AND(BZ$5&gt;='설정'!$E$8,BZ$5&lt;='설정'!$F$8),AC12,"")</x:f>
      </x:c>
      <x:c r="CA12" s="71" t="str">
        <x:f>IF(AND(CA$5&gt;='설정'!$E$8,CA$5&lt;='설정'!$F$8),AD12,"")</x:f>
      </x:c>
      <x:c r="CB12" s="71" t="str">
        <x:f>IF(AND(CB$5&gt;='설정'!$E$8,CB$5&lt;='설정'!$F$8),AE12,"")</x:f>
      </x:c>
      <x:c r="CC12" s="71" t="str">
        <x:f>IF(AND(CC$5&gt;='설정'!$E$8,CC$5&lt;='설정'!$F$8),AF12,"")</x:f>
      </x:c>
      <x:c r="CD12" s="71" t="str">
        <x:f>IF(AND(CD$5&gt;='설정'!$E$8,CD$5&lt;='설정'!$F$8),AG12,"")</x:f>
      </x:c>
      <x:c r="CE12" s="71" t="str">
        <x:f>IF(AND(CE$5&gt;='설정'!$E$8,CE$5&lt;='설정'!$F$8),AH12,"")</x:f>
      </x:c>
      <x:c r="CF12" s="71" t="str">
        <x:f>IF(AND(CF$5&gt;='설정'!$E$8,CF$5&lt;='설정'!$F$8),AI12,"")</x:f>
      </x:c>
      <x:c r="CG12" s="71" t="str">
        <x:f>IF(AND(CG$5&gt;='설정'!$E$8,CG$5&lt;='설정'!$F$8),AJ12,"")</x:f>
      </x:c>
      <x:c r="CH12" s="71" t="str">
        <x:f>IF(AND(CH$5&gt;='설정'!$E$8,CH$5&lt;='설정'!$F$8),AK12,"")</x:f>
      </x:c>
      <x:c r="CI12" s="71" t="str">
        <x:f>IF(AND(CI$5&gt;='설정'!$E$8,CI$5&lt;='설정'!$F$8),AL12,"")</x:f>
      </x:c>
      <x:c r="CJ12" s="71" t="str">
        <x:f>IF(AND(CJ$5&gt;='설정'!$E$8,CJ$5&lt;='설정'!$F$8),AM12,"")</x:f>
      </x:c>
      <x:c r="CK12" s="71" t="str">
        <x:f>IF(AND(CK$5&gt;='설정'!$E$8,CK$5&lt;='설정'!$F$8),AN12,"")</x:f>
      </x:c>
      <x:c r="CL12" s="71" t="str">
        <x:f>IF(AND(CL$5&gt;='설정'!$E$8,CL$5&lt;='설정'!$F$8),AO12,"")</x:f>
      </x:c>
      <x:c r="CM12" s="71" t="str">
        <x:f>IF(AND(CM$5&gt;='설정'!$E$8,CM$5&lt;='설정'!$F$8),AP12,"")</x:f>
      </x:c>
      <x:c r="CN12" s="71" t="str">
        <x:f>IF(AND(CN$5&gt;='설정'!$E$8,CN$5&lt;='설정'!$F$8),AQ12,"")</x:f>
      </x:c>
      <x:c r="CO12" s="71" t="str">
        <x:f>IF(AND(CO$5&gt;='설정'!$E$8,CO$5&lt;='설정'!$F$8),AR12,"")</x:f>
      </x:c>
      <x:c r="CP12" s="71" t="str">
        <x:f>IF(AND(CP$5&gt;='설정'!$E$8,CP$5&lt;='설정'!$F$8),AS12,"")</x:f>
      </x:c>
      <x:c r="CQ12" s="71" t="str">
        <x:f>IF(AND(CQ$5&gt;='설정'!$E$8,CQ$5&lt;='설정'!$F$8),AT12,"")</x:f>
      </x:c>
    </x:row>
    <x:row r="13" ht="20" customHeight="1">
      <x:c r="A13" s="46" t="n">
        <x:v>8</x:v>
      </x:c>
      <x:c r="B13" s="44" t="str">
        <x:v>SiO2 균일도_08</x:v>
      </x:c>
      <x:c r="C13" s="61" t="n">
        <x:v>33.18</x:v>
      </x:c>
      <x:c r="D13" s="61" t="n">
        <x:v>4.31</x:v>
      </x:c>
      <x:c r="E13" s="61" t="n">
        <x:v>4.14</x:v>
      </x:c>
      <x:c r="F13" s="61" t="n">
        <x:v>7.62</x:v>
      </x:c>
      <x:c r="G13" s="44" t="str">
        <x:v>SCI</x:v>
      </x:c>
      <x:c r="H13" s="61" t="n">
        <x:v>16.57</x:v>
      </x:c>
      <x:c r="I13" s="61" t="n">
        <x:v>14.03</x:v>
      </x:c>
      <x:c r="J13" s="61" t="n">
        <x:v>12.14</x:v>
      </x:c>
      <x:c r="K13" s="61" t="n">
        <x:v>10.57</x:v>
      </x:c>
      <x:c r="L13" s="61" t="n">
        <x:v>9.32</x:v>
      </x:c>
      <x:c r="M13" s="61" t="n">
        <x:v>8.3</x:v>
      </x:c>
      <x:c r="N13" s="61" t="n">
        <x:v>7.5</x:v>
      </x:c>
      <x:c r="O13" s="61" t="n">
        <x:v>6.94</x:v>
      </x:c>
      <x:c r="P13" s="61" t="n">
        <x:v>6.56</x:v>
      </x:c>
      <x:c r="Q13" s="61" t="n">
        <x:v>6.34</x:v>
      </x:c>
      <x:c r="R13" s="61" t="n">
        <x:v>6.19</x:v>
      </x:c>
      <x:c r="S13" s="61" t="n">
        <x:v>6.16</x:v>
      </x:c>
      <x:c r="T13" s="61" t="n">
        <x:v>6.21</x:v>
      </x:c>
      <x:c r="U13" s="61" t="n">
        <x:v>6.34</x:v>
      </x:c>
      <x:c r="V13" s="61" t="n">
        <x:v>6.48</x:v>
      </x:c>
      <x:c r="W13" s="61" t="n">
        <x:v>6.65</x:v>
      </x:c>
      <x:c r="X13" s="61" t="n">
        <x:v>6.85</x:v>
      </x:c>
      <x:c r="Y13" s="61" t="n">
        <x:v>7.06</x:v>
      </x:c>
      <x:c r="Z13" s="61" t="n">
        <x:v>7.31</x:v>
      </x:c>
      <x:c r="AA13" s="61" t="n">
        <x:v>7.51</x:v>
      </x:c>
      <x:c r="AB13" s="61" t="n">
        <x:v>7.77</x:v>
      </x:c>
      <x:c r="AC13" s="61" t="n">
        <x:v>8</x:v>
      </x:c>
      <x:c r="AD13" s="61" t="n">
        <x:v>8.23</x:v>
      </x:c>
      <x:c r="AE13" s="61" t="n">
        <x:v>8.44</x:v>
      </x:c>
      <x:c r="AF13" s="61" t="n">
        <x:v>8.69</x:v>
      </x:c>
      <x:c r="AG13" s="61" t="n">
        <x:v>8.91</x:v>
      </x:c>
      <x:c r="AH13" s="61" t="n">
        <x:v>9.08</x:v>
      </x:c>
      <x:c r="AI13" s="61" t="n">
        <x:v>9.27</x:v>
      </x:c>
      <x:c r="AJ13" s="61" t="n">
        <x:v>9.46</x:v>
      </x:c>
      <x:c r="AK13" s="61" t="n">
        <x:v>9.64</x:v>
      </x:c>
      <x:c r="AL13" s="61" t="n">
        <x:v>9.82</x:v>
      </x:c>
      <x:c r="AM13" s="61" t="n">
        <x:v>9.93</x:v>
      </x:c>
      <x:c r="AN13" s="61" t="n">
        <x:v>10.12</x:v>
      </x:c>
      <x:c r="AO13" s="61" t="n">
        <x:v>10.27</x:v>
      </x:c>
      <x:c r="AP13" s="61" t="n">
        <x:v>10.42</x:v>
      </x:c>
      <x:c r="AQ13" s="61" t="n">
        <x:v>10.54</x:v>
      </x:c>
      <x:c r="AR13" s="61" t="n">
        <x:v>10.62</x:v>
      </x:c>
      <x:c r="AS13" s="61" t="n">
        <x:v>10.76</x:v>
      </x:c>
      <x:c r="AT13" s="61" t="n">
        <x:v>10.89</x:v>
      </x:c>
      <x:c r="AU13" s="40" t="n">
        <x:f>IF(OR('설정'!$E$8&gt;'설정'!$F$8,COUNT(H13:AT13)=0),"",MIN(BE13:CQ13))</x:f>
        <x:v>6.16</x:v>
      </x:c>
      <x:c r="AV13" s="40" t="n">
        <x:f>IF(AU13="","",SUMIFS($BE$5:$CQ$5,BE13:CQ13,AU13)/COUNTIFS(BE13:CQ13,AU13))</x:f>
        <x:v>470</x:v>
      </x:c>
      <x:c r="AW13" s="40" t="n">
        <x:f>IF(OR('설정'!$E$8&gt;'설정'!$F$8,COUNT(H13:AT13)=0),"",MAX(BE13:CQ13))</x:f>
        <x:v>7.51</x:v>
      </x:c>
      <x:c r="AX13" s="40" t="n">
        <x:f>IF(AW13="","",SUMIFS($BE$5:$CQ$5,BE13:CQ13,AW13)/COUNTIFS(BE13:CQ13,AW13))</x:f>
        <x:v>550</x:v>
      </x:c>
      <x:c r="AY13" s="66"/>
      <x:c r="AZ13" s="38" t="n">
        <x:f>IF(AY13&lt;&gt;"",AY13,IF('설정'!$C$8="최소",AV13,AX13))</x:f>
        <x:v>470</x:v>
      </x:c>
      <x:c r="BA13" s="39" t="n">
        <x:f>IF(AZ13="","",IF(OR(AZ13&lt;'굴절률'!$A$6,AZ13&gt;'굴절률'!$A$44),"",IF(COUNTIFS('굴절률'!$A$6:$A$44,AZ13)&gt;0,INDEX('굴절률'!$D$6:$D$44,MATCH(AZ13,'굴절률'!$A$6:$A$44,0)),INDEX('굴절률'!$D$6:$D$44,MATCH(AZ13,'굴절률'!$A$6:$A$44,1))+(AZ13-INDEX('굴절률'!$A$6:$A$44,MATCH(AZ13,'굴절률'!$A$6:$A$44,1)))*(INDEX('굴절률'!$D$6:$D$44,MATCH(AZ13,'굴절률'!$A$6:$A$44,1)+1)-INDEX('굴절률'!$D$6:$D$44,MATCH(AZ13,'굴절률'!$A$6:$A$44,1)))/(INDEX('굴절률'!$A$6:$A$44,MATCH(AZ13,'굴절률'!$A$6:$A$44,1)+1)-INDEX('굴절률'!$A$6:$A$44,MATCH(AZ13,'굴절률'!$A$6:$A$44,1))))))</x:f>
        <x:v>1.47101</x:v>
      </x:c>
      <x:c r="BB13" s="39" t="n">
        <x:f>IF(BA13="","",COS(ASIN(SIN(RADIANS('설정'!$G$8))/BA13)))</x:f>
        <x:v>1</x:v>
      </x:c>
      <x:c r="BC13" s="40" t="n">
        <x:f>IF(OR(AZ13="",BA13="",BB13=""),"",IF('설정'!$C$8="최소",(2*'설정'!$D$8-1)*AZ13/(4*BA13*BB13),'설정'!$D$8*AZ13/(2*BA13*BB13)))</x:f>
        <x:v>79.87709125022944</x:v>
      </x:c>
      <x:c r="BD13" s="42" t="str">
        <x:f>IF(COUNT(H13:AT13)=0,"입력 필요",IF(COUNT(H13:AT13)&lt;&gt;39,"데이터 점검",IF(OR('설정'!$E$8&gt;'설정'!$F$8,'설정'!$E$8&lt;360,'설정'!$F$8&gt;740),"검색 범위 오류",IF(AY13&lt;&gt;"","수동 파장",IF(OR(AZ13='설정'!$E$8,AZ13='설정'!$F$8),"경계 극값 확인",IF(COUNTIFS(H13:AT13,IF('설정'!$C$8="최소",AU13,AW13),$H$5:$AT$5,"&gt;="&amp;'설정'!$E$8,$H$5:$AT$5,"&lt;="&amp;'설정'!$F$8)&gt;1,"복수 극값 평균","완료"))))))</x:f>
        <x:v>완료</x:v>
      </x:c>
      <x:c r="BE13" s="71" t="str">
        <x:f>IF(AND(BE$5&gt;='설정'!$E$8,BE$5&lt;='설정'!$F$8),H13,"")</x:f>
      </x:c>
      <x:c r="BF13" s="71" t="str">
        <x:f>IF(AND(BF$5&gt;='설정'!$E$8,BF$5&lt;='설정'!$F$8),I13,"")</x:f>
      </x:c>
      <x:c r="BG13" s="71" t="str">
        <x:f>IF(AND(BG$5&gt;='설정'!$E$8,BG$5&lt;='설정'!$F$8),J13,"")</x:f>
      </x:c>
      <x:c r="BH13" s="71" t="str">
        <x:f>IF(AND(BH$5&gt;='설정'!$E$8,BH$5&lt;='설정'!$F$8),K13,"")</x:f>
      </x:c>
      <x:c r="BI13" s="71" t="str">
        <x:f>IF(AND(BI$5&gt;='설정'!$E$8,BI$5&lt;='설정'!$F$8),L13,"")</x:f>
      </x:c>
      <x:c r="BJ13" s="71" t="str">
        <x:f>IF(AND(BJ$5&gt;='설정'!$E$8,BJ$5&lt;='설정'!$F$8),M13,"")</x:f>
      </x:c>
      <x:c r="BK13" s="71" t="str">
        <x:f>IF(AND(BK$5&gt;='설정'!$E$8,BK$5&lt;='설정'!$F$8),N13,"")</x:f>
      </x:c>
      <x:c r="BL13" s="71" t="n">
        <x:f>IF(AND(BL$5&gt;='설정'!$E$8,BL$5&lt;='설정'!$F$8),O13,"")</x:f>
        <x:v>6.94</x:v>
      </x:c>
      <x:c r="BM13" s="71" t="n">
        <x:f>IF(AND(BM$5&gt;='설정'!$E$8,BM$5&lt;='설정'!$F$8),P13,"")</x:f>
        <x:v>6.56</x:v>
      </x:c>
      <x:c r="BN13" s="71" t="n">
        <x:f>IF(AND(BN$5&gt;='설정'!$E$8,BN$5&lt;='설정'!$F$8),Q13,"")</x:f>
        <x:v>6.34</x:v>
      </x:c>
      <x:c r="BO13" s="71" t="n">
        <x:f>IF(AND(BO$5&gt;='설정'!$E$8,BO$5&lt;='설정'!$F$8),R13,"")</x:f>
        <x:v>6.19</x:v>
      </x:c>
      <x:c r="BP13" s="71" t="n">
        <x:f>IF(AND(BP$5&gt;='설정'!$E$8,BP$5&lt;='설정'!$F$8),S13,"")</x:f>
        <x:v>6.16</x:v>
      </x:c>
      <x:c r="BQ13" s="71" t="n">
        <x:f>IF(AND(BQ$5&gt;='설정'!$E$8,BQ$5&lt;='설정'!$F$8),T13,"")</x:f>
        <x:v>6.21</x:v>
      </x:c>
      <x:c r="BR13" s="71" t="n">
        <x:f>IF(AND(BR$5&gt;='설정'!$E$8,BR$5&lt;='설정'!$F$8),U13,"")</x:f>
        <x:v>6.34</x:v>
      </x:c>
      <x:c r="BS13" s="71" t="n">
        <x:f>IF(AND(BS$5&gt;='설정'!$E$8,BS$5&lt;='설정'!$F$8),V13,"")</x:f>
        <x:v>6.48</x:v>
      </x:c>
      <x:c r="BT13" s="71" t="n">
        <x:f>IF(AND(BT$5&gt;='설정'!$E$8,BT$5&lt;='설정'!$F$8),W13,"")</x:f>
        <x:v>6.65</x:v>
      </x:c>
      <x:c r="BU13" s="71" t="n">
        <x:f>IF(AND(BU$5&gt;='설정'!$E$8,BU$5&lt;='설정'!$F$8),X13,"")</x:f>
        <x:v>6.85</x:v>
      </x:c>
      <x:c r="BV13" s="71" t="n">
        <x:f>IF(AND(BV$5&gt;='설정'!$E$8,BV$5&lt;='설정'!$F$8),Y13,"")</x:f>
        <x:v>7.06</x:v>
      </x:c>
      <x:c r="BW13" s="71" t="n">
        <x:f>IF(AND(BW$5&gt;='설정'!$E$8,BW$5&lt;='설정'!$F$8),Z13,"")</x:f>
        <x:v>7.31</x:v>
      </x:c>
      <x:c r="BX13" s="71" t="n">
        <x:f>IF(AND(BX$5&gt;='설정'!$E$8,BX$5&lt;='설정'!$F$8),AA13,"")</x:f>
        <x:v>7.51</x:v>
      </x:c>
      <x:c r="BY13" s="71" t="str">
        <x:f>IF(AND(BY$5&gt;='설정'!$E$8,BY$5&lt;='설정'!$F$8),AB13,"")</x:f>
      </x:c>
      <x:c r="BZ13" s="71" t="str">
        <x:f>IF(AND(BZ$5&gt;='설정'!$E$8,BZ$5&lt;='설정'!$F$8),AC13,"")</x:f>
      </x:c>
      <x:c r="CA13" s="71" t="str">
        <x:f>IF(AND(CA$5&gt;='설정'!$E$8,CA$5&lt;='설정'!$F$8),AD13,"")</x:f>
      </x:c>
      <x:c r="CB13" s="71" t="str">
        <x:f>IF(AND(CB$5&gt;='설정'!$E$8,CB$5&lt;='설정'!$F$8),AE13,"")</x:f>
      </x:c>
      <x:c r="CC13" s="71" t="str">
        <x:f>IF(AND(CC$5&gt;='설정'!$E$8,CC$5&lt;='설정'!$F$8),AF13,"")</x:f>
      </x:c>
      <x:c r="CD13" s="71" t="str">
        <x:f>IF(AND(CD$5&gt;='설정'!$E$8,CD$5&lt;='설정'!$F$8),AG13,"")</x:f>
      </x:c>
      <x:c r="CE13" s="71" t="str">
        <x:f>IF(AND(CE$5&gt;='설정'!$E$8,CE$5&lt;='설정'!$F$8),AH13,"")</x:f>
      </x:c>
      <x:c r="CF13" s="71" t="str">
        <x:f>IF(AND(CF$5&gt;='설정'!$E$8,CF$5&lt;='설정'!$F$8),AI13,"")</x:f>
      </x:c>
      <x:c r="CG13" s="71" t="str">
        <x:f>IF(AND(CG$5&gt;='설정'!$E$8,CG$5&lt;='설정'!$F$8),AJ13,"")</x:f>
      </x:c>
      <x:c r="CH13" s="71" t="str">
        <x:f>IF(AND(CH$5&gt;='설정'!$E$8,CH$5&lt;='설정'!$F$8),AK13,"")</x:f>
      </x:c>
      <x:c r="CI13" s="71" t="str">
        <x:f>IF(AND(CI$5&gt;='설정'!$E$8,CI$5&lt;='설정'!$F$8),AL13,"")</x:f>
      </x:c>
      <x:c r="CJ13" s="71" t="str">
        <x:f>IF(AND(CJ$5&gt;='설정'!$E$8,CJ$5&lt;='설정'!$F$8),AM13,"")</x:f>
      </x:c>
      <x:c r="CK13" s="71" t="str">
        <x:f>IF(AND(CK$5&gt;='설정'!$E$8,CK$5&lt;='설정'!$F$8),AN13,"")</x:f>
      </x:c>
      <x:c r="CL13" s="71" t="str">
        <x:f>IF(AND(CL$5&gt;='설정'!$E$8,CL$5&lt;='설정'!$F$8),AO13,"")</x:f>
      </x:c>
      <x:c r="CM13" s="71" t="str">
        <x:f>IF(AND(CM$5&gt;='설정'!$E$8,CM$5&lt;='설정'!$F$8),AP13,"")</x:f>
      </x:c>
      <x:c r="CN13" s="71" t="str">
        <x:f>IF(AND(CN$5&gt;='설정'!$E$8,CN$5&lt;='설정'!$F$8),AQ13,"")</x:f>
      </x:c>
      <x:c r="CO13" s="71" t="str">
        <x:f>IF(AND(CO$5&gt;='설정'!$E$8,CO$5&lt;='설정'!$F$8),AR13,"")</x:f>
      </x:c>
      <x:c r="CP13" s="71" t="str">
        <x:f>IF(AND(CP$5&gt;='설정'!$E$8,CP$5&lt;='설정'!$F$8),AS13,"")</x:f>
      </x:c>
      <x:c r="CQ13" s="71" t="str">
        <x:f>IF(AND(CQ$5&gt;='설정'!$E$8,CQ$5&lt;='설정'!$F$8),AT13,"")</x:f>
      </x:c>
    </x:row>
    <x:row r="14" ht="20" customHeight="1">
      <x:c r="A14" s="46" t="n">
        <x:v>9</x:v>
      </x:c>
      <x:c r="B14" s="44" t="str">
        <x:v>SiO2 균일도_09</x:v>
      </x:c>
      <x:c r="C14" s="61" t="n">
        <x:v>32.94</x:v>
      </x:c>
      <x:c r="D14" s="61" t="n">
        <x:v>4.25</x:v>
      </x:c>
      <x:c r="E14" s="61" t="n">
        <x:v>3.7</x:v>
      </x:c>
      <x:c r="F14" s="61" t="n">
        <x:v>7.51</x:v>
      </x:c>
      <x:c r="G14" s="44" t="str">
        <x:v>SCI</x:v>
      </x:c>
      <x:c r="H14" s="61" t="n">
        <x:v>16.33</x:v>
      </x:c>
      <x:c r="I14" s="61" t="n">
        <x:v>13.88</x:v>
      </x:c>
      <x:c r="J14" s="61" t="n">
        <x:v>12.08</x:v>
      </x:c>
      <x:c r="K14" s="61" t="n">
        <x:v>10.53</x:v>
      </x:c>
      <x:c r="L14" s="61" t="n">
        <x:v>9.3</x:v>
      </x:c>
      <x:c r="M14" s="61" t="n">
        <x:v>8.32</x:v>
      </x:c>
      <x:c r="N14" s="61" t="n">
        <x:v>7.52</x:v>
      </x:c>
      <x:c r="O14" s="61" t="n">
        <x:v>6.96</x:v>
      </x:c>
      <x:c r="P14" s="61" t="n">
        <x:v>6.59</x:v>
      </x:c>
      <x:c r="Q14" s="61" t="n">
        <x:v>6.34</x:v>
      </x:c>
      <x:c r="R14" s="61" t="n">
        <x:v>6.21</x:v>
      </x:c>
      <x:c r="S14" s="61" t="n">
        <x:v>6.15</x:v>
      </x:c>
      <x:c r="T14" s="61" t="n">
        <x:v>6.19</x:v>
      </x:c>
      <x:c r="U14" s="61" t="n">
        <x:v>6.29</x:v>
      </x:c>
      <x:c r="V14" s="61" t="n">
        <x:v>6.44</x:v>
      </x:c>
      <x:c r="W14" s="61" t="n">
        <x:v>6.58</x:v>
      </x:c>
      <x:c r="X14" s="61" t="n">
        <x:v>6.76</x:v>
      </x:c>
      <x:c r="Y14" s="61" t="n">
        <x:v>6.97</x:v>
      </x:c>
      <x:c r="Z14" s="61" t="n">
        <x:v>7.21</x:v>
      </x:c>
      <x:c r="AA14" s="61" t="n">
        <x:v>7.41</x:v>
      </x:c>
      <x:c r="AB14" s="61" t="n">
        <x:v>7.64</x:v>
      </x:c>
      <x:c r="AC14" s="61" t="n">
        <x:v>7.87</x:v>
      </x:c>
      <x:c r="AD14" s="61" t="n">
        <x:v>8.08</x:v>
      </x:c>
      <x:c r="AE14" s="61" t="n">
        <x:v>8.29</x:v>
      </x:c>
      <x:c r="AF14" s="61" t="n">
        <x:v>8.51</x:v>
      </x:c>
      <x:c r="AG14" s="61" t="n">
        <x:v>8.74</x:v>
      </x:c>
      <x:c r="AH14" s="61" t="n">
        <x:v>8.91</x:v>
      </x:c>
      <x:c r="AI14" s="61" t="n">
        <x:v>9.08</x:v>
      </x:c>
      <x:c r="AJ14" s="61" t="n">
        <x:v>9.29</x:v>
      </x:c>
      <x:c r="AK14" s="61" t="n">
        <x:v>9.44</x:v>
      </x:c>
      <x:c r="AL14" s="61" t="n">
        <x:v>9.63</x:v>
      </x:c>
      <x:c r="AM14" s="61" t="n">
        <x:v>9.75</x:v>
      </x:c>
      <x:c r="AN14" s="61" t="n">
        <x:v>9.92</x:v>
      </x:c>
      <x:c r="AO14" s="61" t="n">
        <x:v>10.08</x:v>
      </x:c>
      <x:c r="AP14" s="61" t="n">
        <x:v>10.22</x:v>
      </x:c>
      <x:c r="AQ14" s="61" t="n">
        <x:v>10.34</x:v>
      </x:c>
      <x:c r="AR14" s="61" t="n">
        <x:v>10.42</x:v>
      </x:c>
      <x:c r="AS14" s="61" t="n">
        <x:v>10.56</x:v>
      </x:c>
      <x:c r="AT14" s="61" t="n">
        <x:v>10.65</x:v>
      </x:c>
      <x:c r="AU14" s="40" t="n">
        <x:f>IF(OR('설정'!$E$8&gt;'설정'!$F$8,COUNT(H14:AT14)=0),"",MIN(BE14:CQ14))</x:f>
        <x:v>6.15</x:v>
      </x:c>
      <x:c r="AV14" s="40" t="n">
        <x:f>IF(AU14="","",SUMIFS($BE$5:$CQ$5,BE14:CQ14,AU14)/COUNTIFS(BE14:CQ14,AU14))</x:f>
        <x:v>470</x:v>
      </x:c>
      <x:c r="AW14" s="40" t="n">
        <x:f>IF(OR('설정'!$E$8&gt;'설정'!$F$8,COUNT(H14:AT14)=0),"",MAX(BE14:CQ14))</x:f>
        <x:v>7.41</x:v>
      </x:c>
      <x:c r="AX14" s="40" t="n">
        <x:f>IF(AW14="","",SUMIFS($BE$5:$CQ$5,BE14:CQ14,AW14)/COUNTIFS(BE14:CQ14,AW14))</x:f>
        <x:v>550</x:v>
      </x:c>
      <x:c r="AY14" s="66"/>
      <x:c r="AZ14" s="38" t="n">
        <x:f>IF(AY14&lt;&gt;"",AY14,IF('설정'!$C$8="최소",AV14,AX14))</x:f>
        <x:v>470</x:v>
      </x:c>
      <x:c r="BA14" s="39" t="n">
        <x:f>IF(AZ14="","",IF(OR(AZ14&lt;'굴절률'!$A$6,AZ14&gt;'굴절률'!$A$44),"",IF(COUNTIFS('굴절률'!$A$6:$A$44,AZ14)&gt;0,INDEX('굴절률'!$D$6:$D$44,MATCH(AZ14,'굴절률'!$A$6:$A$44,0)),INDEX('굴절률'!$D$6:$D$44,MATCH(AZ14,'굴절률'!$A$6:$A$44,1))+(AZ14-INDEX('굴절률'!$A$6:$A$44,MATCH(AZ14,'굴절률'!$A$6:$A$44,1)))*(INDEX('굴절률'!$D$6:$D$44,MATCH(AZ14,'굴절률'!$A$6:$A$44,1)+1)-INDEX('굴절률'!$D$6:$D$44,MATCH(AZ14,'굴절률'!$A$6:$A$44,1)))/(INDEX('굴절률'!$A$6:$A$44,MATCH(AZ14,'굴절률'!$A$6:$A$44,1)+1)-INDEX('굴절률'!$A$6:$A$44,MATCH(AZ14,'굴절률'!$A$6:$A$44,1))))))</x:f>
        <x:v>1.47101</x:v>
      </x:c>
      <x:c r="BB14" s="39" t="n">
        <x:f>IF(BA14="","",COS(ASIN(SIN(RADIANS('설정'!$G$8))/BA14)))</x:f>
        <x:v>1</x:v>
      </x:c>
      <x:c r="BC14" s="40" t="n">
        <x:f>IF(OR(AZ14="",BA14="",BB14=""),"",IF('설정'!$C$8="최소",(2*'설정'!$D$8-1)*AZ14/(4*BA14*BB14),'설정'!$D$8*AZ14/(2*BA14*BB14)))</x:f>
        <x:v>79.87709125022944</x:v>
      </x:c>
      <x:c r="BD14" s="42" t="str">
        <x:f>IF(COUNT(H14:AT14)=0,"입력 필요",IF(COUNT(H14:AT14)&lt;&gt;39,"데이터 점검",IF(OR('설정'!$E$8&gt;'설정'!$F$8,'설정'!$E$8&lt;360,'설정'!$F$8&gt;740),"검색 범위 오류",IF(AY14&lt;&gt;"","수동 파장",IF(OR(AZ14='설정'!$E$8,AZ14='설정'!$F$8),"경계 극값 확인",IF(COUNTIFS(H14:AT14,IF('설정'!$C$8="최소",AU14,AW14),$H$5:$AT$5,"&gt;="&amp;'설정'!$E$8,$H$5:$AT$5,"&lt;="&amp;'설정'!$F$8)&gt;1,"복수 극값 평균","완료"))))))</x:f>
        <x:v>완료</x:v>
      </x:c>
      <x:c r="BE14" s="71" t="str">
        <x:f>IF(AND(BE$5&gt;='설정'!$E$8,BE$5&lt;='설정'!$F$8),H14,"")</x:f>
      </x:c>
      <x:c r="BF14" s="71" t="str">
        <x:f>IF(AND(BF$5&gt;='설정'!$E$8,BF$5&lt;='설정'!$F$8),I14,"")</x:f>
      </x:c>
      <x:c r="BG14" s="71" t="str">
        <x:f>IF(AND(BG$5&gt;='설정'!$E$8,BG$5&lt;='설정'!$F$8),J14,"")</x:f>
      </x:c>
      <x:c r="BH14" s="71" t="str">
        <x:f>IF(AND(BH$5&gt;='설정'!$E$8,BH$5&lt;='설정'!$F$8),K14,"")</x:f>
      </x:c>
      <x:c r="BI14" s="71" t="str">
        <x:f>IF(AND(BI$5&gt;='설정'!$E$8,BI$5&lt;='설정'!$F$8),L14,"")</x:f>
      </x:c>
      <x:c r="BJ14" s="71" t="str">
        <x:f>IF(AND(BJ$5&gt;='설정'!$E$8,BJ$5&lt;='설정'!$F$8),M14,"")</x:f>
      </x:c>
      <x:c r="BK14" s="71" t="str">
        <x:f>IF(AND(BK$5&gt;='설정'!$E$8,BK$5&lt;='설정'!$F$8),N14,"")</x:f>
      </x:c>
      <x:c r="BL14" s="71" t="n">
        <x:f>IF(AND(BL$5&gt;='설정'!$E$8,BL$5&lt;='설정'!$F$8),O14,"")</x:f>
        <x:v>6.96</x:v>
      </x:c>
      <x:c r="BM14" s="71" t="n">
        <x:f>IF(AND(BM$5&gt;='설정'!$E$8,BM$5&lt;='설정'!$F$8),P14,"")</x:f>
        <x:v>6.59</x:v>
      </x:c>
      <x:c r="BN14" s="71" t="n">
        <x:f>IF(AND(BN$5&gt;='설정'!$E$8,BN$5&lt;='설정'!$F$8),Q14,"")</x:f>
        <x:v>6.34</x:v>
      </x:c>
      <x:c r="BO14" s="71" t="n">
        <x:f>IF(AND(BO$5&gt;='설정'!$E$8,BO$5&lt;='설정'!$F$8),R14,"")</x:f>
        <x:v>6.21</x:v>
      </x:c>
      <x:c r="BP14" s="71" t="n">
        <x:f>IF(AND(BP$5&gt;='설정'!$E$8,BP$5&lt;='설정'!$F$8),S14,"")</x:f>
        <x:v>6.15</x:v>
      </x:c>
      <x:c r="BQ14" s="71" t="n">
        <x:f>IF(AND(BQ$5&gt;='설정'!$E$8,BQ$5&lt;='설정'!$F$8),T14,"")</x:f>
        <x:v>6.19</x:v>
      </x:c>
      <x:c r="BR14" s="71" t="n">
        <x:f>IF(AND(BR$5&gt;='설정'!$E$8,BR$5&lt;='설정'!$F$8),U14,"")</x:f>
        <x:v>6.29</x:v>
      </x:c>
      <x:c r="BS14" s="71" t="n">
        <x:f>IF(AND(BS$5&gt;='설정'!$E$8,BS$5&lt;='설정'!$F$8),V14,"")</x:f>
        <x:v>6.44</x:v>
      </x:c>
      <x:c r="BT14" s="71" t="n">
        <x:f>IF(AND(BT$5&gt;='설정'!$E$8,BT$5&lt;='설정'!$F$8),W14,"")</x:f>
        <x:v>6.58</x:v>
      </x:c>
      <x:c r="BU14" s="71" t="n">
        <x:f>IF(AND(BU$5&gt;='설정'!$E$8,BU$5&lt;='설정'!$F$8),X14,"")</x:f>
        <x:v>6.76</x:v>
      </x:c>
      <x:c r="BV14" s="71" t="n">
        <x:f>IF(AND(BV$5&gt;='설정'!$E$8,BV$5&lt;='설정'!$F$8),Y14,"")</x:f>
        <x:v>6.97</x:v>
      </x:c>
      <x:c r="BW14" s="71" t="n">
        <x:f>IF(AND(BW$5&gt;='설정'!$E$8,BW$5&lt;='설정'!$F$8),Z14,"")</x:f>
        <x:v>7.21</x:v>
      </x:c>
      <x:c r="BX14" s="71" t="n">
        <x:f>IF(AND(BX$5&gt;='설정'!$E$8,BX$5&lt;='설정'!$F$8),AA14,"")</x:f>
        <x:v>7.41</x:v>
      </x:c>
      <x:c r="BY14" s="71" t="str">
        <x:f>IF(AND(BY$5&gt;='설정'!$E$8,BY$5&lt;='설정'!$F$8),AB14,"")</x:f>
      </x:c>
      <x:c r="BZ14" s="71" t="str">
        <x:f>IF(AND(BZ$5&gt;='설정'!$E$8,BZ$5&lt;='설정'!$F$8),AC14,"")</x:f>
      </x:c>
      <x:c r="CA14" s="71" t="str">
        <x:f>IF(AND(CA$5&gt;='설정'!$E$8,CA$5&lt;='설정'!$F$8),AD14,"")</x:f>
      </x:c>
      <x:c r="CB14" s="71" t="str">
        <x:f>IF(AND(CB$5&gt;='설정'!$E$8,CB$5&lt;='설정'!$F$8),AE14,"")</x:f>
      </x:c>
      <x:c r="CC14" s="71" t="str">
        <x:f>IF(AND(CC$5&gt;='설정'!$E$8,CC$5&lt;='설정'!$F$8),AF14,"")</x:f>
      </x:c>
      <x:c r="CD14" s="71" t="str">
        <x:f>IF(AND(CD$5&gt;='설정'!$E$8,CD$5&lt;='설정'!$F$8),AG14,"")</x:f>
      </x:c>
      <x:c r="CE14" s="71" t="str">
        <x:f>IF(AND(CE$5&gt;='설정'!$E$8,CE$5&lt;='설정'!$F$8),AH14,"")</x:f>
      </x:c>
      <x:c r="CF14" s="71" t="str">
        <x:f>IF(AND(CF$5&gt;='설정'!$E$8,CF$5&lt;='설정'!$F$8),AI14,"")</x:f>
      </x:c>
      <x:c r="CG14" s="71" t="str">
        <x:f>IF(AND(CG$5&gt;='설정'!$E$8,CG$5&lt;='설정'!$F$8),AJ14,"")</x:f>
      </x:c>
      <x:c r="CH14" s="71" t="str">
        <x:f>IF(AND(CH$5&gt;='설정'!$E$8,CH$5&lt;='설정'!$F$8),AK14,"")</x:f>
      </x:c>
      <x:c r="CI14" s="71" t="str">
        <x:f>IF(AND(CI$5&gt;='설정'!$E$8,CI$5&lt;='설정'!$F$8),AL14,"")</x:f>
      </x:c>
      <x:c r="CJ14" s="71" t="str">
        <x:f>IF(AND(CJ$5&gt;='설정'!$E$8,CJ$5&lt;='설정'!$F$8),AM14,"")</x:f>
      </x:c>
      <x:c r="CK14" s="71" t="str">
        <x:f>IF(AND(CK$5&gt;='설정'!$E$8,CK$5&lt;='설정'!$F$8),AN14,"")</x:f>
      </x:c>
      <x:c r="CL14" s="71" t="str">
        <x:f>IF(AND(CL$5&gt;='설정'!$E$8,CL$5&lt;='설정'!$F$8),AO14,"")</x:f>
      </x:c>
      <x:c r="CM14" s="71" t="str">
        <x:f>IF(AND(CM$5&gt;='설정'!$E$8,CM$5&lt;='설정'!$F$8),AP14,"")</x:f>
      </x:c>
      <x:c r="CN14" s="71" t="str">
        <x:f>IF(AND(CN$5&gt;='설정'!$E$8,CN$5&lt;='설정'!$F$8),AQ14,"")</x:f>
      </x:c>
      <x:c r="CO14" s="71" t="str">
        <x:f>IF(AND(CO$5&gt;='설정'!$E$8,CO$5&lt;='설정'!$F$8),AR14,"")</x:f>
      </x:c>
      <x:c r="CP14" s="71" t="str">
        <x:f>IF(AND(CP$5&gt;='설정'!$E$8,CP$5&lt;='설정'!$F$8),AS14,"")</x:f>
      </x:c>
      <x:c r="CQ14" s="71" t="str">
        <x:f>IF(AND(CQ$5&gt;='설정'!$E$8,CQ$5&lt;='설정'!$F$8),AT14,"")</x:f>
      </x:c>
    </x:row>
    <x:row r="15" ht="20" customHeight="1">
      <x:c r="A15" s="46" t="n">
        <x:v>10</x:v>
      </x:c>
      <x:c r="B15" s="44" t="str">
        <x:v>SiO2 균일도_10</x:v>
      </x:c>
      <x:c r="C15" s="61" t="n">
        <x:v>32.39</x:v>
      </x:c>
      <x:c r="D15" s="61" t="n">
        <x:v>4.63</x:v>
      </x:c>
      <x:c r="E15" s="61" t="n">
        <x:v>1.69</x:v>
      </x:c>
      <x:c r="F15" s="61" t="n">
        <x:v>7.26</x:v>
      </x:c>
      <x:c r="G15" s="44" t="str">
        <x:v>SCI</x:v>
      </x:c>
      <x:c r="H15" s="61" t="n">
        <x:v>17.49</x:v>
      </x:c>
      <x:c r="I15" s="61" t="n">
        <x:v>14.98</x:v>
      </x:c>
      <x:c r="J15" s="61" t="n">
        <x:v>13.1</x:v>
      </x:c>
      <x:c r="K15" s="61" t="n">
        <x:v>11.46</x:v>
      </x:c>
      <x:c r="L15" s="61" t="n">
        <x:v>10.14</x:v>
      </x:c>
      <x:c r="M15" s="61" t="n">
        <x:v>9.04</x:v>
      </x:c>
      <x:c r="N15" s="61" t="n">
        <x:v>8.11</x:v>
      </x:c>
      <x:c r="O15" s="61" t="n">
        <x:v>7.43</x:v>
      </x:c>
      <x:c r="P15" s="61" t="n">
        <x:v>6.96</x:v>
      </x:c>
      <x:c r="Q15" s="61" t="n">
        <x:v>6.62</x:v>
      </x:c>
      <x:c r="R15" s="61" t="n">
        <x:v>6.37</x:v>
      </x:c>
      <x:c r="S15" s="61" t="n">
        <x:v>6.24</x:v>
      </x:c>
      <x:c r="T15" s="61" t="n">
        <x:v>6.2</x:v>
      </x:c>
      <x:c r="U15" s="61" t="n">
        <x:v>6.24</x:v>
      </x:c>
      <x:c r="V15" s="61" t="n">
        <x:v>6.32</x:v>
      </x:c>
      <x:c r="W15" s="61" t="n">
        <x:v>6.42</x:v>
      </x:c>
      <x:c r="X15" s="61" t="n">
        <x:v>6.56</x:v>
      </x:c>
      <x:c r="Y15" s="61" t="n">
        <x:v>6.74</x:v>
      </x:c>
      <x:c r="Z15" s="61" t="n">
        <x:v>6.93</x:v>
      </x:c>
      <x:c r="AA15" s="61" t="n">
        <x:v>7.12</x:v>
      </x:c>
      <x:c r="AB15" s="61" t="n">
        <x:v>7.32</x:v>
      </x:c>
      <x:c r="AC15" s="61" t="n">
        <x:v>7.54</x:v>
      </x:c>
      <x:c r="AD15" s="61" t="n">
        <x:v>7.74</x:v>
      </x:c>
      <x:c r="AE15" s="61" t="n">
        <x:v>7.93</x:v>
      </x:c>
      <x:c r="AF15" s="61" t="n">
        <x:v>8.15</x:v>
      </x:c>
      <x:c r="AG15" s="61" t="n">
        <x:v>8.35</x:v>
      </x:c>
      <x:c r="AH15" s="61" t="n">
        <x:v>8.53</x:v>
      </x:c>
      <x:c r="AI15" s="61" t="n">
        <x:v>8.71</x:v>
      </x:c>
      <x:c r="AJ15" s="61" t="n">
        <x:v>8.91</x:v>
      </x:c>
      <x:c r="AK15" s="61" t="n">
        <x:v>9.06</x:v>
      </x:c>
      <x:c r="AL15" s="61" t="n">
        <x:v>9.25</x:v>
      </x:c>
      <x:c r="AM15" s="61" t="n">
        <x:v>9.37</x:v>
      </x:c>
      <x:c r="AN15" s="61" t="n">
        <x:v>9.54</x:v>
      </x:c>
      <x:c r="AO15" s="61" t="n">
        <x:v>9.7</x:v>
      </x:c>
      <x:c r="AP15" s="61" t="n">
        <x:v>9.84</x:v>
      </x:c>
      <x:c r="AQ15" s="61" t="n">
        <x:v>9.97</x:v>
      </x:c>
      <x:c r="AR15" s="61" t="n">
        <x:v>10.06</x:v>
      </x:c>
      <x:c r="AS15" s="61" t="n">
        <x:v>10.2</x:v>
      </x:c>
      <x:c r="AT15" s="61" t="n">
        <x:v>10.31</x:v>
      </x:c>
      <x:c r="AU15" s="40" t="n">
        <x:f>IF(OR('설정'!$E$8&gt;'설정'!$F$8,COUNT(H15:AT15)=0),"",MIN(BE15:CQ15))</x:f>
        <x:v>6.2</x:v>
      </x:c>
      <x:c r="AV15" s="40" t="n">
        <x:f>IF(AU15="","",SUMIFS($BE$5:$CQ$5,BE15:CQ15,AU15)/COUNTIFS(BE15:CQ15,AU15))</x:f>
        <x:v>480</x:v>
      </x:c>
      <x:c r="AW15" s="40" t="n">
        <x:f>IF(OR('설정'!$E$8&gt;'설정'!$F$8,COUNT(H15:AT15)=0),"",MAX(BE15:CQ15))</x:f>
        <x:v>7.43</x:v>
      </x:c>
      <x:c r="AX15" s="40" t="n">
        <x:f>IF(AW15="","",SUMIFS($BE$5:$CQ$5,BE15:CQ15,AW15)/COUNTIFS(BE15:CQ15,AW15))</x:f>
        <x:v>430</x:v>
      </x:c>
      <x:c r="AY15" s="66"/>
      <x:c r="AZ15" s="38" t="n">
        <x:f>IF(AY15&lt;&gt;"",AY15,IF('설정'!$C$8="최소",AV15,AX15))</x:f>
        <x:v>480</x:v>
      </x:c>
      <x:c r="BA15" s="39" t="n">
        <x:f>IF(AZ15="","",IF(OR(AZ15&lt;'굴절률'!$A$6,AZ15&gt;'굴절률'!$A$44),"",IF(COUNTIFS('굴절률'!$A$6:$A$44,AZ15)&gt;0,INDEX('굴절률'!$D$6:$D$44,MATCH(AZ15,'굴절률'!$A$6:$A$44,0)),INDEX('굴절률'!$D$6:$D$44,MATCH(AZ15,'굴절률'!$A$6:$A$44,1))+(AZ15-INDEX('굴절률'!$A$6:$A$44,MATCH(AZ15,'굴절률'!$A$6:$A$44,1)))*(INDEX('굴절률'!$D$6:$D$44,MATCH(AZ15,'굴절률'!$A$6:$A$44,1)+1)-INDEX('굴절률'!$D$6:$D$44,MATCH(AZ15,'굴절률'!$A$6:$A$44,1)))/(INDEX('굴절률'!$A$6:$A$44,MATCH(AZ15,'굴절률'!$A$6:$A$44,1)+1)-INDEX('굴절률'!$A$6:$A$44,MATCH(AZ15,'굴절률'!$A$6:$A$44,1))))))</x:f>
        <x:v>1.47069</x:v>
      </x:c>
      <x:c r="BB15" s="39" t="n">
        <x:f>IF(BA15="","",COS(ASIN(SIN(RADIANS('설정'!$G$8))/BA15)))</x:f>
        <x:v>1</x:v>
      </x:c>
      <x:c r="BC15" s="40" t="n">
        <x:f>IF(OR(AZ15="",BA15="",BB15=""),"",IF('설정'!$C$8="최소",(2*'설정'!$D$8-1)*AZ15/(4*BA15*BB15),'설정'!$D$8*AZ15/(2*BA15*BB15)))</x:f>
        <x:v>81.59435367072598</x:v>
      </x:c>
      <x:c r="BD15" s="42" t="str">
        <x:f>IF(COUNT(H15:AT15)=0,"입력 필요",IF(COUNT(H15:AT15)&lt;&gt;39,"데이터 점검",IF(OR('설정'!$E$8&gt;'설정'!$F$8,'설정'!$E$8&lt;360,'설정'!$F$8&gt;740),"검색 범위 오류",IF(AY15&lt;&gt;"","수동 파장",IF(OR(AZ15='설정'!$E$8,AZ15='설정'!$F$8),"경계 극값 확인",IF(COUNTIFS(H15:AT15,IF('설정'!$C$8="최소",AU15,AW15),$H$5:$AT$5,"&gt;="&amp;'설정'!$E$8,$H$5:$AT$5,"&lt;="&amp;'설정'!$F$8)&gt;1,"복수 극값 평균","완료"))))))</x:f>
        <x:v>완료</x:v>
      </x:c>
      <x:c r="BE15" s="71" t="str">
        <x:f>IF(AND(BE$5&gt;='설정'!$E$8,BE$5&lt;='설정'!$F$8),H15,"")</x:f>
      </x:c>
      <x:c r="BF15" s="71" t="str">
        <x:f>IF(AND(BF$5&gt;='설정'!$E$8,BF$5&lt;='설정'!$F$8),I15,"")</x:f>
      </x:c>
      <x:c r="BG15" s="71" t="str">
        <x:f>IF(AND(BG$5&gt;='설정'!$E$8,BG$5&lt;='설정'!$F$8),J15,"")</x:f>
      </x:c>
      <x:c r="BH15" s="71" t="str">
        <x:f>IF(AND(BH$5&gt;='설정'!$E$8,BH$5&lt;='설정'!$F$8),K15,"")</x:f>
      </x:c>
      <x:c r="BI15" s="71" t="str">
        <x:f>IF(AND(BI$5&gt;='설정'!$E$8,BI$5&lt;='설정'!$F$8),L15,"")</x:f>
      </x:c>
      <x:c r="BJ15" s="71" t="str">
        <x:f>IF(AND(BJ$5&gt;='설정'!$E$8,BJ$5&lt;='설정'!$F$8),M15,"")</x:f>
      </x:c>
      <x:c r="BK15" s="71" t="str">
        <x:f>IF(AND(BK$5&gt;='설정'!$E$8,BK$5&lt;='설정'!$F$8),N15,"")</x:f>
      </x:c>
      <x:c r="BL15" s="71" t="n">
        <x:f>IF(AND(BL$5&gt;='설정'!$E$8,BL$5&lt;='설정'!$F$8),O15,"")</x:f>
        <x:v>7.43</x:v>
      </x:c>
      <x:c r="BM15" s="71" t="n">
        <x:f>IF(AND(BM$5&gt;='설정'!$E$8,BM$5&lt;='설정'!$F$8),P15,"")</x:f>
        <x:v>6.96</x:v>
      </x:c>
      <x:c r="BN15" s="71" t="n">
        <x:f>IF(AND(BN$5&gt;='설정'!$E$8,BN$5&lt;='설정'!$F$8),Q15,"")</x:f>
        <x:v>6.62</x:v>
      </x:c>
      <x:c r="BO15" s="71" t="n">
        <x:f>IF(AND(BO$5&gt;='설정'!$E$8,BO$5&lt;='설정'!$F$8),R15,"")</x:f>
        <x:v>6.37</x:v>
      </x:c>
      <x:c r="BP15" s="71" t="n">
        <x:f>IF(AND(BP$5&gt;='설정'!$E$8,BP$5&lt;='설정'!$F$8),S15,"")</x:f>
        <x:v>6.24</x:v>
      </x:c>
      <x:c r="BQ15" s="71" t="n">
        <x:f>IF(AND(BQ$5&gt;='설정'!$E$8,BQ$5&lt;='설정'!$F$8),T15,"")</x:f>
        <x:v>6.2</x:v>
      </x:c>
      <x:c r="BR15" s="71" t="n">
        <x:f>IF(AND(BR$5&gt;='설정'!$E$8,BR$5&lt;='설정'!$F$8),U15,"")</x:f>
        <x:v>6.24</x:v>
      </x:c>
      <x:c r="BS15" s="71" t="n">
        <x:f>IF(AND(BS$5&gt;='설정'!$E$8,BS$5&lt;='설정'!$F$8),V15,"")</x:f>
        <x:v>6.32</x:v>
      </x:c>
      <x:c r="BT15" s="71" t="n">
        <x:f>IF(AND(BT$5&gt;='설정'!$E$8,BT$5&lt;='설정'!$F$8),W15,"")</x:f>
        <x:v>6.42</x:v>
      </x:c>
      <x:c r="BU15" s="71" t="n">
        <x:f>IF(AND(BU$5&gt;='설정'!$E$8,BU$5&lt;='설정'!$F$8),X15,"")</x:f>
        <x:v>6.56</x:v>
      </x:c>
      <x:c r="BV15" s="71" t="n">
        <x:f>IF(AND(BV$5&gt;='설정'!$E$8,BV$5&lt;='설정'!$F$8),Y15,"")</x:f>
        <x:v>6.74</x:v>
      </x:c>
      <x:c r="BW15" s="71" t="n">
        <x:f>IF(AND(BW$5&gt;='설정'!$E$8,BW$5&lt;='설정'!$F$8),Z15,"")</x:f>
        <x:v>6.93</x:v>
      </x:c>
      <x:c r="BX15" s="71" t="n">
        <x:f>IF(AND(BX$5&gt;='설정'!$E$8,BX$5&lt;='설정'!$F$8),AA15,"")</x:f>
        <x:v>7.12</x:v>
      </x:c>
      <x:c r="BY15" s="71" t="str">
        <x:f>IF(AND(BY$5&gt;='설정'!$E$8,BY$5&lt;='설정'!$F$8),AB15,"")</x:f>
      </x:c>
      <x:c r="BZ15" s="71" t="str">
        <x:f>IF(AND(BZ$5&gt;='설정'!$E$8,BZ$5&lt;='설정'!$F$8),AC15,"")</x:f>
      </x:c>
      <x:c r="CA15" s="71" t="str">
        <x:f>IF(AND(CA$5&gt;='설정'!$E$8,CA$5&lt;='설정'!$F$8),AD15,"")</x:f>
      </x:c>
      <x:c r="CB15" s="71" t="str">
        <x:f>IF(AND(CB$5&gt;='설정'!$E$8,CB$5&lt;='설정'!$F$8),AE15,"")</x:f>
      </x:c>
      <x:c r="CC15" s="71" t="str">
        <x:f>IF(AND(CC$5&gt;='설정'!$E$8,CC$5&lt;='설정'!$F$8),AF15,"")</x:f>
      </x:c>
      <x:c r="CD15" s="71" t="str">
        <x:f>IF(AND(CD$5&gt;='설정'!$E$8,CD$5&lt;='설정'!$F$8),AG15,"")</x:f>
      </x:c>
      <x:c r="CE15" s="71" t="str">
        <x:f>IF(AND(CE$5&gt;='설정'!$E$8,CE$5&lt;='설정'!$F$8),AH15,"")</x:f>
      </x:c>
      <x:c r="CF15" s="71" t="str">
        <x:f>IF(AND(CF$5&gt;='설정'!$E$8,CF$5&lt;='설정'!$F$8),AI15,"")</x:f>
      </x:c>
      <x:c r="CG15" s="71" t="str">
        <x:f>IF(AND(CG$5&gt;='설정'!$E$8,CG$5&lt;='설정'!$F$8),AJ15,"")</x:f>
      </x:c>
      <x:c r="CH15" s="71" t="str">
        <x:f>IF(AND(CH$5&gt;='설정'!$E$8,CH$5&lt;='설정'!$F$8),AK15,"")</x:f>
      </x:c>
      <x:c r="CI15" s="71" t="str">
        <x:f>IF(AND(CI$5&gt;='설정'!$E$8,CI$5&lt;='설정'!$F$8),AL15,"")</x:f>
      </x:c>
      <x:c r="CJ15" s="71" t="str">
        <x:f>IF(AND(CJ$5&gt;='설정'!$E$8,CJ$5&lt;='설정'!$F$8),AM15,"")</x:f>
      </x:c>
      <x:c r="CK15" s="71" t="str">
        <x:f>IF(AND(CK$5&gt;='설정'!$E$8,CK$5&lt;='설정'!$F$8),AN15,"")</x:f>
      </x:c>
      <x:c r="CL15" s="71" t="str">
        <x:f>IF(AND(CL$5&gt;='설정'!$E$8,CL$5&lt;='설정'!$F$8),AO15,"")</x:f>
      </x:c>
      <x:c r="CM15" s="71" t="str">
        <x:f>IF(AND(CM$5&gt;='설정'!$E$8,CM$5&lt;='설정'!$F$8),AP15,"")</x:f>
      </x:c>
      <x:c r="CN15" s="71" t="str">
        <x:f>IF(AND(CN$5&gt;='설정'!$E$8,CN$5&lt;='설정'!$F$8),AQ15,"")</x:f>
      </x:c>
      <x:c r="CO15" s="71" t="str">
        <x:f>IF(AND(CO$5&gt;='설정'!$E$8,CO$5&lt;='설정'!$F$8),AR15,"")</x:f>
      </x:c>
      <x:c r="CP15" s="71" t="str">
        <x:f>IF(AND(CP$5&gt;='설정'!$E$8,CP$5&lt;='설정'!$F$8),AS15,"")</x:f>
      </x:c>
      <x:c r="CQ15" s="71" t="str">
        <x:f>IF(AND(CQ$5&gt;='설정'!$E$8,CQ$5&lt;='설정'!$F$8),AT15,"")</x:f>
      </x:c>
    </x:row>
    <x:row r="16" ht="20" customHeight="1">
      <x:c r="A16" s="46" t="n">
        <x:v>11</x:v>
      </x:c>
      <x:c r="B16" s="44" t="str">
        <x:v>SiO2 균일도_11</x:v>
      </x:c>
      <x:c r="C16" s="61" t="n">
        <x:v>32.3</x:v>
      </x:c>
      <x:c r="D16" s="61" t="n">
        <x:v>4.65</x:v>
      </x:c>
      <x:c r="E16" s="61" t="n">
        <x:v>1</x:v>
      </x:c>
      <x:c r="F16" s="61" t="n">
        <x:v>7.22</x:v>
      </x:c>
      <x:c r="G16" s="44" t="str">
        <x:v>SCI</x:v>
      </x:c>
      <x:c r="H16" s="61" t="n">
        <x:v>17.68</x:v>
      </x:c>
      <x:c r="I16" s="61" t="n">
        <x:v>15.24</x:v>
      </x:c>
      <x:c r="J16" s="61" t="n">
        <x:v>13.35</x:v>
      </x:c>
      <x:c r="K16" s="61" t="n">
        <x:v>11.72</x:v>
      </x:c>
      <x:c r="L16" s="61" t="n">
        <x:v>10.4</x:v>
      </x:c>
      <x:c r="M16" s="61" t="n">
        <x:v>9.26</x:v>
      </x:c>
      <x:c r="N16" s="61" t="n">
        <x:v>8.32</x:v>
      </x:c>
      <x:c r="O16" s="61" t="n">
        <x:v>7.62</x:v>
      </x:c>
      <x:c r="P16" s="61" t="n">
        <x:v>7.13</x:v>
      </x:c>
      <x:c r="Q16" s="61" t="n">
        <x:v>6.75</x:v>
      </x:c>
      <x:c r="R16" s="61" t="n">
        <x:v>6.5</x:v>
      </x:c>
      <x:c r="S16" s="61" t="n">
        <x:v>6.34</x:v>
      </x:c>
      <x:c r="T16" s="61" t="n">
        <x:v>6.25</x:v>
      </x:c>
      <x:c r="U16" s="61" t="n">
        <x:v>6.3</x:v>
      </x:c>
      <x:c r="V16" s="61" t="n">
        <x:v>6.35</x:v>
      </x:c>
      <x:c r="W16" s="61" t="n">
        <x:v>6.44</x:v>
      </x:c>
      <x:c r="X16" s="61" t="n">
        <x:v>6.55</x:v>
      </x:c>
      <x:c r="Y16" s="61" t="n">
        <x:v>6.71</x:v>
      </x:c>
      <x:c r="Z16" s="61" t="n">
        <x:v>6.89</x:v>
      </x:c>
      <x:c r="AA16" s="61" t="n">
        <x:v>7.06</x:v>
      </x:c>
      <x:c r="AB16" s="61" t="n">
        <x:v>7.26</x:v>
      </x:c>
      <x:c r="AC16" s="61" t="n">
        <x:v>7.46</x:v>
      </x:c>
      <x:c r="AD16" s="61" t="n">
        <x:v>7.66</x:v>
      </x:c>
      <x:c r="AE16" s="61" t="n">
        <x:v>7.83</x:v>
      </x:c>
      <x:c r="AF16" s="61" t="n">
        <x:v>8.05</x:v>
      </x:c>
      <x:c r="AG16" s="61" t="n">
        <x:v>8.25</x:v>
      </x:c>
      <x:c r="AH16" s="61" t="n">
        <x:v>8.43</x:v>
      </x:c>
      <x:c r="AI16" s="61" t="n">
        <x:v>8.59</x:v>
      </x:c>
      <x:c r="AJ16" s="61" t="n">
        <x:v>8.8</x:v>
      </x:c>
      <x:c r="AK16" s="61" t="n">
        <x:v>8.93</x:v>
      </x:c>
      <x:c r="AL16" s="61" t="n">
        <x:v>9.13</x:v>
      </x:c>
      <x:c r="AM16" s="61" t="n">
        <x:v>9.26</x:v>
      </x:c>
      <x:c r="AN16" s="61" t="n">
        <x:v>9.43</x:v>
      </x:c>
      <x:c r="AO16" s="61" t="n">
        <x:v>9.6</x:v>
      </x:c>
      <x:c r="AP16" s="61" t="n">
        <x:v>9.72</x:v>
      </x:c>
      <x:c r="AQ16" s="61" t="n">
        <x:v>9.86</x:v>
      </x:c>
      <x:c r="AR16" s="61" t="n">
        <x:v>9.94</x:v>
      </x:c>
      <x:c r="AS16" s="61" t="n">
        <x:v>10.07</x:v>
      </x:c>
      <x:c r="AT16" s="61" t="n">
        <x:v>10.18</x:v>
      </x:c>
      <x:c r="AU16" s="40" t="n">
        <x:f>IF(OR('설정'!$E$8&gt;'설정'!$F$8,COUNT(H16:AT16)=0),"",MIN(BE16:CQ16))</x:f>
        <x:v>6.25</x:v>
      </x:c>
      <x:c r="AV16" s="40" t="n">
        <x:f>IF(AU16="","",SUMIFS($BE$5:$CQ$5,BE16:CQ16,AU16)/COUNTIFS(BE16:CQ16,AU16))</x:f>
        <x:v>480</x:v>
      </x:c>
      <x:c r="AW16" s="40" t="n">
        <x:f>IF(OR('설정'!$E$8&gt;'설정'!$F$8,COUNT(H16:AT16)=0),"",MAX(BE16:CQ16))</x:f>
        <x:v>7.62</x:v>
      </x:c>
      <x:c r="AX16" s="40" t="n">
        <x:f>IF(AW16="","",SUMIFS($BE$5:$CQ$5,BE16:CQ16,AW16)/COUNTIFS(BE16:CQ16,AW16))</x:f>
        <x:v>430</x:v>
      </x:c>
      <x:c r="AY16" s="66"/>
      <x:c r="AZ16" s="38" t="n">
        <x:f>IF(AY16&lt;&gt;"",AY16,IF('설정'!$C$8="최소",AV16,AX16))</x:f>
        <x:v>480</x:v>
      </x:c>
      <x:c r="BA16" s="39" t="n">
        <x:f>IF(AZ16="","",IF(OR(AZ16&lt;'굴절률'!$A$6,AZ16&gt;'굴절률'!$A$44),"",IF(COUNTIFS('굴절률'!$A$6:$A$44,AZ16)&gt;0,INDEX('굴절률'!$D$6:$D$44,MATCH(AZ16,'굴절률'!$A$6:$A$44,0)),INDEX('굴절률'!$D$6:$D$44,MATCH(AZ16,'굴절률'!$A$6:$A$44,1))+(AZ16-INDEX('굴절률'!$A$6:$A$44,MATCH(AZ16,'굴절률'!$A$6:$A$44,1)))*(INDEX('굴절률'!$D$6:$D$44,MATCH(AZ16,'굴절률'!$A$6:$A$44,1)+1)-INDEX('굴절률'!$D$6:$D$44,MATCH(AZ16,'굴절률'!$A$6:$A$44,1)))/(INDEX('굴절률'!$A$6:$A$44,MATCH(AZ16,'굴절률'!$A$6:$A$44,1)+1)-INDEX('굴절률'!$A$6:$A$44,MATCH(AZ16,'굴절률'!$A$6:$A$44,1))))))</x:f>
        <x:v>1.47069</x:v>
      </x:c>
      <x:c r="BB16" s="39" t="n">
        <x:f>IF(BA16="","",COS(ASIN(SIN(RADIANS('설정'!$G$8))/BA16)))</x:f>
        <x:v>1</x:v>
      </x:c>
      <x:c r="BC16" s="40" t="n">
        <x:f>IF(OR(AZ16="",BA16="",BB16=""),"",IF('설정'!$C$8="최소",(2*'설정'!$D$8-1)*AZ16/(4*BA16*BB16),'설정'!$D$8*AZ16/(2*BA16*BB16)))</x:f>
        <x:v>81.59435367072598</x:v>
      </x:c>
      <x:c r="BD16" s="42" t="str">
        <x:f>IF(COUNT(H16:AT16)=0,"입력 필요",IF(COUNT(H16:AT16)&lt;&gt;39,"데이터 점검",IF(OR('설정'!$E$8&gt;'설정'!$F$8,'설정'!$E$8&lt;360,'설정'!$F$8&gt;740),"검색 범위 오류",IF(AY16&lt;&gt;"","수동 파장",IF(OR(AZ16='설정'!$E$8,AZ16='설정'!$F$8),"경계 극값 확인",IF(COUNTIFS(H16:AT16,IF('설정'!$C$8="최소",AU16,AW16),$H$5:$AT$5,"&gt;="&amp;'설정'!$E$8,$H$5:$AT$5,"&lt;="&amp;'설정'!$F$8)&gt;1,"복수 극값 평균","완료"))))))</x:f>
        <x:v>완료</x:v>
      </x:c>
      <x:c r="BE16" s="71" t="str">
        <x:f>IF(AND(BE$5&gt;='설정'!$E$8,BE$5&lt;='설정'!$F$8),H16,"")</x:f>
      </x:c>
      <x:c r="BF16" s="71" t="str">
        <x:f>IF(AND(BF$5&gt;='설정'!$E$8,BF$5&lt;='설정'!$F$8),I16,"")</x:f>
      </x:c>
      <x:c r="BG16" s="71" t="str">
        <x:f>IF(AND(BG$5&gt;='설정'!$E$8,BG$5&lt;='설정'!$F$8),J16,"")</x:f>
      </x:c>
      <x:c r="BH16" s="71" t="str">
        <x:f>IF(AND(BH$5&gt;='설정'!$E$8,BH$5&lt;='설정'!$F$8),K16,"")</x:f>
      </x:c>
      <x:c r="BI16" s="71" t="str">
        <x:f>IF(AND(BI$5&gt;='설정'!$E$8,BI$5&lt;='설정'!$F$8),L16,"")</x:f>
      </x:c>
      <x:c r="BJ16" s="71" t="str">
        <x:f>IF(AND(BJ$5&gt;='설정'!$E$8,BJ$5&lt;='설정'!$F$8),M16,"")</x:f>
      </x:c>
      <x:c r="BK16" s="71" t="str">
        <x:f>IF(AND(BK$5&gt;='설정'!$E$8,BK$5&lt;='설정'!$F$8),N16,"")</x:f>
      </x:c>
      <x:c r="BL16" s="71" t="n">
        <x:f>IF(AND(BL$5&gt;='설정'!$E$8,BL$5&lt;='설정'!$F$8),O16,"")</x:f>
        <x:v>7.62</x:v>
      </x:c>
      <x:c r="BM16" s="71" t="n">
        <x:f>IF(AND(BM$5&gt;='설정'!$E$8,BM$5&lt;='설정'!$F$8),P16,"")</x:f>
        <x:v>7.13</x:v>
      </x:c>
      <x:c r="BN16" s="71" t="n">
        <x:f>IF(AND(BN$5&gt;='설정'!$E$8,BN$5&lt;='설정'!$F$8),Q16,"")</x:f>
        <x:v>6.75</x:v>
      </x:c>
      <x:c r="BO16" s="71" t="n">
        <x:f>IF(AND(BO$5&gt;='설정'!$E$8,BO$5&lt;='설정'!$F$8),R16,"")</x:f>
        <x:v>6.5</x:v>
      </x:c>
      <x:c r="BP16" s="71" t="n">
        <x:f>IF(AND(BP$5&gt;='설정'!$E$8,BP$5&lt;='설정'!$F$8),S16,"")</x:f>
        <x:v>6.34</x:v>
      </x:c>
      <x:c r="BQ16" s="71" t="n">
        <x:f>IF(AND(BQ$5&gt;='설정'!$E$8,BQ$5&lt;='설정'!$F$8),T16,"")</x:f>
        <x:v>6.25</x:v>
      </x:c>
      <x:c r="BR16" s="71" t="n">
        <x:f>IF(AND(BR$5&gt;='설정'!$E$8,BR$5&lt;='설정'!$F$8),U16,"")</x:f>
        <x:v>6.3</x:v>
      </x:c>
      <x:c r="BS16" s="71" t="n">
        <x:f>IF(AND(BS$5&gt;='설정'!$E$8,BS$5&lt;='설정'!$F$8),V16,"")</x:f>
        <x:v>6.35</x:v>
      </x:c>
      <x:c r="BT16" s="71" t="n">
        <x:f>IF(AND(BT$5&gt;='설정'!$E$8,BT$5&lt;='설정'!$F$8),W16,"")</x:f>
        <x:v>6.44</x:v>
      </x:c>
      <x:c r="BU16" s="71" t="n">
        <x:f>IF(AND(BU$5&gt;='설정'!$E$8,BU$5&lt;='설정'!$F$8),X16,"")</x:f>
        <x:v>6.55</x:v>
      </x:c>
      <x:c r="BV16" s="71" t="n">
        <x:f>IF(AND(BV$5&gt;='설정'!$E$8,BV$5&lt;='설정'!$F$8),Y16,"")</x:f>
        <x:v>6.71</x:v>
      </x:c>
      <x:c r="BW16" s="71" t="n">
        <x:f>IF(AND(BW$5&gt;='설정'!$E$8,BW$5&lt;='설정'!$F$8),Z16,"")</x:f>
        <x:v>6.89</x:v>
      </x:c>
      <x:c r="BX16" s="71" t="n">
        <x:f>IF(AND(BX$5&gt;='설정'!$E$8,BX$5&lt;='설정'!$F$8),AA16,"")</x:f>
        <x:v>7.06</x:v>
      </x:c>
      <x:c r="BY16" s="71" t="str">
        <x:f>IF(AND(BY$5&gt;='설정'!$E$8,BY$5&lt;='설정'!$F$8),AB16,"")</x:f>
      </x:c>
      <x:c r="BZ16" s="71" t="str">
        <x:f>IF(AND(BZ$5&gt;='설정'!$E$8,BZ$5&lt;='설정'!$F$8),AC16,"")</x:f>
      </x:c>
      <x:c r="CA16" s="71" t="str">
        <x:f>IF(AND(CA$5&gt;='설정'!$E$8,CA$5&lt;='설정'!$F$8),AD16,"")</x:f>
      </x:c>
      <x:c r="CB16" s="71" t="str">
        <x:f>IF(AND(CB$5&gt;='설정'!$E$8,CB$5&lt;='설정'!$F$8),AE16,"")</x:f>
      </x:c>
      <x:c r="CC16" s="71" t="str">
        <x:f>IF(AND(CC$5&gt;='설정'!$E$8,CC$5&lt;='설정'!$F$8),AF16,"")</x:f>
      </x:c>
      <x:c r="CD16" s="71" t="str">
        <x:f>IF(AND(CD$5&gt;='설정'!$E$8,CD$5&lt;='설정'!$F$8),AG16,"")</x:f>
      </x:c>
      <x:c r="CE16" s="71" t="str">
        <x:f>IF(AND(CE$5&gt;='설정'!$E$8,CE$5&lt;='설정'!$F$8),AH16,"")</x:f>
      </x:c>
      <x:c r="CF16" s="71" t="str">
        <x:f>IF(AND(CF$5&gt;='설정'!$E$8,CF$5&lt;='설정'!$F$8),AI16,"")</x:f>
      </x:c>
      <x:c r="CG16" s="71" t="str">
        <x:f>IF(AND(CG$5&gt;='설정'!$E$8,CG$5&lt;='설정'!$F$8),AJ16,"")</x:f>
      </x:c>
      <x:c r="CH16" s="71" t="str">
        <x:f>IF(AND(CH$5&gt;='설정'!$E$8,CH$5&lt;='설정'!$F$8),AK16,"")</x:f>
      </x:c>
      <x:c r="CI16" s="71" t="str">
        <x:f>IF(AND(CI$5&gt;='설정'!$E$8,CI$5&lt;='설정'!$F$8),AL16,"")</x:f>
      </x:c>
      <x:c r="CJ16" s="71" t="str">
        <x:f>IF(AND(CJ$5&gt;='설정'!$E$8,CJ$5&lt;='설정'!$F$8),AM16,"")</x:f>
      </x:c>
      <x:c r="CK16" s="71" t="str">
        <x:f>IF(AND(CK$5&gt;='설정'!$E$8,CK$5&lt;='설정'!$F$8),AN16,"")</x:f>
      </x:c>
      <x:c r="CL16" s="71" t="str">
        <x:f>IF(AND(CL$5&gt;='설정'!$E$8,CL$5&lt;='설정'!$F$8),AO16,"")</x:f>
      </x:c>
      <x:c r="CM16" s="71" t="str">
        <x:f>IF(AND(CM$5&gt;='설정'!$E$8,CM$5&lt;='설정'!$F$8),AP16,"")</x:f>
      </x:c>
      <x:c r="CN16" s="71" t="str">
        <x:f>IF(AND(CN$5&gt;='설정'!$E$8,CN$5&lt;='설정'!$F$8),AQ16,"")</x:f>
      </x:c>
      <x:c r="CO16" s="71" t="str">
        <x:f>IF(AND(CO$5&gt;='설정'!$E$8,CO$5&lt;='설정'!$F$8),AR16,"")</x:f>
      </x:c>
      <x:c r="CP16" s="71" t="str">
        <x:f>IF(AND(CP$5&gt;='설정'!$E$8,CP$5&lt;='설정'!$F$8),AS16,"")</x:f>
      </x:c>
      <x:c r="CQ16" s="71" t="str">
        <x:f>IF(AND(CQ$5&gt;='설정'!$E$8,CQ$5&lt;='설정'!$F$8),AT16,"")</x:f>
      </x:c>
    </x:row>
    <x:row r="17" ht="20" customHeight="1">
      <x:c r="A17" s="46" t="n">
        <x:v>12</x:v>
      </x:c>
      <x:c r="B17" s="44" t="str">
        <x:v>SiO2 균일도_12</x:v>
      </x:c>
      <x:c r="C17" s="61" t="n">
        <x:v>32.27</x:v>
      </x:c>
      <x:c r="D17" s="61" t="n">
        <x:v>4.48</x:v>
      </x:c>
      <x:c r="E17" s="61" t="n">
        <x:v>0.89</x:v>
      </x:c>
      <x:c r="F17" s="61" t="n">
        <x:v>7.21</x:v>
      </x:c>
      <x:c r="G17" s="44" t="str">
        <x:v>SCI</x:v>
      </x:c>
      <x:c r="H17" s="61" t="n">
        <x:v>17.21</x:v>
      </x:c>
      <x:c r="I17" s="61" t="n">
        <x:v>14.9</x:v>
      </x:c>
      <x:c r="J17" s="61" t="n">
        <x:v>13.11</x:v>
      </x:c>
      <x:c r="K17" s="61" t="n">
        <x:v>11.54</x:v>
      </x:c>
      <x:c r="L17" s="61" t="n">
        <x:v>10.28</x:v>
      </x:c>
      <x:c r="M17" s="61" t="n">
        <x:v>9.21</x:v>
      </x:c>
      <x:c r="N17" s="61" t="n">
        <x:v>8.29</x:v>
      </x:c>
      <x:c r="O17" s="61" t="n">
        <x:v>7.62</x:v>
      </x:c>
      <x:c r="P17" s="61" t="n">
        <x:v>7.14</x:v>
      </x:c>
      <x:c r="Q17" s="61" t="n">
        <x:v>6.79</x:v>
      </x:c>
      <x:c r="R17" s="61" t="n">
        <x:v>6.52</x:v>
      </x:c>
      <x:c r="S17" s="61" t="n">
        <x:v>6.38</x:v>
      </x:c>
      <x:c r="T17" s="61" t="n">
        <x:v>6.29</x:v>
      </x:c>
      <x:c r="U17" s="61" t="n">
        <x:v>6.34</x:v>
      </x:c>
      <x:c r="V17" s="61" t="n">
        <x:v>6.38</x:v>
      </x:c>
      <x:c r="W17" s="61" t="n">
        <x:v>6.46</x:v>
      </x:c>
      <x:c r="X17" s="61" t="n">
        <x:v>6.56</x:v>
      </x:c>
      <x:c r="Y17" s="61" t="n">
        <x:v>6.72</x:v>
      </x:c>
      <x:c r="Z17" s="61" t="n">
        <x:v>6.9</x:v>
      </x:c>
      <x:c r="AA17" s="61" t="n">
        <x:v>7.05</x:v>
      </x:c>
      <x:c r="AB17" s="61" t="n">
        <x:v>7.23</x:v>
      </x:c>
      <x:c r="AC17" s="61" t="n">
        <x:v>7.44</x:v>
      </x:c>
      <x:c r="AD17" s="61" t="n">
        <x:v>7.62</x:v>
      </x:c>
      <x:c r="AE17" s="61" t="n">
        <x:v>7.8</x:v>
      </x:c>
      <x:c r="AF17" s="61" t="n">
        <x:v>8.01</x:v>
      </x:c>
      <x:c r="AG17" s="61" t="n">
        <x:v>8.19</x:v>
      </x:c>
      <x:c r="AH17" s="61" t="n">
        <x:v>8.36</x:v>
      </x:c>
      <x:c r="AI17" s="61" t="n">
        <x:v>8.52</x:v>
      </x:c>
      <x:c r="AJ17" s="61" t="n">
        <x:v>8.72</x:v>
      </x:c>
      <x:c r="AK17" s="61" t="n">
        <x:v>8.87</x:v>
      </x:c>
      <x:c r="AL17" s="61" t="n">
        <x:v>9.05</x:v>
      </x:c>
      <x:c r="AM17" s="61" t="n">
        <x:v>9.16</x:v>
      </x:c>
      <x:c r="AN17" s="61" t="n">
        <x:v>9.32</x:v>
      </x:c>
      <x:c r="AO17" s="61" t="n">
        <x:v>9.49</x:v>
      </x:c>
      <x:c r="AP17" s="61" t="n">
        <x:v>9.62</x:v>
      </x:c>
      <x:c r="AQ17" s="61" t="n">
        <x:v>9.77</x:v>
      </x:c>
      <x:c r="AR17" s="61" t="n">
        <x:v>9.84</x:v>
      </x:c>
      <x:c r="AS17" s="61" t="n">
        <x:v>9.99</x:v>
      </x:c>
      <x:c r="AT17" s="61" t="n">
        <x:v>10.1</x:v>
      </x:c>
      <x:c r="AU17" s="40" t="n">
        <x:f>IF(OR('설정'!$E$8&gt;'설정'!$F$8,COUNT(H17:AT17)=0),"",MIN(BE17:CQ17))</x:f>
        <x:v>6.29</x:v>
      </x:c>
      <x:c r="AV17" s="40" t="n">
        <x:f>IF(AU17="","",SUMIFS($BE$5:$CQ$5,BE17:CQ17,AU17)/COUNTIFS(BE17:CQ17,AU17))</x:f>
        <x:v>480</x:v>
      </x:c>
      <x:c r="AW17" s="40" t="n">
        <x:f>IF(OR('설정'!$E$8&gt;'설정'!$F$8,COUNT(H17:AT17)=0),"",MAX(BE17:CQ17))</x:f>
        <x:v>7.62</x:v>
      </x:c>
      <x:c r="AX17" s="40" t="n">
        <x:f>IF(AW17="","",SUMIFS($BE$5:$CQ$5,BE17:CQ17,AW17)/COUNTIFS(BE17:CQ17,AW17))</x:f>
        <x:v>430</x:v>
      </x:c>
      <x:c r="AY17" s="66"/>
      <x:c r="AZ17" s="38" t="n">
        <x:f>IF(AY17&lt;&gt;"",AY17,IF('설정'!$C$8="최소",AV17,AX17))</x:f>
        <x:v>480</x:v>
      </x:c>
      <x:c r="BA17" s="39" t="n">
        <x:f>IF(AZ17="","",IF(OR(AZ17&lt;'굴절률'!$A$6,AZ17&gt;'굴절률'!$A$44),"",IF(COUNTIFS('굴절률'!$A$6:$A$44,AZ17)&gt;0,INDEX('굴절률'!$D$6:$D$44,MATCH(AZ17,'굴절률'!$A$6:$A$44,0)),INDEX('굴절률'!$D$6:$D$44,MATCH(AZ17,'굴절률'!$A$6:$A$44,1))+(AZ17-INDEX('굴절률'!$A$6:$A$44,MATCH(AZ17,'굴절률'!$A$6:$A$44,1)))*(INDEX('굴절률'!$D$6:$D$44,MATCH(AZ17,'굴절률'!$A$6:$A$44,1)+1)-INDEX('굴절률'!$D$6:$D$44,MATCH(AZ17,'굴절률'!$A$6:$A$44,1)))/(INDEX('굴절률'!$A$6:$A$44,MATCH(AZ17,'굴절률'!$A$6:$A$44,1)+1)-INDEX('굴절률'!$A$6:$A$44,MATCH(AZ17,'굴절률'!$A$6:$A$44,1))))))</x:f>
        <x:v>1.47069</x:v>
      </x:c>
      <x:c r="BB17" s="39" t="n">
        <x:f>IF(BA17="","",COS(ASIN(SIN(RADIANS('설정'!$G$8))/BA17)))</x:f>
        <x:v>1</x:v>
      </x:c>
      <x:c r="BC17" s="40" t="n">
        <x:f>IF(OR(AZ17="",BA17="",BB17=""),"",IF('설정'!$C$8="최소",(2*'설정'!$D$8-1)*AZ17/(4*BA17*BB17),'설정'!$D$8*AZ17/(2*BA17*BB17)))</x:f>
        <x:v>81.59435367072598</x:v>
      </x:c>
      <x:c r="BD17" s="42" t="str">
        <x:f>IF(COUNT(H17:AT17)=0,"입력 필요",IF(COUNT(H17:AT17)&lt;&gt;39,"데이터 점검",IF(OR('설정'!$E$8&gt;'설정'!$F$8,'설정'!$E$8&lt;360,'설정'!$F$8&gt;740),"검색 범위 오류",IF(AY17&lt;&gt;"","수동 파장",IF(OR(AZ17='설정'!$E$8,AZ17='설정'!$F$8),"경계 극값 확인",IF(COUNTIFS(H17:AT17,IF('설정'!$C$8="최소",AU17,AW17),$H$5:$AT$5,"&gt;="&amp;'설정'!$E$8,$H$5:$AT$5,"&lt;="&amp;'설정'!$F$8)&gt;1,"복수 극값 평균","완료"))))))</x:f>
        <x:v>완료</x:v>
      </x:c>
      <x:c r="BE17" s="71" t="str">
        <x:f>IF(AND(BE$5&gt;='설정'!$E$8,BE$5&lt;='설정'!$F$8),H17,"")</x:f>
      </x:c>
      <x:c r="BF17" s="71" t="str">
        <x:f>IF(AND(BF$5&gt;='설정'!$E$8,BF$5&lt;='설정'!$F$8),I17,"")</x:f>
      </x:c>
      <x:c r="BG17" s="71" t="str">
        <x:f>IF(AND(BG$5&gt;='설정'!$E$8,BG$5&lt;='설정'!$F$8),J17,"")</x:f>
      </x:c>
      <x:c r="BH17" s="71" t="str">
        <x:f>IF(AND(BH$5&gt;='설정'!$E$8,BH$5&lt;='설정'!$F$8),K17,"")</x:f>
      </x:c>
      <x:c r="BI17" s="71" t="str">
        <x:f>IF(AND(BI$5&gt;='설정'!$E$8,BI$5&lt;='설정'!$F$8),L17,"")</x:f>
      </x:c>
      <x:c r="BJ17" s="71" t="str">
        <x:f>IF(AND(BJ$5&gt;='설정'!$E$8,BJ$5&lt;='설정'!$F$8),M17,"")</x:f>
      </x:c>
      <x:c r="BK17" s="71" t="str">
        <x:f>IF(AND(BK$5&gt;='설정'!$E$8,BK$5&lt;='설정'!$F$8),N17,"")</x:f>
      </x:c>
      <x:c r="BL17" s="71" t="n">
        <x:f>IF(AND(BL$5&gt;='설정'!$E$8,BL$5&lt;='설정'!$F$8),O17,"")</x:f>
        <x:v>7.62</x:v>
      </x:c>
      <x:c r="BM17" s="71" t="n">
        <x:f>IF(AND(BM$5&gt;='설정'!$E$8,BM$5&lt;='설정'!$F$8),P17,"")</x:f>
        <x:v>7.14</x:v>
      </x:c>
      <x:c r="BN17" s="71" t="n">
        <x:f>IF(AND(BN$5&gt;='설정'!$E$8,BN$5&lt;='설정'!$F$8),Q17,"")</x:f>
        <x:v>6.79</x:v>
      </x:c>
      <x:c r="BO17" s="71" t="n">
        <x:f>IF(AND(BO$5&gt;='설정'!$E$8,BO$5&lt;='설정'!$F$8),R17,"")</x:f>
        <x:v>6.52</x:v>
      </x:c>
      <x:c r="BP17" s="71" t="n">
        <x:f>IF(AND(BP$5&gt;='설정'!$E$8,BP$5&lt;='설정'!$F$8),S17,"")</x:f>
        <x:v>6.38</x:v>
      </x:c>
      <x:c r="BQ17" s="71" t="n">
        <x:f>IF(AND(BQ$5&gt;='설정'!$E$8,BQ$5&lt;='설정'!$F$8),T17,"")</x:f>
        <x:v>6.29</x:v>
      </x:c>
      <x:c r="BR17" s="71" t="n">
        <x:f>IF(AND(BR$5&gt;='설정'!$E$8,BR$5&lt;='설정'!$F$8),U17,"")</x:f>
        <x:v>6.34</x:v>
      </x:c>
      <x:c r="BS17" s="71" t="n">
        <x:f>IF(AND(BS$5&gt;='설정'!$E$8,BS$5&lt;='설정'!$F$8),V17,"")</x:f>
        <x:v>6.38</x:v>
      </x:c>
      <x:c r="BT17" s="71" t="n">
        <x:f>IF(AND(BT$5&gt;='설정'!$E$8,BT$5&lt;='설정'!$F$8),W17,"")</x:f>
        <x:v>6.46</x:v>
      </x:c>
      <x:c r="BU17" s="71" t="n">
        <x:f>IF(AND(BU$5&gt;='설정'!$E$8,BU$5&lt;='설정'!$F$8),X17,"")</x:f>
        <x:v>6.56</x:v>
      </x:c>
      <x:c r="BV17" s="71" t="n">
        <x:f>IF(AND(BV$5&gt;='설정'!$E$8,BV$5&lt;='설정'!$F$8),Y17,"")</x:f>
        <x:v>6.72</x:v>
      </x:c>
      <x:c r="BW17" s="71" t="n">
        <x:f>IF(AND(BW$5&gt;='설정'!$E$8,BW$5&lt;='설정'!$F$8),Z17,"")</x:f>
        <x:v>6.9</x:v>
      </x:c>
      <x:c r="BX17" s="71" t="n">
        <x:f>IF(AND(BX$5&gt;='설정'!$E$8,BX$5&lt;='설정'!$F$8),AA17,"")</x:f>
        <x:v>7.05</x:v>
      </x:c>
      <x:c r="BY17" s="71" t="str">
        <x:f>IF(AND(BY$5&gt;='설정'!$E$8,BY$5&lt;='설정'!$F$8),AB17,"")</x:f>
      </x:c>
      <x:c r="BZ17" s="71" t="str">
        <x:f>IF(AND(BZ$5&gt;='설정'!$E$8,BZ$5&lt;='설정'!$F$8),AC17,"")</x:f>
      </x:c>
      <x:c r="CA17" s="71" t="str">
        <x:f>IF(AND(CA$5&gt;='설정'!$E$8,CA$5&lt;='설정'!$F$8),AD17,"")</x:f>
      </x:c>
      <x:c r="CB17" s="71" t="str">
        <x:f>IF(AND(CB$5&gt;='설정'!$E$8,CB$5&lt;='설정'!$F$8),AE17,"")</x:f>
      </x:c>
      <x:c r="CC17" s="71" t="str">
        <x:f>IF(AND(CC$5&gt;='설정'!$E$8,CC$5&lt;='설정'!$F$8),AF17,"")</x:f>
      </x:c>
      <x:c r="CD17" s="71" t="str">
        <x:f>IF(AND(CD$5&gt;='설정'!$E$8,CD$5&lt;='설정'!$F$8),AG17,"")</x:f>
      </x:c>
      <x:c r="CE17" s="71" t="str">
        <x:f>IF(AND(CE$5&gt;='설정'!$E$8,CE$5&lt;='설정'!$F$8),AH17,"")</x:f>
      </x:c>
      <x:c r="CF17" s="71" t="str">
        <x:f>IF(AND(CF$5&gt;='설정'!$E$8,CF$5&lt;='설정'!$F$8),AI17,"")</x:f>
      </x:c>
      <x:c r="CG17" s="71" t="str">
        <x:f>IF(AND(CG$5&gt;='설정'!$E$8,CG$5&lt;='설정'!$F$8),AJ17,"")</x:f>
      </x:c>
      <x:c r="CH17" s="71" t="str">
        <x:f>IF(AND(CH$5&gt;='설정'!$E$8,CH$5&lt;='설정'!$F$8),AK17,"")</x:f>
      </x:c>
      <x:c r="CI17" s="71" t="str">
        <x:f>IF(AND(CI$5&gt;='설정'!$E$8,CI$5&lt;='설정'!$F$8),AL17,"")</x:f>
      </x:c>
      <x:c r="CJ17" s="71" t="str">
        <x:f>IF(AND(CJ$5&gt;='설정'!$E$8,CJ$5&lt;='설정'!$F$8),AM17,"")</x:f>
      </x:c>
      <x:c r="CK17" s="71" t="str">
        <x:f>IF(AND(CK$5&gt;='설정'!$E$8,CK$5&lt;='설정'!$F$8),AN17,"")</x:f>
      </x:c>
      <x:c r="CL17" s="71" t="str">
        <x:f>IF(AND(CL$5&gt;='설정'!$E$8,CL$5&lt;='설정'!$F$8),AO17,"")</x:f>
      </x:c>
      <x:c r="CM17" s="71" t="str">
        <x:f>IF(AND(CM$5&gt;='설정'!$E$8,CM$5&lt;='설정'!$F$8),AP17,"")</x:f>
      </x:c>
      <x:c r="CN17" s="71" t="str">
        <x:f>IF(AND(CN$5&gt;='설정'!$E$8,CN$5&lt;='설정'!$F$8),AQ17,"")</x:f>
      </x:c>
      <x:c r="CO17" s="71" t="str">
        <x:f>IF(AND(CO$5&gt;='설정'!$E$8,CO$5&lt;='설정'!$F$8),AR17,"")</x:f>
      </x:c>
      <x:c r="CP17" s="71" t="str">
        <x:f>IF(AND(CP$5&gt;='설정'!$E$8,CP$5&lt;='설정'!$F$8),AS17,"")</x:f>
      </x:c>
      <x:c r="CQ17" s="71" t="str">
        <x:f>IF(AND(CQ$5&gt;='설정'!$E$8,CQ$5&lt;='설정'!$F$8),AT17,"")</x:f>
      </x:c>
    </x:row>
    <x:row r="18" ht="20" customHeight="1">
      <x:c r="A18" s="46" t="n">
        <x:v>13</x:v>
      </x:c>
      <x:c r="B18" s="44" t="str">
        <x:v>SiO2 균일도_13</x:v>
      </x:c>
      <x:c r="C18" s="61" t="n">
        <x:v>32.24</x:v>
      </x:c>
      <x:c r="D18" s="61" t="n">
        <x:v>4.34</x:v>
      </x:c>
      <x:c r="E18" s="61" t="n">
        <x:v>1.1</x:v>
      </x:c>
      <x:c r="F18" s="61" t="n">
        <x:v>7.19</x:v>
      </x:c>
      <x:c r="G18" s="44" t="str">
        <x:v>SCI</x:v>
      </x:c>
      <x:c r="H18" s="61" t="n">
        <x:v>16.74</x:v>
      </x:c>
      <x:c r="I18" s="61" t="n">
        <x:v>14.45</x:v>
      </x:c>
      <x:c r="J18" s="61" t="n">
        <x:v>12.76</x:v>
      </x:c>
      <x:c r="K18" s="61" t="n">
        <x:v>11.25</x:v>
      </x:c>
      <x:c r="L18" s="61" t="n">
        <x:v>10.03</x:v>
      </x:c>
      <x:c r="M18" s="61" t="n">
        <x:v>9.02</x:v>
      </x:c>
      <x:c r="N18" s="61" t="n">
        <x:v>8.14</x:v>
      </x:c>
      <x:c r="O18" s="61" t="n">
        <x:v>7.53</x:v>
      </x:c>
      <x:c r="P18" s="61" t="n">
        <x:v>7.05</x:v>
      </x:c>
      <x:c r="Q18" s="61" t="n">
        <x:v>6.73</x:v>
      </x:c>
      <x:c r="R18" s="61" t="n">
        <x:v>6.47</x:v>
      </x:c>
      <x:c r="S18" s="61" t="n">
        <x:v>6.35</x:v>
      </x:c>
      <x:c r="T18" s="61" t="n">
        <x:v>6.28</x:v>
      </x:c>
      <x:c r="U18" s="61" t="n">
        <x:v>6.32</x:v>
      </x:c>
      <x:c r="V18" s="61" t="n">
        <x:v>6.38</x:v>
      </x:c>
      <x:c r="W18" s="61" t="n">
        <x:v>6.44</x:v>
      </x:c>
      <x:c r="X18" s="61" t="n">
        <x:v>6.58</x:v>
      </x:c>
      <x:c r="Y18" s="61" t="n">
        <x:v>6.72</x:v>
      </x:c>
      <x:c r="Z18" s="61" t="n">
        <x:v>6.88</x:v>
      </x:c>
      <x:c r="AA18" s="61" t="n">
        <x:v>7.05</x:v>
      </x:c>
      <x:c r="AB18" s="61" t="n">
        <x:v>7.22</x:v>
      </x:c>
      <x:c r="AC18" s="61" t="n">
        <x:v>7.43</x:v>
      </x:c>
      <x:c r="AD18" s="61" t="n">
        <x:v>7.61</x:v>
      </x:c>
      <x:c r="AE18" s="61" t="n">
        <x:v>7.77</x:v>
      </x:c>
      <x:c r="AF18" s="61" t="n">
        <x:v>7.99</x:v>
      </x:c>
      <x:c r="AG18" s="61" t="n">
        <x:v>8.18</x:v>
      </x:c>
      <x:c r="AH18" s="61" t="n">
        <x:v>8.33</x:v>
      </x:c>
      <x:c r="AI18" s="61" t="n">
        <x:v>8.48</x:v>
      </x:c>
      <x:c r="AJ18" s="61" t="n">
        <x:v>8.7</x:v>
      </x:c>
      <x:c r="AK18" s="61" t="n">
        <x:v>8.82</x:v>
      </x:c>
      <x:c r="AL18" s="61" t="n">
        <x:v>8.99</x:v>
      </x:c>
      <x:c r="AM18" s="61" t="n">
        <x:v>9.11</x:v>
      </x:c>
      <x:c r="AN18" s="61" t="n">
        <x:v>9.27</x:v>
      </x:c>
      <x:c r="AO18" s="61" t="n">
        <x:v>9.44</x:v>
      </x:c>
      <x:c r="AP18" s="61" t="n">
        <x:v>9.58</x:v>
      </x:c>
      <x:c r="AQ18" s="61" t="n">
        <x:v>9.69</x:v>
      </x:c>
      <x:c r="AR18" s="61" t="n">
        <x:v>9.76</x:v>
      </x:c>
      <x:c r="AS18" s="61" t="n">
        <x:v>9.89</x:v>
      </x:c>
      <x:c r="AT18" s="61" t="n">
        <x:v>10.02</x:v>
      </x:c>
      <x:c r="AU18" s="40" t="n">
        <x:f>IF(OR('설정'!$E$8&gt;'설정'!$F$8,COUNT(H18:AT18)=0),"",MIN(BE18:CQ18))</x:f>
        <x:v>6.28</x:v>
      </x:c>
      <x:c r="AV18" s="40" t="n">
        <x:f>IF(AU18="","",SUMIFS($BE$5:$CQ$5,BE18:CQ18,AU18)/COUNTIFS(BE18:CQ18,AU18))</x:f>
        <x:v>480</x:v>
      </x:c>
      <x:c r="AW18" s="40" t="n">
        <x:f>IF(OR('설정'!$E$8&gt;'설정'!$F$8,COUNT(H18:AT18)=0),"",MAX(BE18:CQ18))</x:f>
        <x:v>7.53</x:v>
      </x:c>
      <x:c r="AX18" s="40" t="n">
        <x:f>IF(AW18="","",SUMIFS($BE$5:$CQ$5,BE18:CQ18,AW18)/COUNTIFS(BE18:CQ18,AW18))</x:f>
        <x:v>430</x:v>
      </x:c>
      <x:c r="AY18" s="66"/>
      <x:c r="AZ18" s="38" t="n">
        <x:f>IF(AY18&lt;&gt;"",AY18,IF('설정'!$C$8="최소",AV18,AX18))</x:f>
        <x:v>480</x:v>
      </x:c>
      <x:c r="BA18" s="39" t="n">
        <x:f>IF(AZ18="","",IF(OR(AZ18&lt;'굴절률'!$A$6,AZ18&gt;'굴절률'!$A$44),"",IF(COUNTIFS('굴절률'!$A$6:$A$44,AZ18)&gt;0,INDEX('굴절률'!$D$6:$D$44,MATCH(AZ18,'굴절률'!$A$6:$A$44,0)),INDEX('굴절률'!$D$6:$D$44,MATCH(AZ18,'굴절률'!$A$6:$A$44,1))+(AZ18-INDEX('굴절률'!$A$6:$A$44,MATCH(AZ18,'굴절률'!$A$6:$A$44,1)))*(INDEX('굴절률'!$D$6:$D$44,MATCH(AZ18,'굴절률'!$A$6:$A$44,1)+1)-INDEX('굴절률'!$D$6:$D$44,MATCH(AZ18,'굴절률'!$A$6:$A$44,1)))/(INDEX('굴절률'!$A$6:$A$44,MATCH(AZ18,'굴절률'!$A$6:$A$44,1)+1)-INDEX('굴절률'!$A$6:$A$44,MATCH(AZ18,'굴절률'!$A$6:$A$44,1))))))</x:f>
        <x:v>1.47069</x:v>
      </x:c>
      <x:c r="BB18" s="39" t="n">
        <x:f>IF(BA18="","",COS(ASIN(SIN(RADIANS('설정'!$G$8))/BA18)))</x:f>
        <x:v>1</x:v>
      </x:c>
      <x:c r="BC18" s="40" t="n">
        <x:f>IF(OR(AZ18="",BA18="",BB18=""),"",IF('설정'!$C$8="최소",(2*'설정'!$D$8-1)*AZ18/(4*BA18*BB18),'설정'!$D$8*AZ18/(2*BA18*BB18)))</x:f>
        <x:v>81.59435367072598</x:v>
      </x:c>
      <x:c r="BD18" s="42" t="str">
        <x:f>IF(COUNT(H18:AT18)=0,"입력 필요",IF(COUNT(H18:AT18)&lt;&gt;39,"데이터 점검",IF(OR('설정'!$E$8&gt;'설정'!$F$8,'설정'!$E$8&lt;360,'설정'!$F$8&gt;740),"검색 범위 오류",IF(AY18&lt;&gt;"","수동 파장",IF(OR(AZ18='설정'!$E$8,AZ18='설정'!$F$8),"경계 극값 확인",IF(COUNTIFS(H18:AT18,IF('설정'!$C$8="최소",AU18,AW18),$H$5:$AT$5,"&gt;="&amp;'설정'!$E$8,$H$5:$AT$5,"&lt;="&amp;'설정'!$F$8)&gt;1,"복수 극값 평균","완료"))))))</x:f>
        <x:v>완료</x:v>
      </x:c>
      <x:c r="BE18" s="71" t="str">
        <x:f>IF(AND(BE$5&gt;='설정'!$E$8,BE$5&lt;='설정'!$F$8),H18,"")</x:f>
      </x:c>
      <x:c r="BF18" s="71" t="str">
        <x:f>IF(AND(BF$5&gt;='설정'!$E$8,BF$5&lt;='설정'!$F$8),I18,"")</x:f>
      </x:c>
      <x:c r="BG18" s="71" t="str">
        <x:f>IF(AND(BG$5&gt;='설정'!$E$8,BG$5&lt;='설정'!$F$8),J18,"")</x:f>
      </x:c>
      <x:c r="BH18" s="71" t="str">
        <x:f>IF(AND(BH$5&gt;='설정'!$E$8,BH$5&lt;='설정'!$F$8),K18,"")</x:f>
      </x:c>
      <x:c r="BI18" s="71" t="str">
        <x:f>IF(AND(BI$5&gt;='설정'!$E$8,BI$5&lt;='설정'!$F$8),L18,"")</x:f>
      </x:c>
      <x:c r="BJ18" s="71" t="str">
        <x:f>IF(AND(BJ$5&gt;='설정'!$E$8,BJ$5&lt;='설정'!$F$8),M18,"")</x:f>
      </x:c>
      <x:c r="BK18" s="71" t="str">
        <x:f>IF(AND(BK$5&gt;='설정'!$E$8,BK$5&lt;='설정'!$F$8),N18,"")</x:f>
      </x:c>
      <x:c r="BL18" s="71" t="n">
        <x:f>IF(AND(BL$5&gt;='설정'!$E$8,BL$5&lt;='설정'!$F$8),O18,"")</x:f>
        <x:v>7.53</x:v>
      </x:c>
      <x:c r="BM18" s="71" t="n">
        <x:f>IF(AND(BM$5&gt;='설정'!$E$8,BM$5&lt;='설정'!$F$8),P18,"")</x:f>
        <x:v>7.05</x:v>
      </x:c>
      <x:c r="BN18" s="71" t="n">
        <x:f>IF(AND(BN$5&gt;='설정'!$E$8,BN$5&lt;='설정'!$F$8),Q18,"")</x:f>
        <x:v>6.73</x:v>
      </x:c>
      <x:c r="BO18" s="71" t="n">
        <x:f>IF(AND(BO$5&gt;='설정'!$E$8,BO$5&lt;='설정'!$F$8),R18,"")</x:f>
        <x:v>6.47</x:v>
      </x:c>
      <x:c r="BP18" s="71" t="n">
        <x:f>IF(AND(BP$5&gt;='설정'!$E$8,BP$5&lt;='설정'!$F$8),S18,"")</x:f>
        <x:v>6.35</x:v>
      </x:c>
      <x:c r="BQ18" s="71" t="n">
        <x:f>IF(AND(BQ$5&gt;='설정'!$E$8,BQ$5&lt;='설정'!$F$8),T18,"")</x:f>
        <x:v>6.28</x:v>
      </x:c>
      <x:c r="BR18" s="71" t="n">
        <x:f>IF(AND(BR$5&gt;='설정'!$E$8,BR$5&lt;='설정'!$F$8),U18,"")</x:f>
        <x:v>6.32</x:v>
      </x:c>
      <x:c r="BS18" s="71" t="n">
        <x:f>IF(AND(BS$5&gt;='설정'!$E$8,BS$5&lt;='설정'!$F$8),V18,"")</x:f>
        <x:v>6.38</x:v>
      </x:c>
      <x:c r="BT18" s="71" t="n">
        <x:f>IF(AND(BT$5&gt;='설정'!$E$8,BT$5&lt;='설정'!$F$8),W18,"")</x:f>
        <x:v>6.44</x:v>
      </x:c>
      <x:c r="BU18" s="71" t="n">
        <x:f>IF(AND(BU$5&gt;='설정'!$E$8,BU$5&lt;='설정'!$F$8),X18,"")</x:f>
        <x:v>6.58</x:v>
      </x:c>
      <x:c r="BV18" s="71" t="n">
        <x:f>IF(AND(BV$5&gt;='설정'!$E$8,BV$5&lt;='설정'!$F$8),Y18,"")</x:f>
        <x:v>6.72</x:v>
      </x:c>
      <x:c r="BW18" s="71" t="n">
        <x:f>IF(AND(BW$5&gt;='설정'!$E$8,BW$5&lt;='설정'!$F$8),Z18,"")</x:f>
        <x:v>6.88</x:v>
      </x:c>
      <x:c r="BX18" s="71" t="n">
        <x:f>IF(AND(BX$5&gt;='설정'!$E$8,BX$5&lt;='설정'!$F$8),AA18,"")</x:f>
        <x:v>7.05</x:v>
      </x:c>
      <x:c r="BY18" s="71" t="str">
        <x:f>IF(AND(BY$5&gt;='설정'!$E$8,BY$5&lt;='설정'!$F$8),AB18,"")</x:f>
      </x:c>
      <x:c r="BZ18" s="71" t="str">
        <x:f>IF(AND(BZ$5&gt;='설정'!$E$8,BZ$5&lt;='설정'!$F$8),AC18,"")</x:f>
      </x:c>
      <x:c r="CA18" s="71" t="str">
        <x:f>IF(AND(CA$5&gt;='설정'!$E$8,CA$5&lt;='설정'!$F$8),AD18,"")</x:f>
      </x:c>
      <x:c r="CB18" s="71" t="str">
        <x:f>IF(AND(CB$5&gt;='설정'!$E$8,CB$5&lt;='설정'!$F$8),AE18,"")</x:f>
      </x:c>
      <x:c r="CC18" s="71" t="str">
        <x:f>IF(AND(CC$5&gt;='설정'!$E$8,CC$5&lt;='설정'!$F$8),AF18,"")</x:f>
      </x:c>
      <x:c r="CD18" s="71" t="str">
        <x:f>IF(AND(CD$5&gt;='설정'!$E$8,CD$5&lt;='설정'!$F$8),AG18,"")</x:f>
      </x:c>
      <x:c r="CE18" s="71" t="str">
        <x:f>IF(AND(CE$5&gt;='설정'!$E$8,CE$5&lt;='설정'!$F$8),AH18,"")</x:f>
      </x:c>
      <x:c r="CF18" s="71" t="str">
        <x:f>IF(AND(CF$5&gt;='설정'!$E$8,CF$5&lt;='설정'!$F$8),AI18,"")</x:f>
      </x:c>
      <x:c r="CG18" s="71" t="str">
        <x:f>IF(AND(CG$5&gt;='설정'!$E$8,CG$5&lt;='설정'!$F$8),AJ18,"")</x:f>
      </x:c>
      <x:c r="CH18" s="71" t="str">
        <x:f>IF(AND(CH$5&gt;='설정'!$E$8,CH$5&lt;='설정'!$F$8),AK18,"")</x:f>
      </x:c>
      <x:c r="CI18" s="71" t="str">
        <x:f>IF(AND(CI$5&gt;='설정'!$E$8,CI$5&lt;='설정'!$F$8),AL18,"")</x:f>
      </x:c>
      <x:c r="CJ18" s="71" t="str">
        <x:f>IF(AND(CJ$5&gt;='설정'!$E$8,CJ$5&lt;='설정'!$F$8),AM18,"")</x:f>
      </x:c>
      <x:c r="CK18" s="71" t="str">
        <x:f>IF(AND(CK$5&gt;='설정'!$E$8,CK$5&lt;='설정'!$F$8),AN18,"")</x:f>
      </x:c>
      <x:c r="CL18" s="71" t="str">
        <x:f>IF(AND(CL$5&gt;='설정'!$E$8,CL$5&lt;='설정'!$F$8),AO18,"")</x:f>
      </x:c>
      <x:c r="CM18" s="71" t="str">
        <x:f>IF(AND(CM$5&gt;='설정'!$E$8,CM$5&lt;='설정'!$F$8),AP18,"")</x:f>
      </x:c>
      <x:c r="CN18" s="71" t="str">
        <x:f>IF(AND(CN$5&gt;='설정'!$E$8,CN$5&lt;='설정'!$F$8),AQ18,"")</x:f>
      </x:c>
      <x:c r="CO18" s="71" t="str">
        <x:f>IF(AND(CO$5&gt;='설정'!$E$8,CO$5&lt;='설정'!$F$8),AR18,"")</x:f>
      </x:c>
      <x:c r="CP18" s="71" t="str">
        <x:f>IF(AND(CP$5&gt;='설정'!$E$8,CP$5&lt;='설정'!$F$8),AS18,"")</x:f>
      </x:c>
      <x:c r="CQ18" s="71" t="str">
        <x:f>IF(AND(CQ$5&gt;='설정'!$E$8,CQ$5&lt;='설정'!$F$8),AT18,"")</x:f>
      </x:c>
    </x:row>
    <x:row r="20">
      <x:c r="A20" s="73" t="str">
        <x:v>참고: 원본의 13-1 재측정 행은 13개 본 위치 결과에서 제외했습니다.</x:v>
      </x:c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/>
      <x:c r="AE20" s="73"/>
      <x:c r="AF20" s="73"/>
      <x:c r="AG20" s="73"/>
      <x:c r="AH20" s="73"/>
      <x:c r="AI20" s="73"/>
      <x:c r="AJ20" s="73"/>
      <x:c r="AK20" s="73"/>
      <x:c r="AL20" s="73"/>
      <x:c r="AM20" s="73"/>
      <x:c r="AN20" s="73"/>
      <x:c r="AO20" s="73"/>
      <x:c r="AP20" s="73"/>
      <x:c r="AQ20" s="73"/>
      <x:c r="AR20" s="73"/>
      <x:c r="AS20" s="73"/>
      <x:c r="AT20" s="73"/>
      <x:c r="AU20" s="73"/>
      <x:c r="AV20" s="73"/>
      <x:c r="AW20" s="73"/>
      <x:c r="AX20" s="73"/>
      <x:c r="AY20" s="73"/>
      <x:c r="AZ20" s="73"/>
      <x:c r="BA20" s="73"/>
      <x:c r="BB20" s="73"/>
      <x:c r="BC20" s="73"/>
      <x:c r="BD20" s="73"/>
    </x:row>
  </x:sheetData>
  <x:conditionalFormatting sqref="BD6:BD18">
    <x:cfRule type="containsText" dxfId="15" priority="1" operator="containsText" text="오류"/>
    <x:cfRule type="containsText" dxfId="16" priority="2" operator="containsText" text="필요"/>
    <x:cfRule type="containsText" dxfId="17" priority="3" operator="containsText" text="확인"/>
    <x:cfRule type="containsText" dxfId="18" priority="4" operator="containsText" text="복수"/>
    <x:cfRule type="containsText" dxfId="19" priority="5" operator="containsText" text="완료"/>
  </x:conditionalFormatting>
  <x:dataValidations count="1">
    <x:dataValidation type="whole" operator="between" sqref="AY6:AY18">
      <x:formula1>360</x:formula1>
      <x:formula2>740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</x:cols>
  <x:sheetData>
    <x:row r="2" ht="24" customHeight="1">
      <x:c r="A2" s="2" t="str">
        <x:v>파장별 굴절률</x:v>
      </x:c>
      <x:c r="B2" s="2"/>
      <x:c r="C2" s="2"/>
      <x:c r="D2" s="2"/>
    </x:row>
    <x:row r="3">
      <x:c r="A3" s="5" t="str">
        <x:v>출처: 굴절률.xlsx (PET_TOYOBO, Nb2O5, SiO2 시트). 파장 단위는 문맥상 nm로 표기했습니다.</x:v>
      </x:c>
      <x:c r="B3" s="5"/>
      <x:c r="C3" s="5"/>
      <x:c r="D3" s="5"/>
    </x:row>
    <x:row r="5">
      <x:c r="A5" s="24" t="str">
        <x:v>파장(nm)</x:v>
      </x:c>
      <x:c r="B5" s="25" t="str">
        <x:v>PET_TOYOBO n</x:v>
      </x:c>
      <x:c r="C5" s="25" t="str">
        <x:v>Nb2O5 n</x:v>
      </x:c>
      <x:c r="D5" s="26" t="str">
        <x:v>SiO2 n</x:v>
      </x:c>
    </x:row>
    <x:row r="6">
      <x:c r="A6" s="33" t="n">
        <x:v>360</x:v>
      </x:c>
      <x:c r="B6" s="35" t="n">
        <x:v>1.88059</x:v>
      </x:c>
      <x:c r="C6" s="35" t="n">
        <x:v>2.56694</x:v>
      </x:c>
      <x:c r="D6" s="35" t="n">
        <x:v>1.47675</x:v>
      </x:c>
    </x:row>
    <x:row r="7">
      <x:c r="A7" s="37" t="n">
        <x:v>370</x:v>
      </x:c>
      <x:c r="B7" s="39" t="n">
        <x:v>1.87048</x:v>
      </x:c>
      <x:c r="C7" s="39" t="n">
        <x:v>2.52705</x:v>
      </x:c>
      <x:c r="D7" s="39" t="n">
        <x:v>1.47599</x:v>
      </x:c>
    </x:row>
    <x:row r="8">
      <x:c r="A8" s="37" t="n">
        <x:v>380</x:v>
      </x:c>
      <x:c r="B8" s="39" t="n">
        <x:v>1.86197</x:v>
      </x:c>
      <x:c r="C8" s="39" t="n">
        <x:v>2.49684</x:v>
      </x:c>
      <x:c r="D8" s="39" t="n">
        <x:v>1.47529</x:v>
      </x:c>
    </x:row>
    <x:row r="9">
      <x:c r="A9" s="37" t="n">
        <x:v>390</x:v>
      </x:c>
      <x:c r="B9" s="39" t="n">
        <x:v>1.85469</x:v>
      </x:c>
      <x:c r="C9" s="39" t="n">
        <x:v>2.47232</x:v>
      </x:c>
      <x:c r="D9" s="39" t="n">
        <x:v>1.47465</x:v>
      </x:c>
    </x:row>
    <x:row r="10">
      <x:c r="A10" s="37" t="n">
        <x:v>400</x:v>
      </x:c>
      <x:c r="B10" s="39" t="n">
        <x:v>1.8484</x:v>
      </x:c>
      <x:c r="C10" s="39" t="n">
        <x:v>2.45182</x:v>
      </x:c>
      <x:c r="D10" s="39" t="n">
        <x:v>1.47406</x:v>
      </x:c>
    </x:row>
    <x:row r="11">
      <x:c r="A11" s="37" t="n">
        <x:v>410</x:v>
      </x:c>
      <x:c r="B11" s="39" t="n">
        <x:v>1.84289</x:v>
      </x:c>
      <x:c r="C11" s="39" t="n">
        <x:v>2.43435</x:v>
      </x:c>
      <x:c r="D11" s="39" t="n">
        <x:v>1.47352</x:v>
      </x:c>
    </x:row>
    <x:row r="12">
      <x:c r="A12" s="37" t="n">
        <x:v>420</x:v>
      </x:c>
      <x:c r="B12" s="39" t="n">
        <x:v>1.83805</x:v>
      </x:c>
      <x:c r="C12" s="39" t="n">
        <x:v>2.41926</x:v>
      </x:c>
      <x:c r="D12" s="39" t="n">
        <x:v>1.47302</x:v>
      </x:c>
    </x:row>
    <x:row r="13">
      <x:c r="A13" s="37" t="n">
        <x:v>430</x:v>
      </x:c>
      <x:c r="B13" s="39" t="n">
        <x:v>1.83374</x:v>
      </x:c>
      <x:c r="C13" s="39" t="n">
        <x:v>2.40605</x:v>
      </x:c>
      <x:c r="D13" s="39" t="n">
        <x:v>1.47255</x:v>
      </x:c>
    </x:row>
    <x:row r="14">
      <x:c r="A14" s="37" t="n">
        <x:v>440</x:v>
      </x:c>
      <x:c r="B14" s="39" t="n">
        <x:v>1.82989</x:v>
      </x:c>
      <x:c r="C14" s="39" t="n">
        <x:v>2.3944</x:v>
      </x:c>
      <x:c r="D14" s="39" t="n">
        <x:v>1.47213</x:v>
      </x:c>
    </x:row>
    <x:row r="15">
      <x:c r="A15" s="37" t="n">
        <x:v>450</x:v>
      </x:c>
      <x:c r="B15" s="39" t="n">
        <x:v>1.82644</x:v>
      </x:c>
      <x:c r="C15" s="39" t="n">
        <x:v>2.38404</x:v>
      </x:c>
      <x:c r="D15" s="39" t="n">
        <x:v>1.47173</x:v>
      </x:c>
    </x:row>
    <x:row r="16">
      <x:c r="A16" s="37" t="n">
        <x:v>460</x:v>
      </x:c>
      <x:c r="B16" s="39" t="n">
        <x:v>1.82332</x:v>
      </x:c>
      <x:c r="C16" s="39" t="n">
        <x:v>2.37476</x:v>
      </x:c>
      <x:c r="D16" s="39" t="n">
        <x:v>1.47136</x:v>
      </x:c>
    </x:row>
    <x:row r="17">
      <x:c r="A17" s="37" t="n">
        <x:v>470</x:v>
      </x:c>
      <x:c r="B17" s="39" t="n">
        <x:v>1.82049</x:v>
      </x:c>
      <x:c r="C17" s="39" t="n">
        <x:v>2.36641</x:v>
      </x:c>
      <x:c r="D17" s="39" t="n">
        <x:v>1.47101</x:v>
      </x:c>
    </x:row>
    <x:row r="18">
      <x:c r="A18" s="37" t="n">
        <x:v>480</x:v>
      </x:c>
      <x:c r="B18" s="39" t="n">
        <x:v>1.81792</x:v>
      </x:c>
      <x:c r="C18" s="39" t="n">
        <x:v>2.35885</x:v>
      </x:c>
      <x:c r="D18" s="39" t="n">
        <x:v>1.47069</x:v>
      </x:c>
    </x:row>
    <x:row r="19">
      <x:c r="A19" s="37" t="n">
        <x:v>490</x:v>
      </x:c>
      <x:c r="B19" s="39" t="n">
        <x:v>1.81556</x:v>
      </x:c>
      <x:c r="C19" s="39" t="n">
        <x:v>2.35198</x:v>
      </x:c>
      <x:c r="D19" s="39" t="n">
        <x:v>1.47039</x:v>
      </x:c>
    </x:row>
    <x:row r="20">
      <x:c r="A20" s="37" t="n">
        <x:v>500</x:v>
      </x:c>
      <x:c r="B20" s="39" t="n">
        <x:v>1.8134</x:v>
      </x:c>
      <x:c r="C20" s="39" t="n">
        <x:v>2.3457</x:v>
      </x:c>
      <x:c r="D20" s="39" t="n">
        <x:v>1.47011</x:v>
      </x:c>
    </x:row>
    <x:row r="21">
      <x:c r="A21" s="37" t="n">
        <x:v>510</x:v>
      </x:c>
      <x:c r="B21" s="39" t="n">
        <x:v>1.81142</x:v>
      </x:c>
      <x:c r="C21" s="39" t="n">
        <x:v>2.33996</x:v>
      </x:c>
      <x:c r="D21" s="39" t="n">
        <x:v>1.46984</x:v>
      </x:c>
    </x:row>
    <x:row r="22">
      <x:c r="A22" s="37" t="n">
        <x:v>520</x:v>
      </x:c>
      <x:c r="B22" s="39" t="n">
        <x:v>1.80959</x:v>
      </x:c>
      <x:c r="C22" s="39" t="n">
        <x:v>2.33468</x:v>
      </x:c>
      <x:c r="D22" s="39" t="n">
        <x:v>1.46959</x:v>
      </x:c>
    </x:row>
    <x:row r="23">
      <x:c r="A23" s="37" t="n">
        <x:v>530</x:v>
      </x:c>
      <x:c r="B23" s="39" t="n">
        <x:v>1.80789</x:v>
      </x:c>
      <x:c r="C23" s="39" t="n">
        <x:v>2.32981</x:v>
      </x:c>
      <x:c r="D23" s="39" t="n">
        <x:v>1.46936</x:v>
      </x:c>
    </x:row>
    <x:row r="24">
      <x:c r="A24" s="37" t="n">
        <x:v>540</x:v>
      </x:c>
      <x:c r="B24" s="39" t="n">
        <x:v>1.80632</x:v>
      </x:c>
      <x:c r="C24" s="39" t="n">
        <x:v>2.3253</x:v>
      </x:c>
      <x:c r="D24" s="39" t="n">
        <x:v>1.46914</x:v>
      </x:c>
    </x:row>
    <x:row r="25">
      <x:c r="A25" s="37" t="n">
        <x:v>550</x:v>
      </x:c>
      <x:c r="B25" s="39" t="n">
        <x:v>1.80486</x:v>
      </x:c>
      <x:c r="C25" s="39" t="n">
        <x:v>2.32113</x:v>
      </x:c>
      <x:c r="D25" s="39" t="n">
        <x:v>1.46893</x:v>
      </x:c>
    </x:row>
    <x:row r="26">
      <x:c r="A26" s="37" t="n">
        <x:v>560</x:v>
      </x:c>
      <x:c r="B26" s="39" t="n">
        <x:v>1.8035</x:v>
      </x:c>
      <x:c r="C26" s="39" t="n">
        <x:v>2.31725</x:v>
      </x:c>
      <x:c r="D26" s="39" t="n">
        <x:v>1.46873</x:v>
      </x:c>
    </x:row>
    <x:row r="27">
      <x:c r="A27" s="37" t="n">
        <x:v>570</x:v>
      </x:c>
      <x:c r="B27" s="39" t="n">
        <x:v>1.80223</x:v>
      </x:c>
      <x:c r="C27" s="39" t="n">
        <x:v>2.31364</x:v>
      </x:c>
      <x:c r="D27" s="39" t="n">
        <x:v>1.46855</x:v>
      </x:c>
    </x:row>
    <x:row r="28">
      <x:c r="A28" s="37" t="n">
        <x:v>580</x:v>
      </x:c>
      <x:c r="B28" s="39" t="n">
        <x:v>1.80104</x:v>
      </x:c>
      <x:c r="C28" s="39" t="n">
        <x:v>2.31026</x:v>
      </x:c>
      <x:c r="D28" s="39" t="n">
        <x:v>1.46837</x:v>
      </x:c>
    </x:row>
    <x:row r="29">
      <x:c r="A29" s="37" t="n">
        <x:v>590</x:v>
      </x:c>
      <x:c r="B29" s="39" t="n">
        <x:v>1.79993</x:v>
      </x:c>
      <x:c r="C29" s="39" t="n">
        <x:v>2.30711</x:v>
      </x:c>
      <x:c r="D29" s="39" t="n">
        <x:v>1.46821</x:v>
      </x:c>
    </x:row>
    <x:row r="30">
      <x:c r="A30" s="37" t="n">
        <x:v>600</x:v>
      </x:c>
      <x:c r="B30" s="39" t="n">
        <x:v>1.79889</x:v>
      </x:c>
      <x:c r="C30" s="39" t="n">
        <x:v>2.30416</x:v>
      </x:c>
      <x:c r="D30" s="39" t="n">
        <x:v>1.46805</x:v>
      </x:c>
    </x:row>
    <x:row r="31">
      <x:c r="A31" s="37" t="n">
        <x:v>610</x:v>
      </x:c>
      <x:c r="B31" s="39" t="n">
        <x:v>1.79791</x:v>
      </x:c>
      <x:c r="C31" s="39" t="n">
        <x:v>2.30139</x:v>
      </x:c>
      <x:c r="D31" s="39" t="n">
        <x:v>1.4679</x:v>
      </x:c>
    </x:row>
    <x:row r="32">
      <x:c r="A32" s="37" t="n">
        <x:v>620</x:v>
      </x:c>
      <x:c r="B32" s="39" t="n">
        <x:v>1.79699</x:v>
      </x:c>
      <x:c r="C32" s="39" t="n">
        <x:v>2.29878</x:v>
      </x:c>
      <x:c r="D32" s="39" t="n">
        <x:v>1.46776</x:v>
      </x:c>
    </x:row>
    <x:row r="33">
      <x:c r="A33" s="37" t="n">
        <x:v>630</x:v>
      </x:c>
      <x:c r="B33" s="39" t="n">
        <x:v>1.79612</x:v>
      </x:c>
      <x:c r="C33" s="39" t="n">
        <x:v>2.29633</x:v>
      </x:c>
      <x:c r="D33" s="39" t="n">
        <x:v>1.46762</x:v>
      </x:c>
    </x:row>
    <x:row r="34">
      <x:c r="A34" s="37" t="n">
        <x:v>640</x:v>
      </x:c>
      <x:c r="B34" s="39" t="n">
        <x:v>1.7953</x:v>
      </x:c>
      <x:c r="C34" s="39" t="n">
        <x:v>2.29402</x:v>
      </x:c>
      <x:c r="D34" s="39" t="n">
        <x:v>1.46749</x:v>
      </x:c>
    </x:row>
    <x:row r="35">
      <x:c r="A35" s="37" t="n">
        <x:v>650</x:v>
      </x:c>
      <x:c r="B35" s="39" t="n">
        <x:v>1.79452</x:v>
      </x:c>
      <x:c r="C35" s="39" t="n">
        <x:v>2.29184</x:v>
      </x:c>
      <x:c r="D35" s="39" t="n">
        <x:v>1.46737</x:v>
      </x:c>
    </x:row>
    <x:row r="36">
      <x:c r="A36" s="37" t="n">
        <x:v>660</x:v>
      </x:c>
      <x:c r="B36" s="39" t="n">
        <x:v>1.79379</x:v>
      </x:c>
      <x:c r="C36" s="39" t="n">
        <x:v>2.28978</x:v>
      </x:c>
      <x:c r="D36" s="39" t="n">
        <x:v>1.46725</x:v>
      </x:c>
    </x:row>
    <x:row r="37">
      <x:c r="A37" s="37" t="n">
        <x:v>670</x:v>
      </x:c>
      <x:c r="B37" s="39" t="n">
        <x:v>1.79309</x:v>
      </x:c>
      <x:c r="C37" s="39" t="n">
        <x:v>2.28783</x:v>
      </x:c>
      <x:c r="D37" s="39" t="n">
        <x:v>1.46714</x:v>
      </x:c>
    </x:row>
    <x:row r="38">
      <x:c r="A38" s="37" t="n">
        <x:v>680</x:v>
      </x:c>
      <x:c r="B38" s="39" t="n">
        <x:v>1.79243</x:v>
      </x:c>
      <x:c r="C38" s="39" t="n">
        <x:v>2.28598</x:v>
      </x:c>
      <x:c r="D38" s="39" t="n">
        <x:v>1.46703</x:v>
      </x:c>
    </x:row>
    <x:row r="39">
      <x:c r="A39" s="37" t="n">
        <x:v>690</x:v>
      </x:c>
      <x:c r="B39" s="39" t="n">
        <x:v>1.79181</x:v>
      </x:c>
      <x:c r="C39" s="39" t="n">
        <x:v>2.28422</x:v>
      </x:c>
      <x:c r="D39" s="39" t="n">
        <x:v>1.46693</x:v>
      </x:c>
    </x:row>
    <x:row r="40">
      <x:c r="A40" s="37" t="n">
        <x:v>700</x:v>
      </x:c>
      <x:c r="B40" s="39" t="n">
        <x:v>1.79121</x:v>
      </x:c>
      <x:c r="C40" s="39" t="n">
        <x:v>2.28256</x:v>
      </x:c>
      <x:c r="D40" s="39" t="n">
        <x:v>1.46684</x:v>
      </x:c>
    </x:row>
    <x:row r="41">
      <x:c r="A41" s="37" t="n">
        <x:v>710</x:v>
      </x:c>
      <x:c r="B41" s="39" t="n">
        <x:v>1.79065</x:v>
      </x:c>
      <x:c r="C41" s="39" t="n">
        <x:v>2.28097</x:v>
      </x:c>
      <x:c r="D41" s="39" t="n">
        <x:v>1.46674</x:v>
      </x:c>
    </x:row>
    <x:row r="42">
      <x:c r="A42" s="37" t="n">
        <x:v>720</x:v>
      </x:c>
      <x:c r="B42" s="39" t="n">
        <x:v>1.79011</x:v>
      </x:c>
      <x:c r="C42" s="39" t="n">
        <x:v>2.27947</x:v>
      </x:c>
      <x:c r="D42" s="39" t="n">
        <x:v>1.46665</x:v>
      </x:c>
    </x:row>
    <x:row r="43">
      <x:c r="A43" s="37" t="n">
        <x:v>730</x:v>
      </x:c>
      <x:c r="B43" s="39" t="n">
        <x:v>1.7896</x:v>
      </x:c>
      <x:c r="C43" s="39" t="n">
        <x:v>2.27803</x:v>
      </x:c>
      <x:c r="D43" s="39" t="n">
        <x:v>1.46657</x:v>
      </x:c>
    </x:row>
    <x:row r="44">
      <x:c r="A44" s="37" t="n">
        <x:v>740</x:v>
      </x:c>
      <x:c r="B44" s="39" t="n">
        <x:v>1.78911</x:v>
      </x:c>
      <x:c r="C44" s="39" t="n">
        <x:v>2.27667</x:v>
      </x:c>
      <x:c r="D44" s="39" t="n">
        <x:v>1.46649</x:v>
      </x:c>
    </x:row>
    <x:row r="46">
      <x:c r="A46" s="73" t="str">
        <x:v>10 nm 격자 사이 파장은 인접 두 값의 선형 보간을 사용하며 360–740 nm 밖은 계산하지 않습니다.</x:v>
      </x:c>
      <x:c r="B46" s="73"/>
      <x:c r="C46" s="73"/>
      <x:c r="D46" s="73"/>
    </x:row>
  </x:sheetData>
  <x:pageMargins left="0.7" right="0.7" top="0.75" bottom="0.75" header="0.3" footer="0.3"/>
</x:worksheet>
</file>
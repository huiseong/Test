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unarianmetal\Desktop\Test\"/>
    </mc:Choice>
  </mc:AlternateContent>
  <xr:revisionPtr revIDLastSave="0" documentId="13_ncr:1_{84E30F29-0724-4965-B35F-C40FA096DCD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1" i="1" l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<sst xmlns="http://schemas.openxmlformats.org/spreadsheetml/2006/main" count="1013" uniqueCount="52">
  <si>
    <t>주문일자</t>
  </si>
  <si>
    <t>생산법인</t>
  </si>
  <si>
    <t>수출대상국</t>
  </si>
  <si>
    <t>카테고리</t>
  </si>
  <si>
    <t>제품명</t>
  </si>
  <si>
    <t>판매채널</t>
  </si>
  <si>
    <t>수량</t>
  </si>
  <si>
    <t>단가(USD)</t>
  </si>
  <si>
    <t>매출(USD)</t>
  </si>
  <si>
    <t>이익(USD)</t>
  </si>
  <si>
    <t>마케팅비(USD)</t>
  </si>
  <si>
    <t>불량률(%)</t>
  </si>
  <si>
    <t>납기준수율(%)</t>
  </si>
  <si>
    <t>베트남 생산법인</t>
  </si>
  <si>
    <t>호주</t>
  </si>
  <si>
    <t>생활가전</t>
  </si>
  <si>
    <t>공기청정기</t>
  </si>
  <si>
    <t>온라인몰</t>
  </si>
  <si>
    <t>태국 생산법인</t>
  </si>
  <si>
    <t>프랑스</t>
  </si>
  <si>
    <t>생활용품</t>
  </si>
  <si>
    <t>LED 데스크 조명</t>
  </si>
  <si>
    <t>오프라인 매장</t>
  </si>
  <si>
    <t>독일</t>
  </si>
  <si>
    <t>주방용품</t>
  </si>
  <si>
    <t>스테인리스 냄비</t>
  </si>
  <si>
    <t>도매</t>
  </si>
  <si>
    <t>캐나다</t>
  </si>
  <si>
    <t>밀폐용기 세트</t>
  </si>
  <si>
    <t>싱가포르</t>
  </si>
  <si>
    <t>텀블러</t>
  </si>
  <si>
    <t>수납함</t>
  </si>
  <si>
    <t>해외 대리점</t>
  </si>
  <si>
    <t>한국 생산법인</t>
  </si>
  <si>
    <t>일본</t>
  </si>
  <si>
    <t>패션잡화</t>
  </si>
  <si>
    <t>지갑</t>
  </si>
  <si>
    <t>여행용 캐리어</t>
  </si>
  <si>
    <t>욕실 매트</t>
  </si>
  <si>
    <t>인도</t>
  </si>
  <si>
    <t>전자제품</t>
  </si>
  <si>
    <t>블루투스 스피커</t>
  </si>
  <si>
    <t>전기주전자</t>
  </si>
  <si>
    <t>B2B</t>
  </si>
  <si>
    <t>베트남</t>
  </si>
  <si>
    <t>로봇청소기</t>
  </si>
  <si>
    <t>중국 생산법인</t>
  </si>
  <si>
    <t>무선 이어폰</t>
  </si>
  <si>
    <t>미국</t>
  </si>
  <si>
    <t>영국</t>
  </si>
  <si>
    <t>스마트워치</t>
  </si>
  <si>
    <t>백팩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</si>
</sst>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2" x14ac:knownFonts="1">
    <font>
      <sz val="11"/>
      <color theme="1"/>
      <name val="맑은 고딕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3C4977A-D3B7-465B-9FAA-616450AA3094}">
  <we:reference id="wa200005502" version="1.0.0.13" store="ko-KR" storeType="OMEX"/>
  <we:alternateReferences>
    <we:reference id="wa200005502" version="1.0.0.13" store="wa200005502" storeType="OMEX"/>
  </we:alternateReferences>
  <we:properties>
    <we:property name="docId" value="&quot;3nQDUOzC9BPB3CL5RGnVF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workbookViewId="0">
      <pane ySplit="1" topLeftCell="A2" activePane="bottomLeft" state="frozen"/>
      <selection pane="bottomLeft" activeCell="O7" sqref="O7"/>
    </sheetView>
  </sheetViews>
  <sheetFormatPr defaultRowHeight="17.399999999999999" x14ac:dyDescent="0.4"/>
  <cols>
    <col min="1" max="1" width="10.8984375" bestFit="1" customWidth="1"/>
    <col min="2" max="2" width="15" bestFit="1" customWidth="1"/>
    <col min="3" max="3" width="10.3984375" bestFit="1" customWidth="1"/>
    <col min="4" max="4" width="8.59765625" bestFit="1" customWidth="1"/>
    <col min="5" max="5" width="15.09765625" bestFit="1" customWidth="1"/>
    <col min="6" max="6" width="13" bestFit="1" customWidth="1"/>
    <col min="7" max="7" width="5" bestFit="1" customWidth="1"/>
    <col min="8" max="8" width="9.59765625" bestFit="1" customWidth="1"/>
    <col min="9" max="9" width="10.19921875" bestFit="1" customWidth="1"/>
    <col min="10" max="10" width="9.59765625" bestFit="1" customWidth="1"/>
    <col min="11" max="11" width="13.5" bestFit="1" customWidth="1"/>
    <col min="12" max="12" width="9.296875" bestFit="1" customWidth="1"/>
    <col min="13" max="13" width="13.19921875" bestFit="1" customWidth="1"/>
  </cols>
  <sheetData>
    <row r="1" spans="1:13" ht="19.95" customHeigh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9.95" customHeight="1" x14ac:dyDescent="0.4">
      <c r="A2" s="1">
        <v>46023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2">
        <v>61</v>
      </c>
      <c r="H2" s="3">
        <v>190.5</v>
      </c>
      <c r="I2" s="3">
        <f t="shared" ref="I2:I33" si="0">ROUND(G2*H2,2)</f>
        <v>11620.5</v>
      </c>
      <c r="J2" s="3">
        <v>3050.27</v>
      </c>
      <c r="K2" s="3">
        <v>597.21</v>
      </c>
      <c r="L2" s="4">
        <v>2.76E-2</v>
      </c>
      <c r="M2" s="4">
        <v>0.92600000000000005</v>
      </c>
    </row>
    <row r="3" spans="1:13" ht="19.95" customHeight="1" x14ac:dyDescent="0.4">
      <c r="A3" s="1">
        <v>46023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s="2">
        <v>41</v>
      </c>
      <c r="H3" s="3">
        <v>30.69</v>
      </c>
      <c r="I3" s="3">
        <f t="shared" si="0"/>
        <v>1258.29</v>
      </c>
      <c r="J3" s="3">
        <v>267.05</v>
      </c>
      <c r="K3" s="3">
        <v>39.49</v>
      </c>
      <c r="L3" s="4">
        <v>1.49E-2</v>
      </c>
      <c r="M3" s="4">
        <v>0.997</v>
      </c>
    </row>
    <row r="4" spans="1:13" ht="19.95" customHeight="1" x14ac:dyDescent="0.4">
      <c r="A4" s="1">
        <v>46024</v>
      </c>
      <c r="B4" t="s">
        <v>18</v>
      </c>
      <c r="C4" t="s">
        <v>23</v>
      </c>
      <c r="D4" t="s">
        <v>24</v>
      </c>
      <c r="E4" t="s">
        <v>25</v>
      </c>
      <c r="F4" t="s">
        <v>26</v>
      </c>
      <c r="G4" s="2">
        <v>183</v>
      </c>
      <c r="H4" s="3">
        <v>50.77</v>
      </c>
      <c r="I4" s="3">
        <f t="shared" si="0"/>
        <v>9290.91</v>
      </c>
      <c r="J4" s="3">
        <v>2378.91</v>
      </c>
      <c r="K4" s="3">
        <v>332.66</v>
      </c>
      <c r="L4" s="4">
        <v>2.1000000000000001E-2</v>
      </c>
      <c r="M4" s="4">
        <v>0.94920000000000004</v>
      </c>
    </row>
    <row r="5" spans="1:13" ht="19.95" customHeight="1" x14ac:dyDescent="0.4">
      <c r="A5" s="1">
        <v>46025</v>
      </c>
      <c r="B5" t="s">
        <v>18</v>
      </c>
      <c r="C5" t="s">
        <v>27</v>
      </c>
      <c r="D5" t="s">
        <v>24</v>
      </c>
      <c r="E5" t="s">
        <v>28</v>
      </c>
      <c r="F5" t="s">
        <v>17</v>
      </c>
      <c r="G5" s="2">
        <v>159</v>
      </c>
      <c r="H5" s="3">
        <v>27.66</v>
      </c>
      <c r="I5" s="3">
        <f t="shared" si="0"/>
        <v>4397.9399999999996</v>
      </c>
      <c r="J5" s="3">
        <v>560.92999999999995</v>
      </c>
      <c r="K5" s="3">
        <v>234.69</v>
      </c>
      <c r="L5" s="4">
        <v>1.66E-2</v>
      </c>
      <c r="M5" s="4">
        <v>0.94279999999999997</v>
      </c>
    </row>
    <row r="6" spans="1:13" ht="19.95" customHeight="1" x14ac:dyDescent="0.4">
      <c r="A6" s="1">
        <v>46025</v>
      </c>
      <c r="B6" t="s">
        <v>13</v>
      </c>
      <c r="C6" t="s">
        <v>29</v>
      </c>
      <c r="D6" t="s">
        <v>24</v>
      </c>
      <c r="E6" t="s">
        <v>30</v>
      </c>
      <c r="F6" t="s">
        <v>17</v>
      </c>
      <c r="G6" s="2">
        <v>100</v>
      </c>
      <c r="H6" s="3">
        <v>21.26</v>
      </c>
      <c r="I6" s="3">
        <f t="shared" si="0"/>
        <v>2126</v>
      </c>
      <c r="J6" s="3">
        <v>597.98</v>
      </c>
      <c r="K6" s="3">
        <v>170.54</v>
      </c>
      <c r="L6" s="4">
        <v>2.8199999999999999E-2</v>
      </c>
      <c r="M6" s="4">
        <v>0.94630000000000003</v>
      </c>
    </row>
    <row r="7" spans="1:13" ht="19.95" customHeight="1" x14ac:dyDescent="0.4">
      <c r="A7" s="1">
        <v>46027</v>
      </c>
      <c r="B7" t="s">
        <v>18</v>
      </c>
      <c r="C7" t="s">
        <v>14</v>
      </c>
      <c r="D7" t="s">
        <v>20</v>
      </c>
      <c r="E7" t="s">
        <v>31</v>
      </c>
      <c r="F7" t="s">
        <v>32</v>
      </c>
      <c r="G7" s="2">
        <v>193</v>
      </c>
      <c r="H7" s="3">
        <v>14.45</v>
      </c>
      <c r="I7" s="3">
        <f t="shared" si="0"/>
        <v>2788.85</v>
      </c>
      <c r="J7" s="3">
        <v>438.63</v>
      </c>
      <c r="K7" s="3">
        <v>136.57</v>
      </c>
      <c r="L7" s="4">
        <v>3.15E-2</v>
      </c>
      <c r="M7" s="4">
        <v>0.96940000000000004</v>
      </c>
    </row>
    <row r="8" spans="1:13" ht="19.95" customHeight="1" x14ac:dyDescent="0.4">
      <c r="A8" s="1">
        <v>46028</v>
      </c>
      <c r="B8" t="s">
        <v>33</v>
      </c>
      <c r="C8" t="s">
        <v>34</v>
      </c>
      <c r="D8" t="s">
        <v>35</v>
      </c>
      <c r="E8" t="s">
        <v>36</v>
      </c>
      <c r="F8" t="s">
        <v>26</v>
      </c>
      <c r="G8" s="2">
        <v>781</v>
      </c>
      <c r="H8" s="3">
        <v>33.01</v>
      </c>
      <c r="I8" s="3">
        <f t="shared" si="0"/>
        <v>25780.81</v>
      </c>
      <c r="J8" s="3">
        <v>6276.22</v>
      </c>
      <c r="K8" s="3">
        <v>727.43</v>
      </c>
      <c r="L8" s="4">
        <v>2.47E-2</v>
      </c>
      <c r="M8" s="4">
        <v>0.99970000000000003</v>
      </c>
    </row>
    <row r="9" spans="1:13" ht="19.95" customHeight="1" x14ac:dyDescent="0.4">
      <c r="A9" s="1">
        <v>46031</v>
      </c>
      <c r="B9" t="s">
        <v>18</v>
      </c>
      <c r="C9" t="s">
        <v>23</v>
      </c>
      <c r="D9" t="s">
        <v>35</v>
      </c>
      <c r="E9" t="s">
        <v>37</v>
      </c>
      <c r="F9" t="s">
        <v>22</v>
      </c>
      <c r="G9" s="2">
        <v>276</v>
      </c>
      <c r="H9" s="3">
        <v>113.96</v>
      </c>
      <c r="I9" s="3">
        <f t="shared" si="0"/>
        <v>31452.959999999999</v>
      </c>
      <c r="J9" s="3">
        <v>5837.73</v>
      </c>
      <c r="K9" s="3">
        <v>893.07</v>
      </c>
      <c r="L9" s="4">
        <v>1.2800000000000001E-2</v>
      </c>
      <c r="M9" s="4">
        <v>0.96909999999999996</v>
      </c>
    </row>
    <row r="10" spans="1:13" ht="19.95" customHeight="1" x14ac:dyDescent="0.4">
      <c r="A10" s="1">
        <v>46034</v>
      </c>
      <c r="B10" t="s">
        <v>33</v>
      </c>
      <c r="C10" t="s">
        <v>19</v>
      </c>
      <c r="D10" t="s">
        <v>20</v>
      </c>
      <c r="E10" t="s">
        <v>38</v>
      </c>
      <c r="F10" t="s">
        <v>32</v>
      </c>
      <c r="G10" s="2">
        <v>71</v>
      </c>
      <c r="H10" s="3">
        <v>14.16</v>
      </c>
      <c r="I10" s="3">
        <f t="shared" si="0"/>
        <v>1005.36</v>
      </c>
      <c r="J10" s="3">
        <v>313.70999999999998</v>
      </c>
      <c r="K10" s="3">
        <v>21.98</v>
      </c>
      <c r="L10" s="4">
        <v>3.0499999999999999E-2</v>
      </c>
      <c r="M10" s="4">
        <v>0.97829999999999995</v>
      </c>
    </row>
    <row r="11" spans="1:13" ht="19.95" customHeight="1" x14ac:dyDescent="0.4">
      <c r="A11" s="1">
        <v>46036</v>
      </c>
      <c r="B11" t="s">
        <v>13</v>
      </c>
      <c r="C11" t="s">
        <v>39</v>
      </c>
      <c r="D11" t="s">
        <v>24</v>
      </c>
      <c r="E11" t="s">
        <v>30</v>
      </c>
      <c r="F11" t="s">
        <v>26</v>
      </c>
      <c r="G11" s="2">
        <v>109</v>
      </c>
      <c r="H11" s="3">
        <v>19.09</v>
      </c>
      <c r="I11" s="3">
        <f t="shared" si="0"/>
        <v>2080.81</v>
      </c>
      <c r="J11" s="3">
        <v>667.25</v>
      </c>
      <c r="K11" s="3">
        <v>64.78</v>
      </c>
      <c r="L11" s="4">
        <v>3.0700000000000002E-2</v>
      </c>
      <c r="M11" s="4">
        <v>0.9103</v>
      </c>
    </row>
    <row r="12" spans="1:13" ht="19.95" customHeight="1" x14ac:dyDescent="0.4">
      <c r="A12" s="1">
        <v>46037</v>
      </c>
      <c r="B12" t="s">
        <v>13</v>
      </c>
      <c r="C12" t="s">
        <v>14</v>
      </c>
      <c r="D12" t="s">
        <v>20</v>
      </c>
      <c r="E12" t="s">
        <v>38</v>
      </c>
      <c r="F12" t="s">
        <v>26</v>
      </c>
      <c r="G12" s="2">
        <v>942</v>
      </c>
      <c r="H12" s="3">
        <v>14.56</v>
      </c>
      <c r="I12" s="3">
        <f t="shared" si="0"/>
        <v>13715.52</v>
      </c>
      <c r="J12" s="3">
        <v>4205.28</v>
      </c>
      <c r="K12" s="3">
        <v>190.78</v>
      </c>
      <c r="L12" s="4">
        <v>3.3300000000000003E-2</v>
      </c>
      <c r="M12" s="4">
        <v>0.92079999999999995</v>
      </c>
    </row>
    <row r="13" spans="1:13" ht="19.95" customHeight="1" x14ac:dyDescent="0.4">
      <c r="A13" s="1">
        <v>46039</v>
      </c>
      <c r="B13" t="s">
        <v>13</v>
      </c>
      <c r="C13" t="s">
        <v>39</v>
      </c>
      <c r="D13" t="s">
        <v>40</v>
      </c>
      <c r="E13" t="s">
        <v>41</v>
      </c>
      <c r="F13" t="s">
        <v>26</v>
      </c>
      <c r="G13" s="2">
        <v>510</v>
      </c>
      <c r="H13" s="3">
        <v>68.48</v>
      </c>
      <c r="I13" s="3">
        <f t="shared" si="0"/>
        <v>34924.800000000003</v>
      </c>
      <c r="J13" s="3">
        <v>7621.52</v>
      </c>
      <c r="K13" s="3">
        <v>1697.9</v>
      </c>
      <c r="L13" s="4">
        <v>3.3599999999999998E-2</v>
      </c>
      <c r="M13" s="4">
        <v>0.93679999999999997</v>
      </c>
    </row>
    <row r="14" spans="1:13" ht="19.95" customHeight="1" x14ac:dyDescent="0.4">
      <c r="A14" s="1">
        <v>46040</v>
      </c>
      <c r="B14" t="s">
        <v>13</v>
      </c>
      <c r="C14" t="s">
        <v>23</v>
      </c>
      <c r="D14" t="s">
        <v>15</v>
      </c>
      <c r="E14" t="s">
        <v>42</v>
      </c>
      <c r="F14" t="s">
        <v>43</v>
      </c>
      <c r="G14" s="2">
        <v>851</v>
      </c>
      <c r="H14" s="3">
        <v>38.729999999999997</v>
      </c>
      <c r="I14" s="3">
        <f t="shared" si="0"/>
        <v>32959.230000000003</v>
      </c>
      <c r="J14" s="3">
        <v>11132.69</v>
      </c>
      <c r="K14" s="3">
        <v>818.43</v>
      </c>
      <c r="L14" s="4">
        <v>1.4E-2</v>
      </c>
      <c r="M14" s="4">
        <v>0.99960000000000004</v>
      </c>
    </row>
    <row r="15" spans="1:13" ht="19.95" customHeight="1" x14ac:dyDescent="0.4">
      <c r="A15" s="1">
        <v>46040</v>
      </c>
      <c r="B15" t="s">
        <v>13</v>
      </c>
      <c r="C15" t="s">
        <v>44</v>
      </c>
      <c r="D15" t="s">
        <v>15</v>
      </c>
      <c r="E15" t="s">
        <v>45</v>
      </c>
      <c r="F15" t="s">
        <v>17</v>
      </c>
      <c r="G15" s="2">
        <v>77</v>
      </c>
      <c r="H15" s="3">
        <v>262.58</v>
      </c>
      <c r="I15" s="3">
        <f t="shared" si="0"/>
        <v>20218.66</v>
      </c>
      <c r="J15" s="3">
        <v>4663.1499999999996</v>
      </c>
      <c r="K15" s="3">
        <v>2111.06</v>
      </c>
      <c r="L15" s="4">
        <v>1.9199999999999998E-2</v>
      </c>
      <c r="M15" s="4">
        <v>0.92069999999999996</v>
      </c>
    </row>
    <row r="16" spans="1:13" ht="19.95" customHeight="1" x14ac:dyDescent="0.4">
      <c r="A16" s="1">
        <v>46040</v>
      </c>
      <c r="B16" t="s">
        <v>18</v>
      </c>
      <c r="C16" t="s">
        <v>14</v>
      </c>
      <c r="D16" t="s">
        <v>24</v>
      </c>
      <c r="E16" t="s">
        <v>25</v>
      </c>
      <c r="F16" t="s">
        <v>17</v>
      </c>
      <c r="G16" s="2">
        <v>42</v>
      </c>
      <c r="H16" s="3">
        <v>62.52</v>
      </c>
      <c r="I16" s="3">
        <f t="shared" si="0"/>
        <v>2625.84</v>
      </c>
      <c r="J16" s="3">
        <v>693.76</v>
      </c>
      <c r="K16" s="3">
        <v>233.26</v>
      </c>
      <c r="L16" s="4">
        <v>2.1399999999999999E-2</v>
      </c>
      <c r="M16" s="4">
        <v>0.94099999999999995</v>
      </c>
    </row>
    <row r="17" spans="1:13" ht="19.95" customHeight="1" x14ac:dyDescent="0.4">
      <c r="A17" s="1">
        <v>46044</v>
      </c>
      <c r="B17" t="s">
        <v>33</v>
      </c>
      <c r="C17" t="s">
        <v>19</v>
      </c>
      <c r="D17" t="s">
        <v>15</v>
      </c>
      <c r="E17" t="s">
        <v>42</v>
      </c>
      <c r="F17" t="s">
        <v>32</v>
      </c>
      <c r="G17" s="2">
        <v>115</v>
      </c>
      <c r="H17" s="3">
        <v>36.270000000000003</v>
      </c>
      <c r="I17" s="3">
        <f t="shared" si="0"/>
        <v>4171.05</v>
      </c>
      <c r="J17" s="3">
        <v>838.4</v>
      </c>
      <c r="K17" s="3">
        <v>72.28</v>
      </c>
      <c r="L17" s="4">
        <v>3.3700000000000001E-2</v>
      </c>
      <c r="M17" s="4">
        <v>0.94450000000000001</v>
      </c>
    </row>
    <row r="18" spans="1:13" ht="19.95" customHeight="1" x14ac:dyDescent="0.4">
      <c r="A18" s="1">
        <v>46048</v>
      </c>
      <c r="B18" t="s">
        <v>46</v>
      </c>
      <c r="C18" t="s">
        <v>34</v>
      </c>
      <c r="D18" t="s">
        <v>40</v>
      </c>
      <c r="E18" t="s">
        <v>47</v>
      </c>
      <c r="F18" t="s">
        <v>32</v>
      </c>
      <c r="G18" s="2">
        <v>62</v>
      </c>
      <c r="H18" s="3">
        <v>56.06</v>
      </c>
      <c r="I18" s="3">
        <f t="shared" si="0"/>
        <v>3475.72</v>
      </c>
      <c r="J18" s="3">
        <v>964.2</v>
      </c>
      <c r="K18" s="3">
        <v>48.56</v>
      </c>
      <c r="L18" s="4">
        <v>3.6400000000000002E-2</v>
      </c>
      <c r="M18" s="4">
        <v>0.9718</v>
      </c>
    </row>
    <row r="19" spans="1:13" ht="19.95" customHeight="1" x14ac:dyDescent="0.4">
      <c r="A19" s="1">
        <v>46049</v>
      </c>
      <c r="B19" t="s">
        <v>13</v>
      </c>
      <c r="C19" t="s">
        <v>48</v>
      </c>
      <c r="D19" t="s">
        <v>20</v>
      </c>
      <c r="E19" t="s">
        <v>31</v>
      </c>
      <c r="F19" t="s">
        <v>32</v>
      </c>
      <c r="G19" s="2">
        <v>177</v>
      </c>
      <c r="H19" s="3">
        <v>13.82</v>
      </c>
      <c r="I19" s="3">
        <f t="shared" si="0"/>
        <v>2446.14</v>
      </c>
      <c r="J19" s="3">
        <v>545.6</v>
      </c>
      <c r="K19" s="3">
        <v>45.67</v>
      </c>
      <c r="L19" s="4">
        <v>3.1800000000000002E-2</v>
      </c>
      <c r="M19" s="4">
        <v>0.90459999999999996</v>
      </c>
    </row>
    <row r="20" spans="1:13" ht="19.95" customHeight="1" x14ac:dyDescent="0.4">
      <c r="A20" s="1">
        <v>46049</v>
      </c>
      <c r="B20" t="s">
        <v>13</v>
      </c>
      <c r="C20" t="s">
        <v>23</v>
      </c>
      <c r="D20" t="s">
        <v>40</v>
      </c>
      <c r="E20" t="s">
        <v>47</v>
      </c>
      <c r="F20" t="s">
        <v>22</v>
      </c>
      <c r="G20" s="2">
        <v>42</v>
      </c>
      <c r="H20" s="3">
        <v>54.39</v>
      </c>
      <c r="I20" s="3">
        <f t="shared" si="0"/>
        <v>2284.38</v>
      </c>
      <c r="J20" s="3">
        <v>418.29</v>
      </c>
      <c r="K20" s="3">
        <v>93.07</v>
      </c>
      <c r="L20" s="4">
        <v>8.0999999999999996E-3</v>
      </c>
      <c r="M20" s="4">
        <v>0.96889999999999998</v>
      </c>
    </row>
    <row r="21" spans="1:13" ht="19.95" customHeight="1" x14ac:dyDescent="0.4">
      <c r="A21" s="1">
        <v>46050</v>
      </c>
      <c r="B21" t="s">
        <v>46</v>
      </c>
      <c r="C21" t="s">
        <v>49</v>
      </c>
      <c r="D21" t="s">
        <v>40</v>
      </c>
      <c r="E21" t="s">
        <v>50</v>
      </c>
      <c r="F21" t="s">
        <v>17</v>
      </c>
      <c r="G21" s="2">
        <v>90</v>
      </c>
      <c r="H21" s="3">
        <v>144.9</v>
      </c>
      <c r="I21" s="3">
        <f t="shared" si="0"/>
        <v>13041</v>
      </c>
      <c r="J21" s="3">
        <v>2365.9499999999998</v>
      </c>
      <c r="K21" s="3">
        <v>892.1</v>
      </c>
      <c r="L21" s="4">
        <v>3.6600000000000001E-2</v>
      </c>
      <c r="M21" s="4">
        <v>0.92359999999999998</v>
      </c>
    </row>
    <row r="22" spans="1:13" ht="19.95" customHeight="1" x14ac:dyDescent="0.4">
      <c r="A22" s="1">
        <v>46051</v>
      </c>
      <c r="B22" t="s">
        <v>33</v>
      </c>
      <c r="C22" t="s">
        <v>19</v>
      </c>
      <c r="D22" t="s">
        <v>40</v>
      </c>
      <c r="E22" t="s">
        <v>50</v>
      </c>
      <c r="F22" t="s">
        <v>17</v>
      </c>
      <c r="G22" s="2">
        <v>187</v>
      </c>
      <c r="H22" s="3">
        <v>130.33000000000001</v>
      </c>
      <c r="I22" s="3">
        <f t="shared" si="0"/>
        <v>24371.71</v>
      </c>
      <c r="J22" s="3">
        <v>3419.72</v>
      </c>
      <c r="K22" s="3">
        <v>2166.77</v>
      </c>
      <c r="L22" s="4">
        <v>1.41E-2</v>
      </c>
      <c r="M22" s="4">
        <v>0.88839999999999997</v>
      </c>
    </row>
    <row r="23" spans="1:13" ht="19.95" customHeight="1" x14ac:dyDescent="0.4">
      <c r="A23" s="1">
        <v>46059</v>
      </c>
      <c r="B23" t="s">
        <v>33</v>
      </c>
      <c r="C23" t="s">
        <v>48</v>
      </c>
      <c r="D23" t="s">
        <v>20</v>
      </c>
      <c r="E23" t="s">
        <v>21</v>
      </c>
      <c r="F23" t="s">
        <v>43</v>
      </c>
      <c r="G23" s="2">
        <v>731</v>
      </c>
      <c r="H23" s="3">
        <v>30.86</v>
      </c>
      <c r="I23" s="3">
        <f t="shared" si="0"/>
        <v>22558.66</v>
      </c>
      <c r="J23" s="3">
        <v>3650.1</v>
      </c>
      <c r="K23" s="3">
        <v>767.46</v>
      </c>
      <c r="L23" s="4">
        <v>1.17E-2</v>
      </c>
      <c r="M23" s="4">
        <v>0.96560000000000001</v>
      </c>
    </row>
    <row r="24" spans="1:13" ht="19.95" customHeight="1" x14ac:dyDescent="0.4">
      <c r="A24" s="1">
        <v>46059</v>
      </c>
      <c r="B24" t="s">
        <v>18</v>
      </c>
      <c r="C24" t="s">
        <v>39</v>
      </c>
      <c r="D24" t="s">
        <v>20</v>
      </c>
      <c r="E24" t="s">
        <v>38</v>
      </c>
      <c r="F24" t="s">
        <v>43</v>
      </c>
      <c r="G24" s="2">
        <v>954</v>
      </c>
      <c r="H24" s="3">
        <v>11.15</v>
      </c>
      <c r="I24" s="3">
        <f t="shared" si="0"/>
        <v>10637.1</v>
      </c>
      <c r="J24" s="3">
        <v>3716.7</v>
      </c>
      <c r="K24" s="3">
        <v>210.81</v>
      </c>
      <c r="L24" s="4">
        <v>3.8999999999999998E-3</v>
      </c>
      <c r="M24" s="4">
        <v>0.97</v>
      </c>
    </row>
    <row r="25" spans="1:13" ht="19.95" customHeight="1" x14ac:dyDescent="0.4">
      <c r="A25" s="1">
        <v>46060</v>
      </c>
      <c r="B25" t="s">
        <v>18</v>
      </c>
      <c r="C25" t="s">
        <v>34</v>
      </c>
      <c r="D25" t="s">
        <v>40</v>
      </c>
      <c r="E25" t="s">
        <v>50</v>
      </c>
      <c r="F25" t="s">
        <v>43</v>
      </c>
      <c r="G25" s="2">
        <v>775</v>
      </c>
      <c r="H25" s="3">
        <v>111.05</v>
      </c>
      <c r="I25" s="3">
        <f t="shared" si="0"/>
        <v>86063.75</v>
      </c>
      <c r="J25" s="3">
        <v>14336.92</v>
      </c>
      <c r="K25" s="3">
        <v>2655.96</v>
      </c>
      <c r="L25" s="4">
        <v>2.3199999999999998E-2</v>
      </c>
      <c r="M25" s="4">
        <v>0.89910000000000001</v>
      </c>
    </row>
    <row r="26" spans="1:13" ht="19.95" customHeight="1" x14ac:dyDescent="0.4">
      <c r="A26" s="1">
        <v>46063</v>
      </c>
      <c r="B26" t="s">
        <v>46</v>
      </c>
      <c r="C26" t="s">
        <v>27</v>
      </c>
      <c r="D26" t="s">
        <v>15</v>
      </c>
      <c r="E26" t="s">
        <v>16</v>
      </c>
      <c r="F26" t="s">
        <v>32</v>
      </c>
      <c r="G26" s="2">
        <v>27</v>
      </c>
      <c r="H26" s="3">
        <v>185.84</v>
      </c>
      <c r="I26" s="3">
        <f t="shared" si="0"/>
        <v>5017.68</v>
      </c>
      <c r="J26" s="3">
        <v>1597.61</v>
      </c>
      <c r="K26" s="3">
        <v>161.74</v>
      </c>
      <c r="L26" s="4">
        <v>3.61E-2</v>
      </c>
      <c r="M26" s="4">
        <v>0.95069999999999999</v>
      </c>
    </row>
    <row r="27" spans="1:13" ht="19.95" customHeight="1" x14ac:dyDescent="0.4">
      <c r="A27" s="1">
        <v>46063</v>
      </c>
      <c r="B27" t="s">
        <v>18</v>
      </c>
      <c r="C27" t="s">
        <v>19</v>
      </c>
      <c r="D27" t="s">
        <v>20</v>
      </c>
      <c r="E27" t="s">
        <v>38</v>
      </c>
      <c r="F27" t="s">
        <v>26</v>
      </c>
      <c r="G27" s="2">
        <v>676</v>
      </c>
      <c r="H27" s="3">
        <v>12.76</v>
      </c>
      <c r="I27" s="3">
        <f t="shared" si="0"/>
        <v>8625.76</v>
      </c>
      <c r="J27" s="3">
        <v>2721.22</v>
      </c>
      <c r="K27" s="3">
        <v>427.63</v>
      </c>
      <c r="L27" s="4">
        <v>2.3300000000000001E-2</v>
      </c>
      <c r="M27" s="4">
        <v>0.95199999999999996</v>
      </c>
    </row>
    <row r="28" spans="1:13" ht="19.95" customHeight="1" x14ac:dyDescent="0.4">
      <c r="A28" s="1">
        <v>46063</v>
      </c>
      <c r="B28" t="s">
        <v>13</v>
      </c>
      <c r="C28" t="s">
        <v>49</v>
      </c>
      <c r="D28" t="s">
        <v>40</v>
      </c>
      <c r="E28" t="s">
        <v>50</v>
      </c>
      <c r="F28" t="s">
        <v>32</v>
      </c>
      <c r="G28" s="2">
        <v>275</v>
      </c>
      <c r="H28" s="3">
        <v>135.84</v>
      </c>
      <c r="I28" s="3">
        <f t="shared" si="0"/>
        <v>37356</v>
      </c>
      <c r="J28" s="3">
        <v>11549.7</v>
      </c>
      <c r="K28" s="3">
        <v>1779.89</v>
      </c>
      <c r="L28" s="4">
        <v>2.1100000000000001E-2</v>
      </c>
      <c r="M28" s="4">
        <v>0.99919999999999998</v>
      </c>
    </row>
    <row r="29" spans="1:13" ht="19.95" customHeight="1" x14ac:dyDescent="0.4">
      <c r="A29" s="1">
        <v>46065</v>
      </c>
      <c r="B29" t="s">
        <v>33</v>
      </c>
      <c r="C29" t="s">
        <v>23</v>
      </c>
      <c r="D29" t="s">
        <v>20</v>
      </c>
      <c r="E29" t="s">
        <v>38</v>
      </c>
      <c r="F29" t="s">
        <v>26</v>
      </c>
      <c r="G29" s="2">
        <v>116</v>
      </c>
      <c r="H29" s="3">
        <v>13.48</v>
      </c>
      <c r="I29" s="3">
        <f t="shared" si="0"/>
        <v>1563.68</v>
      </c>
      <c r="J29" s="3">
        <v>503.49</v>
      </c>
      <c r="K29" s="3">
        <v>68.81</v>
      </c>
      <c r="L29" s="4">
        <v>6.3E-3</v>
      </c>
      <c r="M29" s="4">
        <v>0.9325</v>
      </c>
    </row>
    <row r="30" spans="1:13" ht="19.95" customHeight="1" x14ac:dyDescent="0.4">
      <c r="A30" s="1">
        <v>46067</v>
      </c>
      <c r="B30" t="s">
        <v>13</v>
      </c>
      <c r="C30" t="s">
        <v>29</v>
      </c>
      <c r="D30" t="s">
        <v>24</v>
      </c>
      <c r="E30" t="s">
        <v>30</v>
      </c>
      <c r="F30" t="s">
        <v>43</v>
      </c>
      <c r="G30" s="2">
        <v>227</v>
      </c>
      <c r="H30" s="3">
        <v>19.54</v>
      </c>
      <c r="I30" s="3">
        <f t="shared" si="0"/>
        <v>4435.58</v>
      </c>
      <c r="J30" s="3">
        <v>1246.3499999999999</v>
      </c>
      <c r="K30" s="3">
        <v>176.36</v>
      </c>
      <c r="L30" s="4">
        <v>7.3000000000000001E-3</v>
      </c>
      <c r="M30" s="4">
        <v>0.96319999999999995</v>
      </c>
    </row>
    <row r="31" spans="1:13" ht="19.95" customHeight="1" x14ac:dyDescent="0.4">
      <c r="A31" s="1">
        <v>46067</v>
      </c>
      <c r="B31" t="s">
        <v>18</v>
      </c>
      <c r="C31" t="s">
        <v>29</v>
      </c>
      <c r="D31" t="s">
        <v>24</v>
      </c>
      <c r="E31" t="s">
        <v>30</v>
      </c>
      <c r="F31" t="s">
        <v>17</v>
      </c>
      <c r="G31" s="2">
        <v>262</v>
      </c>
      <c r="H31" s="3">
        <v>19.71</v>
      </c>
      <c r="I31" s="3">
        <f t="shared" si="0"/>
        <v>5164.0200000000004</v>
      </c>
      <c r="J31" s="3">
        <v>1004.72</v>
      </c>
      <c r="K31" s="3">
        <v>444.91</v>
      </c>
      <c r="L31" s="4">
        <v>1.6899999999999998E-2</v>
      </c>
      <c r="M31" s="4">
        <v>0.9677</v>
      </c>
    </row>
    <row r="32" spans="1:13" ht="19.95" customHeight="1" x14ac:dyDescent="0.4">
      <c r="A32" s="1">
        <v>46068</v>
      </c>
      <c r="B32" t="s">
        <v>33</v>
      </c>
      <c r="C32" t="s">
        <v>19</v>
      </c>
      <c r="D32" t="s">
        <v>24</v>
      </c>
      <c r="E32" t="s">
        <v>30</v>
      </c>
      <c r="F32" t="s">
        <v>32</v>
      </c>
      <c r="G32" s="2">
        <v>27</v>
      </c>
      <c r="H32" s="3">
        <v>18.59</v>
      </c>
      <c r="I32" s="3">
        <f t="shared" si="0"/>
        <v>501.93</v>
      </c>
      <c r="J32" s="3">
        <v>103.38</v>
      </c>
      <c r="K32" s="3">
        <v>23.89</v>
      </c>
      <c r="L32" s="4">
        <v>3.4099999999999998E-2</v>
      </c>
      <c r="M32" s="4">
        <v>0.90769999999999995</v>
      </c>
    </row>
    <row r="33" spans="1:13" ht="19.95" customHeight="1" x14ac:dyDescent="0.4">
      <c r="A33" s="1">
        <v>46069</v>
      </c>
      <c r="B33" t="s">
        <v>18</v>
      </c>
      <c r="C33" t="s">
        <v>34</v>
      </c>
      <c r="D33" t="s">
        <v>24</v>
      </c>
      <c r="E33" t="s">
        <v>28</v>
      </c>
      <c r="F33" t="s">
        <v>26</v>
      </c>
      <c r="G33" s="2">
        <v>311</v>
      </c>
      <c r="H33" s="3">
        <v>26.78</v>
      </c>
      <c r="I33" s="3">
        <f t="shared" si="0"/>
        <v>8328.58</v>
      </c>
      <c r="J33" s="3">
        <v>2222.75</v>
      </c>
      <c r="K33" s="3">
        <v>196.48</v>
      </c>
      <c r="L33" s="4">
        <v>1.4500000000000001E-2</v>
      </c>
      <c r="M33" s="4">
        <v>0.96189999999999998</v>
      </c>
    </row>
    <row r="34" spans="1:13" ht="19.95" customHeight="1" x14ac:dyDescent="0.4">
      <c r="A34" s="1">
        <v>46069</v>
      </c>
      <c r="B34" t="s">
        <v>13</v>
      </c>
      <c r="C34" t="s">
        <v>49</v>
      </c>
      <c r="D34" t="s">
        <v>15</v>
      </c>
      <c r="E34" t="s">
        <v>42</v>
      </c>
      <c r="F34" t="s">
        <v>32</v>
      </c>
      <c r="G34" s="2">
        <v>193</v>
      </c>
      <c r="H34" s="3">
        <v>42.43</v>
      </c>
      <c r="I34" s="3">
        <f t="shared" ref="I34:I65" si="1">ROUND(G34*H34,2)</f>
        <v>8188.99</v>
      </c>
      <c r="J34" s="3">
        <v>2648.59</v>
      </c>
      <c r="K34" s="3">
        <v>306.14999999999998</v>
      </c>
      <c r="L34" s="4">
        <v>2.9899999999999999E-2</v>
      </c>
      <c r="M34" s="4">
        <v>0.91469999999999996</v>
      </c>
    </row>
    <row r="35" spans="1:13" ht="19.95" customHeight="1" x14ac:dyDescent="0.4">
      <c r="A35" s="1">
        <v>46070</v>
      </c>
      <c r="B35" t="s">
        <v>18</v>
      </c>
      <c r="C35" t="s">
        <v>23</v>
      </c>
      <c r="D35" t="s">
        <v>24</v>
      </c>
      <c r="E35" t="s">
        <v>30</v>
      </c>
      <c r="F35" t="s">
        <v>17</v>
      </c>
      <c r="G35" s="2">
        <v>238</v>
      </c>
      <c r="H35" s="3">
        <v>21.64</v>
      </c>
      <c r="I35" s="3">
        <f t="shared" si="1"/>
        <v>5150.32</v>
      </c>
      <c r="J35" s="3">
        <v>1326.41</v>
      </c>
      <c r="K35" s="3">
        <v>289.89</v>
      </c>
      <c r="L35" s="4">
        <v>2.8E-3</v>
      </c>
      <c r="M35" s="4">
        <v>0.8952</v>
      </c>
    </row>
    <row r="36" spans="1:13" ht="19.95" customHeight="1" x14ac:dyDescent="0.4">
      <c r="A36" s="1">
        <v>46071</v>
      </c>
      <c r="B36" t="s">
        <v>13</v>
      </c>
      <c r="C36" t="s">
        <v>34</v>
      </c>
      <c r="D36" t="s">
        <v>24</v>
      </c>
      <c r="E36" t="s">
        <v>30</v>
      </c>
      <c r="F36" t="s">
        <v>43</v>
      </c>
      <c r="G36" s="2">
        <v>592</v>
      </c>
      <c r="H36" s="3">
        <v>18.55</v>
      </c>
      <c r="I36" s="3">
        <f t="shared" si="1"/>
        <v>10981.6</v>
      </c>
      <c r="J36" s="3">
        <v>1682.21</v>
      </c>
      <c r="K36" s="3">
        <v>457.11</v>
      </c>
      <c r="L36" s="4">
        <v>2.18E-2</v>
      </c>
      <c r="M36" s="4">
        <v>0.9708</v>
      </c>
    </row>
    <row r="37" spans="1:13" ht="19.95" customHeight="1" x14ac:dyDescent="0.4">
      <c r="A37" s="1">
        <v>46072</v>
      </c>
      <c r="B37" t="s">
        <v>46</v>
      </c>
      <c r="C37" t="s">
        <v>49</v>
      </c>
      <c r="D37" t="s">
        <v>20</v>
      </c>
      <c r="E37" t="s">
        <v>31</v>
      </c>
      <c r="F37" t="s">
        <v>22</v>
      </c>
      <c r="G37" s="2">
        <v>14</v>
      </c>
      <c r="H37" s="3">
        <v>14.73</v>
      </c>
      <c r="I37" s="3">
        <f t="shared" si="1"/>
        <v>206.22</v>
      </c>
      <c r="J37" s="3">
        <v>65.150000000000006</v>
      </c>
      <c r="K37" s="3">
        <v>4.75</v>
      </c>
      <c r="L37" s="4">
        <v>1.09E-2</v>
      </c>
      <c r="M37" s="4">
        <v>0.90400000000000003</v>
      </c>
    </row>
    <row r="38" spans="1:13" ht="19.95" customHeight="1" x14ac:dyDescent="0.4">
      <c r="A38" s="1">
        <v>46072</v>
      </c>
      <c r="B38" t="s">
        <v>46</v>
      </c>
      <c r="C38" t="s">
        <v>27</v>
      </c>
      <c r="D38" t="s">
        <v>35</v>
      </c>
      <c r="E38" t="s">
        <v>51</v>
      </c>
      <c r="F38" t="s">
        <v>26</v>
      </c>
      <c r="G38" s="2">
        <v>811</v>
      </c>
      <c r="H38" s="3">
        <v>45.43</v>
      </c>
      <c r="I38" s="3">
        <f t="shared" si="1"/>
        <v>36843.730000000003</v>
      </c>
      <c r="J38" s="3">
        <v>6726.09</v>
      </c>
      <c r="K38" s="3">
        <v>1380.21</v>
      </c>
      <c r="L38" s="4">
        <v>3.0000000000000001E-3</v>
      </c>
      <c r="M38" s="4">
        <v>0.92179999999999995</v>
      </c>
    </row>
    <row r="39" spans="1:13" ht="19.95" customHeight="1" x14ac:dyDescent="0.4">
      <c r="A39" s="1">
        <v>46072</v>
      </c>
      <c r="B39" t="s">
        <v>33</v>
      </c>
      <c r="C39" t="s">
        <v>34</v>
      </c>
      <c r="D39" t="s">
        <v>15</v>
      </c>
      <c r="E39" t="s">
        <v>45</v>
      </c>
      <c r="F39" t="s">
        <v>32</v>
      </c>
      <c r="G39" s="2">
        <v>274</v>
      </c>
      <c r="H39" s="3">
        <v>281.08</v>
      </c>
      <c r="I39" s="3">
        <f t="shared" si="1"/>
        <v>77015.92</v>
      </c>
      <c r="J39" s="3">
        <v>17468.41</v>
      </c>
      <c r="K39" s="3">
        <v>2437.4299999999998</v>
      </c>
      <c r="L39" s="4">
        <v>3.3300000000000003E-2</v>
      </c>
      <c r="M39" s="4">
        <v>0.93430000000000002</v>
      </c>
    </row>
    <row r="40" spans="1:13" ht="19.95" customHeight="1" x14ac:dyDescent="0.4">
      <c r="A40" s="1">
        <v>46074</v>
      </c>
      <c r="B40" t="s">
        <v>18</v>
      </c>
      <c r="C40" t="s">
        <v>23</v>
      </c>
      <c r="D40" t="s">
        <v>20</v>
      </c>
      <c r="E40" t="s">
        <v>31</v>
      </c>
      <c r="F40" t="s">
        <v>26</v>
      </c>
      <c r="G40" s="2">
        <v>279</v>
      </c>
      <c r="H40" s="3">
        <v>14.47</v>
      </c>
      <c r="I40" s="3">
        <f t="shared" si="1"/>
        <v>4037.13</v>
      </c>
      <c r="J40" s="3">
        <v>967.48</v>
      </c>
      <c r="K40" s="3">
        <v>90.17</v>
      </c>
      <c r="L40" s="4">
        <v>1.77E-2</v>
      </c>
      <c r="M40" s="4">
        <v>0.90449999999999997</v>
      </c>
    </row>
    <row r="41" spans="1:13" ht="19.95" customHeight="1" x14ac:dyDescent="0.4">
      <c r="A41" s="1">
        <v>46076</v>
      </c>
      <c r="B41" t="s">
        <v>33</v>
      </c>
      <c r="C41" t="s">
        <v>29</v>
      </c>
      <c r="D41" t="s">
        <v>15</v>
      </c>
      <c r="E41" t="s">
        <v>42</v>
      </c>
      <c r="F41" t="s">
        <v>22</v>
      </c>
      <c r="G41" s="2">
        <v>36</v>
      </c>
      <c r="H41" s="3">
        <v>35.32</v>
      </c>
      <c r="I41" s="3">
        <f t="shared" si="1"/>
        <v>1271.52</v>
      </c>
      <c r="J41" s="3">
        <v>353.01</v>
      </c>
      <c r="K41" s="3">
        <v>53.61</v>
      </c>
      <c r="L41" s="4">
        <v>1.66E-2</v>
      </c>
      <c r="M41" s="4">
        <v>0.91700000000000004</v>
      </c>
    </row>
    <row r="42" spans="1:13" ht="19.95" customHeight="1" x14ac:dyDescent="0.4">
      <c r="A42" s="1">
        <v>46078</v>
      </c>
      <c r="B42" t="s">
        <v>46</v>
      </c>
      <c r="C42" t="s">
        <v>34</v>
      </c>
      <c r="D42" t="s">
        <v>35</v>
      </c>
      <c r="E42" t="s">
        <v>36</v>
      </c>
      <c r="F42" t="s">
        <v>22</v>
      </c>
      <c r="G42" s="2">
        <v>24</v>
      </c>
      <c r="H42" s="3">
        <v>32.06</v>
      </c>
      <c r="I42" s="3">
        <f t="shared" si="1"/>
        <v>769.44</v>
      </c>
      <c r="J42" s="3">
        <v>139.21</v>
      </c>
      <c r="K42" s="3">
        <v>32.270000000000003</v>
      </c>
      <c r="L42" s="4">
        <v>5.0000000000000001E-3</v>
      </c>
      <c r="M42" s="4">
        <v>0.97529999999999994</v>
      </c>
    </row>
    <row r="43" spans="1:13" ht="19.95" customHeight="1" x14ac:dyDescent="0.4">
      <c r="A43" s="1">
        <v>46079</v>
      </c>
      <c r="B43" t="s">
        <v>46</v>
      </c>
      <c r="C43" t="s">
        <v>48</v>
      </c>
      <c r="D43" t="s">
        <v>20</v>
      </c>
      <c r="E43" t="s">
        <v>31</v>
      </c>
      <c r="F43" t="s">
        <v>22</v>
      </c>
      <c r="G43" s="2">
        <v>164</v>
      </c>
      <c r="H43" s="3">
        <v>16</v>
      </c>
      <c r="I43" s="3">
        <f t="shared" si="1"/>
        <v>2624</v>
      </c>
      <c r="J43" s="3">
        <v>820.91</v>
      </c>
      <c r="K43" s="3">
        <v>78.47</v>
      </c>
      <c r="L43" s="4">
        <v>3.2599999999999997E-2</v>
      </c>
      <c r="M43" s="4">
        <v>0.98540000000000005</v>
      </c>
    </row>
    <row r="44" spans="1:13" ht="19.95" customHeight="1" x14ac:dyDescent="0.4">
      <c r="A44" s="1">
        <v>46080</v>
      </c>
      <c r="B44" t="s">
        <v>46</v>
      </c>
      <c r="C44" t="s">
        <v>27</v>
      </c>
      <c r="D44" t="s">
        <v>35</v>
      </c>
      <c r="E44" t="s">
        <v>37</v>
      </c>
      <c r="F44" t="s">
        <v>22</v>
      </c>
      <c r="G44" s="2">
        <v>104</v>
      </c>
      <c r="H44" s="3">
        <v>114.45</v>
      </c>
      <c r="I44" s="3">
        <f t="shared" si="1"/>
        <v>11902.8</v>
      </c>
      <c r="J44" s="3">
        <v>3047.38</v>
      </c>
      <c r="K44" s="3">
        <v>254.13</v>
      </c>
      <c r="L44" s="4">
        <v>2.3800000000000002E-2</v>
      </c>
      <c r="M44" s="4">
        <v>0.93859999999999999</v>
      </c>
    </row>
    <row r="45" spans="1:13" ht="19.95" customHeight="1" x14ac:dyDescent="0.4">
      <c r="A45" s="1">
        <v>46081</v>
      </c>
      <c r="B45" t="s">
        <v>46</v>
      </c>
      <c r="C45" t="s">
        <v>23</v>
      </c>
      <c r="D45" t="s">
        <v>15</v>
      </c>
      <c r="E45" t="s">
        <v>42</v>
      </c>
      <c r="F45" t="s">
        <v>43</v>
      </c>
      <c r="G45" s="2">
        <v>847</v>
      </c>
      <c r="H45" s="3">
        <v>45.65</v>
      </c>
      <c r="I45" s="3">
        <f t="shared" si="1"/>
        <v>38665.550000000003</v>
      </c>
      <c r="J45" s="3">
        <v>8990.82</v>
      </c>
      <c r="K45" s="3">
        <v>1745.79</v>
      </c>
      <c r="L45" s="4">
        <v>3.09E-2</v>
      </c>
      <c r="M45" s="4">
        <v>0.91600000000000004</v>
      </c>
    </row>
    <row r="46" spans="1:13" ht="19.95" customHeight="1" x14ac:dyDescent="0.4">
      <c r="A46" s="1">
        <v>46086</v>
      </c>
      <c r="B46" t="s">
        <v>18</v>
      </c>
      <c r="C46" t="s">
        <v>49</v>
      </c>
      <c r="D46" t="s">
        <v>20</v>
      </c>
      <c r="E46" t="s">
        <v>21</v>
      </c>
      <c r="F46" t="s">
        <v>43</v>
      </c>
      <c r="G46" s="2">
        <v>873</v>
      </c>
      <c r="H46" s="3">
        <v>37.07</v>
      </c>
      <c r="I46" s="3">
        <f t="shared" si="1"/>
        <v>32362.11</v>
      </c>
      <c r="J46" s="3">
        <v>7670.21</v>
      </c>
      <c r="K46" s="3">
        <v>509.96</v>
      </c>
      <c r="L46" s="4">
        <v>1.09E-2</v>
      </c>
      <c r="M46" s="4">
        <v>0.89859999999999995</v>
      </c>
    </row>
    <row r="47" spans="1:13" ht="19.95" customHeight="1" x14ac:dyDescent="0.4">
      <c r="A47" s="1">
        <v>46087</v>
      </c>
      <c r="B47" t="s">
        <v>46</v>
      </c>
      <c r="C47" t="s">
        <v>19</v>
      </c>
      <c r="D47" t="s">
        <v>15</v>
      </c>
      <c r="E47" t="s">
        <v>42</v>
      </c>
      <c r="F47" t="s">
        <v>26</v>
      </c>
      <c r="G47" s="2">
        <v>170</v>
      </c>
      <c r="H47" s="3">
        <v>45.1</v>
      </c>
      <c r="I47" s="3">
        <f t="shared" si="1"/>
        <v>7667</v>
      </c>
      <c r="J47" s="3">
        <v>2391.84</v>
      </c>
      <c r="K47" s="3">
        <v>329.56</v>
      </c>
      <c r="L47" s="4">
        <v>4.7000000000000002E-3</v>
      </c>
      <c r="M47" s="4">
        <v>0.91690000000000005</v>
      </c>
    </row>
    <row r="48" spans="1:13" ht="19.95" customHeight="1" x14ac:dyDescent="0.4">
      <c r="A48" s="1">
        <v>46088</v>
      </c>
      <c r="B48" t="s">
        <v>46</v>
      </c>
      <c r="C48" t="s">
        <v>29</v>
      </c>
      <c r="D48" t="s">
        <v>20</v>
      </c>
      <c r="E48" t="s">
        <v>38</v>
      </c>
      <c r="F48" t="s">
        <v>32</v>
      </c>
      <c r="G48" s="2">
        <v>295</v>
      </c>
      <c r="H48" s="3">
        <v>12.74</v>
      </c>
      <c r="I48" s="3">
        <f t="shared" si="1"/>
        <v>3758.3</v>
      </c>
      <c r="J48" s="3">
        <v>682.08</v>
      </c>
      <c r="K48" s="3">
        <v>74.34</v>
      </c>
      <c r="L48" s="4">
        <v>6.0000000000000001E-3</v>
      </c>
      <c r="M48" s="4">
        <v>0.97289999999999999</v>
      </c>
    </row>
    <row r="49" spans="1:13" ht="19.95" customHeight="1" x14ac:dyDescent="0.4">
      <c r="A49" s="1">
        <v>46090</v>
      </c>
      <c r="B49" t="s">
        <v>33</v>
      </c>
      <c r="C49" t="s">
        <v>23</v>
      </c>
      <c r="D49" t="s">
        <v>15</v>
      </c>
      <c r="E49" t="s">
        <v>42</v>
      </c>
      <c r="F49" t="s">
        <v>43</v>
      </c>
      <c r="G49" s="2">
        <v>117</v>
      </c>
      <c r="H49" s="3">
        <v>36.409999999999997</v>
      </c>
      <c r="I49" s="3">
        <f t="shared" si="1"/>
        <v>4259.97</v>
      </c>
      <c r="J49" s="3">
        <v>1268.5999999999999</v>
      </c>
      <c r="K49" s="3">
        <v>107.95</v>
      </c>
      <c r="L49" s="4">
        <v>1.54E-2</v>
      </c>
      <c r="M49" s="4">
        <v>0.88500000000000001</v>
      </c>
    </row>
    <row r="50" spans="1:13" ht="19.95" customHeight="1" x14ac:dyDescent="0.4">
      <c r="A50" s="1">
        <v>46093</v>
      </c>
      <c r="B50" t="s">
        <v>46</v>
      </c>
      <c r="C50" t="s">
        <v>48</v>
      </c>
      <c r="D50" t="s">
        <v>40</v>
      </c>
      <c r="E50" t="s">
        <v>47</v>
      </c>
      <c r="F50" t="s">
        <v>26</v>
      </c>
      <c r="G50" s="2">
        <v>642</v>
      </c>
      <c r="H50" s="3">
        <v>47.12</v>
      </c>
      <c r="I50" s="3">
        <f t="shared" si="1"/>
        <v>30251.040000000001</v>
      </c>
      <c r="J50" s="3">
        <v>8771.35</v>
      </c>
      <c r="K50" s="3">
        <v>617.35</v>
      </c>
      <c r="L50" s="4">
        <v>6.3E-3</v>
      </c>
      <c r="M50" s="4">
        <v>0.96660000000000001</v>
      </c>
    </row>
    <row r="51" spans="1:13" ht="19.95" customHeight="1" x14ac:dyDescent="0.4">
      <c r="A51" s="1">
        <v>46093</v>
      </c>
      <c r="B51" t="s">
        <v>33</v>
      </c>
      <c r="C51" t="s">
        <v>23</v>
      </c>
      <c r="D51" t="s">
        <v>15</v>
      </c>
      <c r="E51" t="s">
        <v>42</v>
      </c>
      <c r="F51" t="s">
        <v>43</v>
      </c>
      <c r="G51" s="2">
        <v>440</v>
      </c>
      <c r="H51" s="3">
        <v>45.28</v>
      </c>
      <c r="I51" s="3">
        <f t="shared" si="1"/>
        <v>19923.2</v>
      </c>
      <c r="J51" s="3">
        <v>3736.6</v>
      </c>
      <c r="K51" s="3">
        <v>329.12</v>
      </c>
      <c r="L51" s="4">
        <v>2.01E-2</v>
      </c>
      <c r="M51" s="4">
        <v>0.88849999999999996</v>
      </c>
    </row>
    <row r="52" spans="1:13" ht="19.95" customHeight="1" x14ac:dyDescent="0.4">
      <c r="A52" s="1">
        <v>46093</v>
      </c>
      <c r="B52" t="s">
        <v>13</v>
      </c>
      <c r="C52" t="s">
        <v>14</v>
      </c>
      <c r="D52" t="s">
        <v>24</v>
      </c>
      <c r="E52" t="s">
        <v>25</v>
      </c>
      <c r="F52" t="s">
        <v>32</v>
      </c>
      <c r="G52" s="2">
        <v>186</v>
      </c>
      <c r="H52" s="3">
        <v>55.25</v>
      </c>
      <c r="I52" s="3">
        <f t="shared" si="1"/>
        <v>10276.5</v>
      </c>
      <c r="J52" s="3">
        <v>1777.55</v>
      </c>
      <c r="K52" s="3">
        <v>460.29</v>
      </c>
      <c r="L52" s="4">
        <v>1.8100000000000002E-2</v>
      </c>
      <c r="M52" s="4">
        <v>0.89459999999999995</v>
      </c>
    </row>
    <row r="53" spans="1:13" ht="19.95" customHeight="1" x14ac:dyDescent="0.4">
      <c r="A53" s="1">
        <v>46093</v>
      </c>
      <c r="B53" t="s">
        <v>33</v>
      </c>
      <c r="C53" t="s">
        <v>34</v>
      </c>
      <c r="D53" t="s">
        <v>40</v>
      </c>
      <c r="E53" t="s">
        <v>50</v>
      </c>
      <c r="F53" t="s">
        <v>32</v>
      </c>
      <c r="G53" s="2">
        <v>25</v>
      </c>
      <c r="H53" s="3">
        <v>148.27000000000001</v>
      </c>
      <c r="I53" s="3">
        <f t="shared" si="1"/>
        <v>3706.75</v>
      </c>
      <c r="J53" s="3">
        <v>841.58</v>
      </c>
      <c r="K53" s="3">
        <v>137.62</v>
      </c>
      <c r="L53" s="4">
        <v>7.0000000000000001E-3</v>
      </c>
      <c r="M53" s="4">
        <v>0.92449999999999999</v>
      </c>
    </row>
    <row r="54" spans="1:13" ht="19.95" customHeight="1" x14ac:dyDescent="0.4">
      <c r="A54" s="1">
        <v>46096</v>
      </c>
      <c r="B54" t="s">
        <v>33</v>
      </c>
      <c r="C54" t="s">
        <v>49</v>
      </c>
      <c r="D54" t="s">
        <v>24</v>
      </c>
      <c r="E54" t="s">
        <v>25</v>
      </c>
      <c r="F54" t="s">
        <v>43</v>
      </c>
      <c r="G54" s="2">
        <v>457</v>
      </c>
      <c r="H54" s="3">
        <v>60.83</v>
      </c>
      <c r="I54" s="3">
        <f t="shared" si="1"/>
        <v>27799.31</v>
      </c>
      <c r="J54" s="3">
        <v>7039.21</v>
      </c>
      <c r="K54" s="3">
        <v>1223.55</v>
      </c>
      <c r="L54" s="4">
        <v>1.6500000000000001E-2</v>
      </c>
      <c r="M54" s="4">
        <v>0.95079999999999998</v>
      </c>
    </row>
    <row r="55" spans="1:13" ht="19.95" customHeight="1" x14ac:dyDescent="0.4">
      <c r="A55" s="1">
        <v>46098</v>
      </c>
      <c r="B55" t="s">
        <v>33</v>
      </c>
      <c r="C55" t="s">
        <v>39</v>
      </c>
      <c r="D55" t="s">
        <v>35</v>
      </c>
      <c r="E55" t="s">
        <v>37</v>
      </c>
      <c r="F55" t="s">
        <v>17</v>
      </c>
      <c r="G55" s="2">
        <v>241</v>
      </c>
      <c r="H55" s="3">
        <v>87.22</v>
      </c>
      <c r="I55" s="3">
        <f t="shared" si="1"/>
        <v>21020.02</v>
      </c>
      <c r="J55" s="3">
        <v>5780.61</v>
      </c>
      <c r="K55" s="3">
        <v>1740.89</v>
      </c>
      <c r="L55" s="4">
        <v>3.0499999999999999E-2</v>
      </c>
      <c r="M55" s="4">
        <v>0.92500000000000004</v>
      </c>
    </row>
    <row r="56" spans="1:13" ht="19.95" customHeight="1" x14ac:dyDescent="0.4">
      <c r="A56" s="1">
        <v>46099</v>
      </c>
      <c r="B56" t="s">
        <v>13</v>
      </c>
      <c r="C56" t="s">
        <v>29</v>
      </c>
      <c r="D56" t="s">
        <v>40</v>
      </c>
      <c r="E56" t="s">
        <v>50</v>
      </c>
      <c r="F56" t="s">
        <v>26</v>
      </c>
      <c r="G56" s="2">
        <v>978</v>
      </c>
      <c r="H56" s="3">
        <v>128.41999999999999</v>
      </c>
      <c r="I56" s="3">
        <f t="shared" si="1"/>
        <v>125594.76</v>
      </c>
      <c r="J56" s="3">
        <v>42697.82</v>
      </c>
      <c r="K56" s="3">
        <v>2830.37</v>
      </c>
      <c r="L56" s="4">
        <v>2.5499999999999998E-2</v>
      </c>
      <c r="M56" s="4">
        <v>0.91080000000000005</v>
      </c>
    </row>
    <row r="57" spans="1:13" ht="19.95" customHeight="1" x14ac:dyDescent="0.4">
      <c r="A57" s="1">
        <v>46099</v>
      </c>
      <c r="B57" t="s">
        <v>33</v>
      </c>
      <c r="C57" t="s">
        <v>34</v>
      </c>
      <c r="D57" t="s">
        <v>24</v>
      </c>
      <c r="E57" t="s">
        <v>28</v>
      </c>
      <c r="F57" t="s">
        <v>17</v>
      </c>
      <c r="G57" s="2">
        <v>275</v>
      </c>
      <c r="H57" s="3">
        <v>25.35</v>
      </c>
      <c r="I57" s="3">
        <f t="shared" si="1"/>
        <v>6971.25</v>
      </c>
      <c r="J57" s="3">
        <v>1085.75</v>
      </c>
      <c r="K57" s="3">
        <v>509.32</v>
      </c>
      <c r="L57" s="4">
        <v>2.07E-2</v>
      </c>
      <c r="M57" s="4">
        <v>0.98650000000000004</v>
      </c>
    </row>
    <row r="58" spans="1:13" ht="19.95" customHeight="1" x14ac:dyDescent="0.4">
      <c r="A58" s="1">
        <v>46102</v>
      </c>
      <c r="B58" t="s">
        <v>18</v>
      </c>
      <c r="C58" t="s">
        <v>39</v>
      </c>
      <c r="D58" t="s">
        <v>24</v>
      </c>
      <c r="E58" t="s">
        <v>25</v>
      </c>
      <c r="F58" t="s">
        <v>22</v>
      </c>
      <c r="G58" s="2">
        <v>279</v>
      </c>
      <c r="H58" s="3">
        <v>60.95</v>
      </c>
      <c r="I58" s="3">
        <f t="shared" si="1"/>
        <v>17005.05</v>
      </c>
      <c r="J58" s="3">
        <v>3608.98</v>
      </c>
      <c r="K58" s="3">
        <v>603.33000000000004</v>
      </c>
      <c r="L58" s="4">
        <v>2.46E-2</v>
      </c>
      <c r="M58" s="4">
        <v>0.92249999999999999</v>
      </c>
    </row>
    <row r="59" spans="1:13" ht="19.95" customHeight="1" x14ac:dyDescent="0.4">
      <c r="A59" s="1">
        <v>46103</v>
      </c>
      <c r="B59" t="s">
        <v>33</v>
      </c>
      <c r="C59" t="s">
        <v>14</v>
      </c>
      <c r="D59" t="s">
        <v>35</v>
      </c>
      <c r="E59" t="s">
        <v>37</v>
      </c>
      <c r="F59" t="s">
        <v>43</v>
      </c>
      <c r="G59" s="2">
        <v>236</v>
      </c>
      <c r="H59" s="3">
        <v>110.09</v>
      </c>
      <c r="I59" s="3">
        <f t="shared" si="1"/>
        <v>25981.24</v>
      </c>
      <c r="J59" s="3">
        <v>7847.87</v>
      </c>
      <c r="K59" s="3">
        <v>1035.22</v>
      </c>
      <c r="L59" s="4">
        <v>3.1899999999999998E-2</v>
      </c>
      <c r="M59" s="4">
        <v>0.98419999999999996</v>
      </c>
    </row>
    <row r="60" spans="1:13" ht="19.95" customHeight="1" x14ac:dyDescent="0.4">
      <c r="A60" s="1">
        <v>46104</v>
      </c>
      <c r="B60" t="s">
        <v>13</v>
      </c>
      <c r="C60" t="s">
        <v>29</v>
      </c>
      <c r="D60" t="s">
        <v>15</v>
      </c>
      <c r="E60" t="s">
        <v>42</v>
      </c>
      <c r="F60" t="s">
        <v>32</v>
      </c>
      <c r="G60" s="2">
        <v>130</v>
      </c>
      <c r="H60" s="3">
        <v>40.78</v>
      </c>
      <c r="I60" s="3">
        <f t="shared" si="1"/>
        <v>5301.4</v>
      </c>
      <c r="J60" s="3">
        <v>1195.53</v>
      </c>
      <c r="K60" s="3">
        <v>126.54</v>
      </c>
      <c r="L60" s="4">
        <v>2.8799999999999999E-2</v>
      </c>
      <c r="M60" s="4">
        <v>0.99370000000000003</v>
      </c>
    </row>
    <row r="61" spans="1:13" ht="19.95" customHeight="1" x14ac:dyDescent="0.4">
      <c r="A61" s="1">
        <v>46104</v>
      </c>
      <c r="B61" t="s">
        <v>33</v>
      </c>
      <c r="C61" t="s">
        <v>39</v>
      </c>
      <c r="D61" t="s">
        <v>24</v>
      </c>
      <c r="E61" t="s">
        <v>25</v>
      </c>
      <c r="F61" t="s">
        <v>32</v>
      </c>
      <c r="G61" s="2">
        <v>140</v>
      </c>
      <c r="H61" s="3">
        <v>52.25</v>
      </c>
      <c r="I61" s="3">
        <f t="shared" si="1"/>
        <v>7315</v>
      </c>
      <c r="J61" s="3">
        <v>2212.54</v>
      </c>
      <c r="K61" s="3">
        <v>324.25</v>
      </c>
      <c r="L61" s="4">
        <v>3.3000000000000002E-2</v>
      </c>
      <c r="M61" s="4">
        <v>0.94330000000000003</v>
      </c>
    </row>
    <row r="62" spans="1:13" ht="19.95" customHeight="1" x14ac:dyDescent="0.4">
      <c r="A62" s="1">
        <v>46104</v>
      </c>
      <c r="B62" t="s">
        <v>13</v>
      </c>
      <c r="C62" t="s">
        <v>34</v>
      </c>
      <c r="D62" t="s">
        <v>15</v>
      </c>
      <c r="E62" t="s">
        <v>45</v>
      </c>
      <c r="F62" t="s">
        <v>43</v>
      </c>
      <c r="G62" s="2">
        <v>861</v>
      </c>
      <c r="H62" s="3">
        <v>325.97000000000003</v>
      </c>
      <c r="I62" s="3">
        <f t="shared" si="1"/>
        <v>280660.17</v>
      </c>
      <c r="J62" s="3">
        <v>69392.570000000007</v>
      </c>
      <c r="K62" s="3">
        <v>10087.83</v>
      </c>
      <c r="L62" s="4">
        <v>2.58E-2</v>
      </c>
      <c r="M62" s="4">
        <v>0.88319999999999999</v>
      </c>
    </row>
    <row r="63" spans="1:13" ht="19.95" customHeight="1" x14ac:dyDescent="0.4">
      <c r="A63" s="1">
        <v>46104</v>
      </c>
      <c r="B63" t="s">
        <v>13</v>
      </c>
      <c r="C63" t="s">
        <v>19</v>
      </c>
      <c r="D63" t="s">
        <v>35</v>
      </c>
      <c r="E63" t="s">
        <v>37</v>
      </c>
      <c r="F63" t="s">
        <v>26</v>
      </c>
      <c r="G63" s="2">
        <v>236</v>
      </c>
      <c r="H63" s="3">
        <v>109.76</v>
      </c>
      <c r="I63" s="3">
        <f t="shared" si="1"/>
        <v>25903.360000000001</v>
      </c>
      <c r="J63" s="3">
        <v>4062.42</v>
      </c>
      <c r="K63" s="3">
        <v>1212.6199999999999</v>
      </c>
      <c r="L63" s="4">
        <v>6.1000000000000004E-3</v>
      </c>
      <c r="M63" s="4">
        <v>0.99870000000000003</v>
      </c>
    </row>
    <row r="64" spans="1:13" ht="19.95" customHeight="1" x14ac:dyDescent="0.4">
      <c r="A64" s="1">
        <v>46107</v>
      </c>
      <c r="B64" t="s">
        <v>13</v>
      </c>
      <c r="C64" t="s">
        <v>29</v>
      </c>
      <c r="D64" t="s">
        <v>24</v>
      </c>
      <c r="E64" t="s">
        <v>30</v>
      </c>
      <c r="F64" t="s">
        <v>26</v>
      </c>
      <c r="G64" s="2">
        <v>462</v>
      </c>
      <c r="H64" s="3">
        <v>21.15</v>
      </c>
      <c r="I64" s="3">
        <f t="shared" si="1"/>
        <v>9771.2999999999993</v>
      </c>
      <c r="J64" s="3">
        <v>2616.58</v>
      </c>
      <c r="K64" s="3">
        <v>294.08999999999997</v>
      </c>
      <c r="L64" s="4">
        <v>6.3E-3</v>
      </c>
      <c r="M64" s="4">
        <v>0.9264</v>
      </c>
    </row>
    <row r="65" spans="1:13" ht="19.95" customHeight="1" x14ac:dyDescent="0.4">
      <c r="A65" s="1">
        <v>46110</v>
      </c>
      <c r="B65" t="s">
        <v>46</v>
      </c>
      <c r="C65" t="s">
        <v>27</v>
      </c>
      <c r="D65" t="s">
        <v>15</v>
      </c>
      <c r="E65" t="s">
        <v>42</v>
      </c>
      <c r="F65" t="s">
        <v>26</v>
      </c>
      <c r="G65" s="2">
        <v>826</v>
      </c>
      <c r="H65" s="3">
        <v>44.42</v>
      </c>
      <c r="I65" s="3">
        <f t="shared" si="1"/>
        <v>36690.92</v>
      </c>
      <c r="J65" s="3">
        <v>8201.09</v>
      </c>
      <c r="K65" s="3">
        <v>1581.59</v>
      </c>
      <c r="L65" s="4">
        <v>2.2700000000000001E-2</v>
      </c>
      <c r="M65" s="4">
        <v>0.94969999999999999</v>
      </c>
    </row>
    <row r="66" spans="1:13" ht="19.95" customHeight="1" x14ac:dyDescent="0.4">
      <c r="A66" s="1">
        <v>46111</v>
      </c>
      <c r="B66" t="s">
        <v>33</v>
      </c>
      <c r="C66" t="s">
        <v>29</v>
      </c>
      <c r="D66" t="s">
        <v>15</v>
      </c>
      <c r="E66" t="s">
        <v>45</v>
      </c>
      <c r="F66" t="s">
        <v>22</v>
      </c>
      <c r="G66" s="2">
        <v>13</v>
      </c>
      <c r="H66" s="3">
        <v>309.17</v>
      </c>
      <c r="I66" s="3">
        <f t="shared" ref="I66:I97" si="2">ROUND(G66*H66,2)</f>
        <v>4019.21</v>
      </c>
      <c r="J66" s="3">
        <v>867.96</v>
      </c>
      <c r="K66" s="3">
        <v>114.09</v>
      </c>
      <c r="L66" s="4">
        <v>2.8400000000000002E-2</v>
      </c>
      <c r="M66" s="4">
        <v>0.91420000000000001</v>
      </c>
    </row>
    <row r="67" spans="1:13" ht="19.95" customHeight="1" x14ac:dyDescent="0.4">
      <c r="A67" s="1">
        <v>46112</v>
      </c>
      <c r="B67" t="s">
        <v>18</v>
      </c>
      <c r="C67" t="s">
        <v>14</v>
      </c>
      <c r="D67" t="s">
        <v>24</v>
      </c>
      <c r="E67" t="s">
        <v>25</v>
      </c>
      <c r="F67" t="s">
        <v>26</v>
      </c>
      <c r="G67" s="2">
        <v>967</v>
      </c>
      <c r="H67" s="3">
        <v>47.41</v>
      </c>
      <c r="I67" s="3">
        <f t="shared" si="2"/>
        <v>45845.47</v>
      </c>
      <c r="J67" s="3">
        <v>7767.37</v>
      </c>
      <c r="K67" s="3">
        <v>538.22</v>
      </c>
      <c r="L67" s="4">
        <v>3.5099999999999999E-2</v>
      </c>
      <c r="M67" s="4">
        <v>0.98260000000000003</v>
      </c>
    </row>
    <row r="68" spans="1:13" ht="19.95" customHeight="1" x14ac:dyDescent="0.4">
      <c r="A68" s="1">
        <v>46115</v>
      </c>
      <c r="B68" t="s">
        <v>13</v>
      </c>
      <c r="C68" t="s">
        <v>23</v>
      </c>
      <c r="D68" t="s">
        <v>15</v>
      </c>
      <c r="E68" t="s">
        <v>45</v>
      </c>
      <c r="F68" t="s">
        <v>26</v>
      </c>
      <c r="G68" s="2">
        <v>831</v>
      </c>
      <c r="H68" s="3">
        <v>273.55</v>
      </c>
      <c r="I68" s="3">
        <f t="shared" si="2"/>
        <v>227320.05</v>
      </c>
      <c r="J68" s="3">
        <v>66158.89</v>
      </c>
      <c r="K68" s="3">
        <v>9698.1</v>
      </c>
      <c r="L68" s="4">
        <v>8.6999999999999994E-3</v>
      </c>
      <c r="M68" s="4">
        <v>0.90349999999999997</v>
      </c>
    </row>
    <row r="69" spans="1:13" ht="19.95" customHeight="1" x14ac:dyDescent="0.4">
      <c r="A69" s="1">
        <v>46115</v>
      </c>
      <c r="B69" t="s">
        <v>13</v>
      </c>
      <c r="C69" t="s">
        <v>49</v>
      </c>
      <c r="D69" t="s">
        <v>15</v>
      </c>
      <c r="E69" t="s">
        <v>16</v>
      </c>
      <c r="F69" t="s">
        <v>43</v>
      </c>
      <c r="G69" s="2">
        <v>522</v>
      </c>
      <c r="H69" s="3">
        <v>198.92</v>
      </c>
      <c r="I69" s="3">
        <f t="shared" si="2"/>
        <v>103836.24</v>
      </c>
      <c r="J69" s="3">
        <v>29509.72</v>
      </c>
      <c r="K69" s="3">
        <v>1677.43</v>
      </c>
      <c r="L69" s="4">
        <v>8.5000000000000006E-3</v>
      </c>
      <c r="M69" s="4">
        <v>0.92630000000000001</v>
      </c>
    </row>
    <row r="70" spans="1:13" ht="19.95" customHeight="1" x14ac:dyDescent="0.4">
      <c r="A70" s="1">
        <v>46116</v>
      </c>
      <c r="B70" t="s">
        <v>13</v>
      </c>
      <c r="C70" t="s">
        <v>23</v>
      </c>
      <c r="D70" t="s">
        <v>40</v>
      </c>
      <c r="E70" t="s">
        <v>50</v>
      </c>
      <c r="F70" t="s">
        <v>26</v>
      </c>
      <c r="G70" s="2">
        <v>251</v>
      </c>
      <c r="H70" s="3">
        <v>133.62</v>
      </c>
      <c r="I70" s="3">
        <f t="shared" si="2"/>
        <v>33538.620000000003</v>
      </c>
      <c r="J70" s="3">
        <v>10857.09</v>
      </c>
      <c r="K70" s="3">
        <v>751.73</v>
      </c>
      <c r="L70" s="4">
        <v>1.26E-2</v>
      </c>
      <c r="M70" s="4">
        <v>0.91320000000000001</v>
      </c>
    </row>
    <row r="71" spans="1:13" ht="19.95" customHeight="1" x14ac:dyDescent="0.4">
      <c r="A71" s="1">
        <v>46116</v>
      </c>
      <c r="B71" t="s">
        <v>18</v>
      </c>
      <c r="C71" t="s">
        <v>14</v>
      </c>
      <c r="D71" t="s">
        <v>40</v>
      </c>
      <c r="E71" t="s">
        <v>41</v>
      </c>
      <c r="F71" t="s">
        <v>32</v>
      </c>
      <c r="G71" s="2">
        <v>156</v>
      </c>
      <c r="H71" s="3">
        <v>90.84</v>
      </c>
      <c r="I71" s="3">
        <f t="shared" si="2"/>
        <v>14171.04</v>
      </c>
      <c r="J71" s="3">
        <v>2410.29</v>
      </c>
      <c r="K71" s="3">
        <v>524.85</v>
      </c>
      <c r="L71" s="4">
        <v>2.1399999999999999E-2</v>
      </c>
      <c r="M71" s="4">
        <v>0.97670000000000001</v>
      </c>
    </row>
    <row r="72" spans="1:13" ht="19.95" customHeight="1" x14ac:dyDescent="0.4">
      <c r="A72" s="1">
        <v>46118</v>
      </c>
      <c r="B72" t="s">
        <v>33</v>
      </c>
      <c r="C72" t="s">
        <v>34</v>
      </c>
      <c r="D72" t="s">
        <v>15</v>
      </c>
      <c r="E72" t="s">
        <v>42</v>
      </c>
      <c r="F72" t="s">
        <v>17</v>
      </c>
      <c r="G72" s="2">
        <v>52</v>
      </c>
      <c r="H72" s="3">
        <v>37.21</v>
      </c>
      <c r="I72" s="3">
        <f t="shared" si="2"/>
        <v>1934.92</v>
      </c>
      <c r="J72" s="3">
        <v>319.54000000000002</v>
      </c>
      <c r="K72" s="3">
        <v>133.97999999999999</v>
      </c>
      <c r="L72" s="4">
        <v>3.8999999999999998E-3</v>
      </c>
      <c r="M72" s="4">
        <v>0.91820000000000002</v>
      </c>
    </row>
    <row r="73" spans="1:13" ht="19.95" customHeight="1" x14ac:dyDescent="0.4">
      <c r="A73" s="1">
        <v>46118</v>
      </c>
      <c r="B73" t="s">
        <v>33</v>
      </c>
      <c r="C73" t="s">
        <v>44</v>
      </c>
      <c r="D73" t="s">
        <v>15</v>
      </c>
      <c r="E73" t="s">
        <v>45</v>
      </c>
      <c r="F73" t="s">
        <v>43</v>
      </c>
      <c r="G73" s="2">
        <v>403</v>
      </c>
      <c r="H73" s="3">
        <v>328.42</v>
      </c>
      <c r="I73" s="3">
        <f t="shared" si="2"/>
        <v>132353.26</v>
      </c>
      <c r="J73" s="3">
        <v>40368.339999999997</v>
      </c>
      <c r="K73" s="3">
        <v>2512.0700000000002</v>
      </c>
      <c r="L73" s="4">
        <v>1.6299999999999999E-2</v>
      </c>
      <c r="M73" s="4">
        <v>0.98540000000000005</v>
      </c>
    </row>
    <row r="74" spans="1:13" ht="19.95" customHeight="1" x14ac:dyDescent="0.4">
      <c r="A74" s="1">
        <v>46118</v>
      </c>
      <c r="B74" t="s">
        <v>46</v>
      </c>
      <c r="C74" t="s">
        <v>19</v>
      </c>
      <c r="D74" t="s">
        <v>20</v>
      </c>
      <c r="E74" t="s">
        <v>21</v>
      </c>
      <c r="F74" t="s">
        <v>43</v>
      </c>
      <c r="G74" s="2">
        <v>249</v>
      </c>
      <c r="H74" s="3">
        <v>29.9</v>
      </c>
      <c r="I74" s="3">
        <f t="shared" si="2"/>
        <v>7445.1</v>
      </c>
      <c r="J74" s="3">
        <v>1226</v>
      </c>
      <c r="K74" s="3">
        <v>281.24</v>
      </c>
      <c r="L74" s="4">
        <v>6.0000000000000001E-3</v>
      </c>
      <c r="M74" s="4">
        <v>0.89649999999999996</v>
      </c>
    </row>
    <row r="75" spans="1:13" ht="19.95" customHeight="1" x14ac:dyDescent="0.4">
      <c r="A75" s="1">
        <v>46120</v>
      </c>
      <c r="B75" t="s">
        <v>13</v>
      </c>
      <c r="C75" t="s">
        <v>44</v>
      </c>
      <c r="D75" t="s">
        <v>40</v>
      </c>
      <c r="E75" t="s">
        <v>50</v>
      </c>
      <c r="F75" t="s">
        <v>17</v>
      </c>
      <c r="G75" s="2">
        <v>297</v>
      </c>
      <c r="H75" s="3">
        <v>113.46</v>
      </c>
      <c r="I75" s="3">
        <f t="shared" si="2"/>
        <v>33697.620000000003</v>
      </c>
      <c r="J75" s="3">
        <v>6443.14</v>
      </c>
      <c r="K75" s="3">
        <v>3902.29</v>
      </c>
      <c r="L75" s="4">
        <v>1.1900000000000001E-2</v>
      </c>
      <c r="M75" s="4">
        <v>0.95</v>
      </c>
    </row>
    <row r="76" spans="1:13" ht="19.95" customHeight="1" x14ac:dyDescent="0.4">
      <c r="A76" s="1">
        <v>46122</v>
      </c>
      <c r="B76" t="s">
        <v>46</v>
      </c>
      <c r="C76" t="s">
        <v>39</v>
      </c>
      <c r="D76" t="s">
        <v>15</v>
      </c>
      <c r="E76" t="s">
        <v>42</v>
      </c>
      <c r="F76" t="s">
        <v>32</v>
      </c>
      <c r="G76" s="2">
        <v>76</v>
      </c>
      <c r="H76" s="3">
        <v>44.44</v>
      </c>
      <c r="I76" s="3">
        <f t="shared" si="2"/>
        <v>3377.44</v>
      </c>
      <c r="J76" s="3">
        <v>618.75</v>
      </c>
      <c r="K76" s="3">
        <v>104.72</v>
      </c>
      <c r="L76" s="4">
        <v>2.06E-2</v>
      </c>
      <c r="M76" s="4">
        <v>0.96319999999999995</v>
      </c>
    </row>
    <row r="77" spans="1:13" ht="19.95" customHeight="1" x14ac:dyDescent="0.4">
      <c r="A77" s="1">
        <v>46124</v>
      </c>
      <c r="B77" t="s">
        <v>46</v>
      </c>
      <c r="C77" t="s">
        <v>48</v>
      </c>
      <c r="D77" t="s">
        <v>20</v>
      </c>
      <c r="E77" t="s">
        <v>31</v>
      </c>
      <c r="F77" t="s">
        <v>32</v>
      </c>
      <c r="G77" s="2">
        <v>292</v>
      </c>
      <c r="H77" s="3">
        <v>14.74</v>
      </c>
      <c r="I77" s="3">
        <f t="shared" si="2"/>
        <v>4304.08</v>
      </c>
      <c r="J77" s="3">
        <v>1025.04</v>
      </c>
      <c r="K77" s="3">
        <v>178.39</v>
      </c>
      <c r="L77" s="4">
        <v>3.8999999999999998E-3</v>
      </c>
      <c r="M77" s="4">
        <v>0.88759999999999994</v>
      </c>
    </row>
    <row r="78" spans="1:13" ht="19.95" customHeight="1" x14ac:dyDescent="0.4">
      <c r="A78" s="1">
        <v>46126</v>
      </c>
      <c r="B78" t="s">
        <v>33</v>
      </c>
      <c r="C78" t="s">
        <v>39</v>
      </c>
      <c r="D78" t="s">
        <v>35</v>
      </c>
      <c r="E78" t="s">
        <v>51</v>
      </c>
      <c r="F78" t="s">
        <v>22</v>
      </c>
      <c r="G78" s="2">
        <v>230</v>
      </c>
      <c r="H78" s="3">
        <v>49.25</v>
      </c>
      <c r="I78" s="3">
        <f t="shared" si="2"/>
        <v>11327.5</v>
      </c>
      <c r="J78" s="3">
        <v>3153.07</v>
      </c>
      <c r="K78" s="3">
        <v>178.65</v>
      </c>
      <c r="L78" s="4">
        <v>1.2999999999999999E-2</v>
      </c>
      <c r="M78" s="4">
        <v>0.88</v>
      </c>
    </row>
    <row r="79" spans="1:13" ht="19.95" customHeight="1" x14ac:dyDescent="0.4">
      <c r="A79" s="1">
        <v>46126</v>
      </c>
      <c r="B79" t="s">
        <v>13</v>
      </c>
      <c r="C79" t="s">
        <v>44</v>
      </c>
      <c r="D79" t="s">
        <v>35</v>
      </c>
      <c r="E79" t="s">
        <v>36</v>
      </c>
      <c r="F79" t="s">
        <v>43</v>
      </c>
      <c r="G79" s="2">
        <v>774</v>
      </c>
      <c r="H79" s="3">
        <v>32.72</v>
      </c>
      <c r="I79" s="3">
        <f t="shared" si="2"/>
        <v>25325.279999999999</v>
      </c>
      <c r="J79" s="3">
        <v>4176</v>
      </c>
      <c r="K79" s="3">
        <v>439.88</v>
      </c>
      <c r="L79" s="4">
        <v>2.5399999999999999E-2</v>
      </c>
      <c r="M79" s="4">
        <v>0.96630000000000005</v>
      </c>
    </row>
    <row r="80" spans="1:13" ht="19.95" customHeight="1" x14ac:dyDescent="0.4">
      <c r="A80" s="1">
        <v>46128</v>
      </c>
      <c r="B80" t="s">
        <v>18</v>
      </c>
      <c r="C80" t="s">
        <v>34</v>
      </c>
      <c r="D80" t="s">
        <v>15</v>
      </c>
      <c r="E80" t="s">
        <v>45</v>
      </c>
      <c r="F80" t="s">
        <v>22</v>
      </c>
      <c r="G80" s="2">
        <v>55</v>
      </c>
      <c r="H80" s="3">
        <v>270.52</v>
      </c>
      <c r="I80" s="3">
        <f t="shared" si="2"/>
        <v>14878.6</v>
      </c>
      <c r="J80" s="3">
        <v>2663.14</v>
      </c>
      <c r="K80" s="3">
        <v>452.84</v>
      </c>
      <c r="L80" s="4">
        <v>1.7899999999999999E-2</v>
      </c>
      <c r="M80" s="4">
        <v>0.89559999999999995</v>
      </c>
    </row>
    <row r="81" spans="1:13" ht="19.95" customHeight="1" x14ac:dyDescent="0.4">
      <c r="A81" s="1">
        <v>46130</v>
      </c>
      <c r="B81" t="s">
        <v>46</v>
      </c>
      <c r="C81" t="s">
        <v>44</v>
      </c>
      <c r="D81" t="s">
        <v>35</v>
      </c>
      <c r="E81" t="s">
        <v>51</v>
      </c>
      <c r="F81" t="s">
        <v>43</v>
      </c>
      <c r="G81" s="2">
        <v>386</v>
      </c>
      <c r="H81" s="3">
        <v>45.1</v>
      </c>
      <c r="I81" s="3">
        <f t="shared" si="2"/>
        <v>17408.599999999999</v>
      </c>
      <c r="J81" s="3">
        <v>4301.2</v>
      </c>
      <c r="K81" s="3">
        <v>620.78</v>
      </c>
      <c r="L81" s="4">
        <v>3.04E-2</v>
      </c>
      <c r="M81" s="4">
        <v>0.91679999999999995</v>
      </c>
    </row>
    <row r="82" spans="1:13" ht="19.95" customHeight="1" x14ac:dyDescent="0.4">
      <c r="A82" s="1">
        <v>46130</v>
      </c>
      <c r="B82" t="s">
        <v>33</v>
      </c>
      <c r="C82" t="s">
        <v>27</v>
      </c>
      <c r="D82" t="s">
        <v>40</v>
      </c>
      <c r="E82" t="s">
        <v>47</v>
      </c>
      <c r="F82" t="s">
        <v>17</v>
      </c>
      <c r="G82" s="2">
        <v>238</v>
      </c>
      <c r="H82" s="3">
        <v>48.68</v>
      </c>
      <c r="I82" s="3">
        <f t="shared" si="2"/>
        <v>11585.84</v>
      </c>
      <c r="J82" s="3">
        <v>1812.93</v>
      </c>
      <c r="K82" s="3">
        <v>1088.29</v>
      </c>
      <c r="L82" s="4">
        <v>1.4500000000000001E-2</v>
      </c>
      <c r="M82" s="4">
        <v>0.90890000000000004</v>
      </c>
    </row>
    <row r="83" spans="1:13" ht="19.95" customHeight="1" x14ac:dyDescent="0.4">
      <c r="A83" s="1">
        <v>46132</v>
      </c>
      <c r="B83" t="s">
        <v>18</v>
      </c>
      <c r="C83" t="s">
        <v>19</v>
      </c>
      <c r="D83" t="s">
        <v>20</v>
      </c>
      <c r="E83" t="s">
        <v>31</v>
      </c>
      <c r="F83" t="s">
        <v>32</v>
      </c>
      <c r="G83" s="2">
        <v>28</v>
      </c>
      <c r="H83" s="3">
        <v>16.190000000000001</v>
      </c>
      <c r="I83" s="3">
        <f t="shared" si="2"/>
        <v>453.32</v>
      </c>
      <c r="J83" s="3">
        <v>82.42</v>
      </c>
      <c r="K83" s="3">
        <v>12.39</v>
      </c>
      <c r="L83" s="4">
        <v>1.0200000000000001E-2</v>
      </c>
      <c r="M83" s="4">
        <v>0.88739999999999997</v>
      </c>
    </row>
    <row r="84" spans="1:13" ht="19.95" customHeight="1" x14ac:dyDescent="0.4">
      <c r="A84" s="1">
        <v>46132</v>
      </c>
      <c r="B84" t="s">
        <v>13</v>
      </c>
      <c r="C84" t="s">
        <v>34</v>
      </c>
      <c r="D84" t="s">
        <v>40</v>
      </c>
      <c r="E84" t="s">
        <v>50</v>
      </c>
      <c r="F84" t="s">
        <v>43</v>
      </c>
      <c r="G84" s="2">
        <v>432</v>
      </c>
      <c r="H84" s="3">
        <v>143.43</v>
      </c>
      <c r="I84" s="3">
        <f t="shared" si="2"/>
        <v>61961.760000000002</v>
      </c>
      <c r="J84" s="3">
        <v>12628.9</v>
      </c>
      <c r="K84" s="3">
        <v>1552</v>
      </c>
      <c r="L84" s="4">
        <v>2.0500000000000001E-2</v>
      </c>
      <c r="M84" s="4">
        <v>0.91549999999999998</v>
      </c>
    </row>
    <row r="85" spans="1:13" ht="19.95" customHeight="1" x14ac:dyDescent="0.4">
      <c r="A85" s="1">
        <v>46133</v>
      </c>
      <c r="B85" t="s">
        <v>18</v>
      </c>
      <c r="C85" t="s">
        <v>34</v>
      </c>
      <c r="D85" t="s">
        <v>20</v>
      </c>
      <c r="E85" t="s">
        <v>31</v>
      </c>
      <c r="F85" t="s">
        <v>32</v>
      </c>
      <c r="G85" s="2">
        <v>147</v>
      </c>
      <c r="H85" s="3">
        <v>13.71</v>
      </c>
      <c r="I85" s="3">
        <f t="shared" si="2"/>
        <v>2015.37</v>
      </c>
      <c r="J85" s="3">
        <v>555.9</v>
      </c>
      <c r="K85" s="3">
        <v>97.09</v>
      </c>
      <c r="L85" s="4">
        <v>1.0699999999999999E-2</v>
      </c>
      <c r="M85" s="4">
        <v>0.97089999999999999</v>
      </c>
    </row>
    <row r="86" spans="1:13" ht="19.95" customHeight="1" x14ac:dyDescent="0.4">
      <c r="A86" s="1">
        <v>46135</v>
      </c>
      <c r="B86" t="s">
        <v>13</v>
      </c>
      <c r="C86" t="s">
        <v>27</v>
      </c>
      <c r="D86" t="s">
        <v>35</v>
      </c>
      <c r="E86" t="s">
        <v>51</v>
      </c>
      <c r="F86" t="s">
        <v>26</v>
      </c>
      <c r="G86" s="2">
        <v>420</v>
      </c>
      <c r="H86" s="3">
        <v>47</v>
      </c>
      <c r="I86" s="3">
        <f t="shared" si="2"/>
        <v>19740</v>
      </c>
      <c r="J86" s="3">
        <v>6288.66</v>
      </c>
      <c r="K86" s="3">
        <v>660.52</v>
      </c>
      <c r="L86" s="4">
        <v>2.3E-3</v>
      </c>
      <c r="M86" s="4">
        <v>0.88929999999999998</v>
      </c>
    </row>
    <row r="87" spans="1:13" ht="19.95" customHeight="1" x14ac:dyDescent="0.4">
      <c r="A87" s="1">
        <v>46136</v>
      </c>
      <c r="B87" t="s">
        <v>33</v>
      </c>
      <c r="C87" t="s">
        <v>34</v>
      </c>
      <c r="D87" t="s">
        <v>35</v>
      </c>
      <c r="E87" t="s">
        <v>36</v>
      </c>
      <c r="F87" t="s">
        <v>32</v>
      </c>
      <c r="G87" s="2">
        <v>235</v>
      </c>
      <c r="H87" s="3">
        <v>25.95</v>
      </c>
      <c r="I87" s="3">
        <f t="shared" si="2"/>
        <v>6098.25</v>
      </c>
      <c r="J87" s="3">
        <v>1242.68</v>
      </c>
      <c r="K87" s="3">
        <v>152.33000000000001</v>
      </c>
      <c r="L87" s="4">
        <v>1.1900000000000001E-2</v>
      </c>
      <c r="M87" s="4">
        <v>0.97019999999999995</v>
      </c>
    </row>
    <row r="88" spans="1:13" ht="19.95" customHeight="1" x14ac:dyDescent="0.4">
      <c r="A88" s="1">
        <v>46137</v>
      </c>
      <c r="B88" t="s">
        <v>33</v>
      </c>
      <c r="C88" t="s">
        <v>23</v>
      </c>
      <c r="D88" t="s">
        <v>20</v>
      </c>
      <c r="E88" t="s">
        <v>31</v>
      </c>
      <c r="F88" t="s">
        <v>32</v>
      </c>
      <c r="G88" s="2">
        <v>201</v>
      </c>
      <c r="H88" s="3">
        <v>13.56</v>
      </c>
      <c r="I88" s="3">
        <f t="shared" si="2"/>
        <v>2725.56</v>
      </c>
      <c r="J88" s="3">
        <v>960.17</v>
      </c>
      <c r="K88" s="3">
        <v>36.630000000000003</v>
      </c>
      <c r="L88" s="4">
        <v>3.4700000000000002E-2</v>
      </c>
      <c r="M88" s="4">
        <v>0.89410000000000001</v>
      </c>
    </row>
    <row r="89" spans="1:13" ht="19.95" customHeight="1" x14ac:dyDescent="0.4">
      <c r="A89" s="1">
        <v>46143</v>
      </c>
      <c r="B89" t="s">
        <v>46</v>
      </c>
      <c r="C89" t="s">
        <v>14</v>
      </c>
      <c r="D89" t="s">
        <v>15</v>
      </c>
      <c r="E89" t="s">
        <v>42</v>
      </c>
      <c r="F89" t="s">
        <v>43</v>
      </c>
      <c r="G89" s="2">
        <v>683</v>
      </c>
      <c r="H89" s="3">
        <v>38.28</v>
      </c>
      <c r="I89" s="3">
        <f t="shared" si="2"/>
        <v>26145.24</v>
      </c>
      <c r="J89" s="3">
        <v>5745.53</v>
      </c>
      <c r="K89" s="3">
        <v>704.64</v>
      </c>
      <c r="L89" s="4">
        <v>2.47E-2</v>
      </c>
      <c r="M89" s="4">
        <v>0.89790000000000003</v>
      </c>
    </row>
    <row r="90" spans="1:13" ht="19.95" customHeight="1" x14ac:dyDescent="0.4">
      <c r="A90" s="1">
        <v>46144</v>
      </c>
      <c r="B90" t="s">
        <v>13</v>
      </c>
      <c r="C90" t="s">
        <v>44</v>
      </c>
      <c r="D90" t="s">
        <v>24</v>
      </c>
      <c r="E90" t="s">
        <v>28</v>
      </c>
      <c r="F90" t="s">
        <v>32</v>
      </c>
      <c r="G90" s="2">
        <v>185</v>
      </c>
      <c r="H90" s="3">
        <v>24.85</v>
      </c>
      <c r="I90" s="3">
        <f t="shared" si="2"/>
        <v>4597.25</v>
      </c>
      <c r="J90" s="3">
        <v>936.85</v>
      </c>
      <c r="K90" s="3">
        <v>89.09</v>
      </c>
      <c r="L90" s="4">
        <v>2.7300000000000001E-2</v>
      </c>
      <c r="M90" s="4">
        <v>0.91379999999999995</v>
      </c>
    </row>
    <row r="91" spans="1:13" ht="19.95" customHeight="1" x14ac:dyDescent="0.4">
      <c r="A91" s="1">
        <v>46146</v>
      </c>
      <c r="B91" t="s">
        <v>13</v>
      </c>
      <c r="C91" t="s">
        <v>39</v>
      </c>
      <c r="D91" t="s">
        <v>20</v>
      </c>
      <c r="E91" t="s">
        <v>31</v>
      </c>
      <c r="F91" t="s">
        <v>22</v>
      </c>
      <c r="G91" s="2">
        <v>143</v>
      </c>
      <c r="H91" s="3">
        <v>16.54</v>
      </c>
      <c r="I91" s="3">
        <f t="shared" si="2"/>
        <v>2365.2199999999998</v>
      </c>
      <c r="J91" s="3">
        <v>500.35</v>
      </c>
      <c r="K91" s="3">
        <v>95.9</v>
      </c>
      <c r="L91" s="4">
        <v>1.8800000000000001E-2</v>
      </c>
      <c r="M91" s="4">
        <v>0.88019999999999998</v>
      </c>
    </row>
    <row r="92" spans="1:13" ht="19.95" customHeight="1" x14ac:dyDescent="0.4">
      <c r="A92" s="1">
        <v>46148</v>
      </c>
      <c r="B92" t="s">
        <v>46</v>
      </c>
      <c r="C92" t="s">
        <v>14</v>
      </c>
      <c r="D92" t="s">
        <v>24</v>
      </c>
      <c r="E92" t="s">
        <v>25</v>
      </c>
      <c r="F92" t="s">
        <v>17</v>
      </c>
      <c r="G92" s="2">
        <v>249</v>
      </c>
      <c r="H92" s="3">
        <v>48.66</v>
      </c>
      <c r="I92" s="3">
        <f t="shared" si="2"/>
        <v>12116.34</v>
      </c>
      <c r="J92" s="3">
        <v>3142.41</v>
      </c>
      <c r="K92" s="3">
        <v>844.01</v>
      </c>
      <c r="L92" s="4">
        <v>6.1999999999999998E-3</v>
      </c>
      <c r="M92" s="4">
        <v>0.97319999999999995</v>
      </c>
    </row>
    <row r="93" spans="1:13" ht="19.95" customHeight="1" x14ac:dyDescent="0.4">
      <c r="A93" s="1">
        <v>46152</v>
      </c>
      <c r="B93" t="s">
        <v>18</v>
      </c>
      <c r="C93" t="s">
        <v>39</v>
      </c>
      <c r="D93" t="s">
        <v>35</v>
      </c>
      <c r="E93" t="s">
        <v>37</v>
      </c>
      <c r="F93" t="s">
        <v>32</v>
      </c>
      <c r="G93" s="2">
        <v>168</v>
      </c>
      <c r="H93" s="3">
        <v>102.65</v>
      </c>
      <c r="I93" s="3">
        <f t="shared" si="2"/>
        <v>17245.2</v>
      </c>
      <c r="J93" s="3">
        <v>3018.65</v>
      </c>
      <c r="K93" s="3">
        <v>335.27</v>
      </c>
      <c r="L93" s="4">
        <v>2.64E-2</v>
      </c>
      <c r="M93" s="4">
        <v>0.89810000000000001</v>
      </c>
    </row>
    <row r="94" spans="1:13" ht="19.95" customHeight="1" x14ac:dyDescent="0.4">
      <c r="A94" s="1">
        <v>46154</v>
      </c>
      <c r="B94" t="s">
        <v>46</v>
      </c>
      <c r="C94" t="s">
        <v>34</v>
      </c>
      <c r="D94" t="s">
        <v>24</v>
      </c>
      <c r="E94" t="s">
        <v>28</v>
      </c>
      <c r="F94" t="s">
        <v>26</v>
      </c>
      <c r="G94" s="2">
        <v>776</v>
      </c>
      <c r="H94" s="3">
        <v>24.23</v>
      </c>
      <c r="I94" s="3">
        <f t="shared" si="2"/>
        <v>18802.48</v>
      </c>
      <c r="J94" s="3">
        <v>2939.46</v>
      </c>
      <c r="K94" s="3">
        <v>825.08</v>
      </c>
      <c r="L94" s="4">
        <v>9.2999999999999992E-3</v>
      </c>
      <c r="M94" s="4">
        <v>0.94069999999999998</v>
      </c>
    </row>
    <row r="95" spans="1:13" ht="19.95" customHeight="1" x14ac:dyDescent="0.4">
      <c r="A95" s="1">
        <v>46154</v>
      </c>
      <c r="B95" t="s">
        <v>18</v>
      </c>
      <c r="C95" t="s">
        <v>48</v>
      </c>
      <c r="D95" t="s">
        <v>35</v>
      </c>
      <c r="E95" t="s">
        <v>36</v>
      </c>
      <c r="F95" t="s">
        <v>26</v>
      </c>
      <c r="G95" s="2">
        <v>149</v>
      </c>
      <c r="H95" s="3">
        <v>32.020000000000003</v>
      </c>
      <c r="I95" s="3">
        <f t="shared" si="2"/>
        <v>4770.9799999999996</v>
      </c>
      <c r="J95" s="3">
        <v>1017.31</v>
      </c>
      <c r="K95" s="3">
        <v>50.98</v>
      </c>
      <c r="L95" s="4">
        <v>3.4299999999999997E-2</v>
      </c>
      <c r="M95" s="4">
        <v>0.89849999999999997</v>
      </c>
    </row>
    <row r="96" spans="1:13" ht="19.95" customHeight="1" x14ac:dyDescent="0.4">
      <c r="A96" s="1">
        <v>46156</v>
      </c>
      <c r="B96" t="s">
        <v>13</v>
      </c>
      <c r="C96" t="s">
        <v>48</v>
      </c>
      <c r="D96" t="s">
        <v>15</v>
      </c>
      <c r="E96" t="s">
        <v>42</v>
      </c>
      <c r="F96" t="s">
        <v>32</v>
      </c>
      <c r="G96" s="2">
        <v>15</v>
      </c>
      <c r="H96" s="3">
        <v>42.69</v>
      </c>
      <c r="I96" s="3">
        <f t="shared" si="2"/>
        <v>640.35</v>
      </c>
      <c r="J96" s="3">
        <v>136.85</v>
      </c>
      <c r="K96" s="3">
        <v>22.61</v>
      </c>
      <c r="L96" s="4">
        <v>3.0700000000000002E-2</v>
      </c>
      <c r="M96" s="4">
        <v>0.92900000000000005</v>
      </c>
    </row>
    <row r="97" spans="1:13" ht="19.95" customHeight="1" x14ac:dyDescent="0.4">
      <c r="A97" s="1">
        <v>46157</v>
      </c>
      <c r="B97" t="s">
        <v>18</v>
      </c>
      <c r="C97" t="s">
        <v>39</v>
      </c>
      <c r="D97" t="s">
        <v>20</v>
      </c>
      <c r="E97" t="s">
        <v>31</v>
      </c>
      <c r="F97" t="s">
        <v>17</v>
      </c>
      <c r="G97" s="2">
        <v>180</v>
      </c>
      <c r="H97" s="3">
        <v>15.47</v>
      </c>
      <c r="I97" s="3">
        <f t="shared" si="2"/>
        <v>2784.6</v>
      </c>
      <c r="J97" s="3">
        <v>717.33</v>
      </c>
      <c r="K97" s="3">
        <v>183.52</v>
      </c>
      <c r="L97" s="4">
        <v>3.6799999999999999E-2</v>
      </c>
      <c r="M97" s="4">
        <v>0.95599999999999996</v>
      </c>
    </row>
    <row r="98" spans="1:13" ht="19.95" customHeight="1" x14ac:dyDescent="0.4">
      <c r="A98" s="1">
        <v>46158</v>
      </c>
      <c r="B98" t="s">
        <v>18</v>
      </c>
      <c r="C98" t="s">
        <v>23</v>
      </c>
      <c r="D98" t="s">
        <v>15</v>
      </c>
      <c r="E98" t="s">
        <v>45</v>
      </c>
      <c r="F98" t="s">
        <v>26</v>
      </c>
      <c r="G98" s="2">
        <v>162</v>
      </c>
      <c r="H98" s="3">
        <v>293.68</v>
      </c>
      <c r="I98" s="3">
        <f t="shared" ref="I98:I129" si="3">ROUND(G98*H98,2)</f>
        <v>47576.160000000003</v>
      </c>
      <c r="J98" s="3">
        <v>13618.79</v>
      </c>
      <c r="K98" s="3">
        <v>1065.92</v>
      </c>
      <c r="L98" s="4">
        <v>1.7600000000000001E-2</v>
      </c>
      <c r="M98" s="4">
        <v>0.89139999999999997</v>
      </c>
    </row>
    <row r="99" spans="1:13" ht="19.95" customHeight="1" x14ac:dyDescent="0.4">
      <c r="A99" s="1">
        <v>46159</v>
      </c>
      <c r="B99" t="s">
        <v>13</v>
      </c>
      <c r="C99" t="s">
        <v>19</v>
      </c>
      <c r="D99" t="s">
        <v>20</v>
      </c>
      <c r="E99" t="s">
        <v>21</v>
      </c>
      <c r="F99" t="s">
        <v>17</v>
      </c>
      <c r="G99" s="2">
        <v>33</v>
      </c>
      <c r="H99" s="3">
        <v>38.01</v>
      </c>
      <c r="I99" s="3">
        <f t="shared" si="3"/>
        <v>1254.33</v>
      </c>
      <c r="J99" s="3">
        <v>236.07</v>
      </c>
      <c r="K99" s="3">
        <v>90.61</v>
      </c>
      <c r="L99" s="4">
        <v>3.0000000000000001E-3</v>
      </c>
      <c r="M99" s="4">
        <v>0.90869999999999995</v>
      </c>
    </row>
    <row r="100" spans="1:13" ht="19.95" customHeight="1" x14ac:dyDescent="0.4">
      <c r="A100" s="1">
        <v>46160</v>
      </c>
      <c r="B100" t="s">
        <v>18</v>
      </c>
      <c r="C100" t="s">
        <v>39</v>
      </c>
      <c r="D100" t="s">
        <v>15</v>
      </c>
      <c r="E100" t="s">
        <v>45</v>
      </c>
      <c r="F100" t="s">
        <v>26</v>
      </c>
      <c r="G100" s="2">
        <v>209</v>
      </c>
      <c r="H100" s="3">
        <v>320.95</v>
      </c>
      <c r="I100" s="3">
        <f t="shared" si="3"/>
        <v>67078.55</v>
      </c>
      <c r="J100" s="3">
        <v>16232.5</v>
      </c>
      <c r="K100" s="3">
        <v>2739.7</v>
      </c>
      <c r="L100" s="4">
        <v>1.5100000000000001E-2</v>
      </c>
      <c r="M100" s="4">
        <v>0.96389999999999998</v>
      </c>
    </row>
    <row r="101" spans="1:13" ht="19.95" customHeight="1" x14ac:dyDescent="0.4">
      <c r="A101" s="1">
        <v>46160</v>
      </c>
      <c r="B101" t="s">
        <v>46</v>
      </c>
      <c r="C101" t="s">
        <v>27</v>
      </c>
      <c r="D101" t="s">
        <v>20</v>
      </c>
      <c r="E101" t="s">
        <v>21</v>
      </c>
      <c r="F101" t="s">
        <v>32</v>
      </c>
      <c r="G101" s="2">
        <v>212</v>
      </c>
      <c r="H101" s="3">
        <v>31.35</v>
      </c>
      <c r="I101" s="3">
        <f t="shared" si="3"/>
        <v>6646.2</v>
      </c>
      <c r="J101" s="3">
        <v>1121.5999999999999</v>
      </c>
      <c r="K101" s="3">
        <v>250.64</v>
      </c>
      <c r="L101" s="4">
        <v>3.0599999999999999E-2</v>
      </c>
      <c r="M101" s="4">
        <v>0.99980000000000002</v>
      </c>
    </row>
    <row r="102" spans="1:13" ht="19.95" customHeight="1" x14ac:dyDescent="0.4">
      <c r="A102" s="1">
        <v>46163</v>
      </c>
      <c r="B102" t="s">
        <v>46</v>
      </c>
      <c r="C102" t="s">
        <v>44</v>
      </c>
      <c r="D102" t="s">
        <v>15</v>
      </c>
      <c r="E102" t="s">
        <v>45</v>
      </c>
      <c r="F102" t="s">
        <v>22</v>
      </c>
      <c r="G102" s="2">
        <v>143</v>
      </c>
      <c r="H102" s="3">
        <v>276.33</v>
      </c>
      <c r="I102" s="3">
        <f t="shared" si="3"/>
        <v>39515.19</v>
      </c>
      <c r="J102" s="3">
        <v>6240.47</v>
      </c>
      <c r="K102" s="3">
        <v>1429.09</v>
      </c>
      <c r="L102" s="4">
        <v>3.0000000000000001E-3</v>
      </c>
      <c r="M102" s="4">
        <v>0.92049999999999998</v>
      </c>
    </row>
    <row r="103" spans="1:13" ht="19.95" customHeight="1" x14ac:dyDescent="0.4">
      <c r="A103" s="1">
        <v>46164</v>
      </c>
      <c r="B103" t="s">
        <v>18</v>
      </c>
      <c r="C103" t="s">
        <v>49</v>
      </c>
      <c r="D103" t="s">
        <v>35</v>
      </c>
      <c r="E103" t="s">
        <v>37</v>
      </c>
      <c r="F103" t="s">
        <v>32</v>
      </c>
      <c r="G103" s="2">
        <v>108</v>
      </c>
      <c r="H103" s="3">
        <v>94.28</v>
      </c>
      <c r="I103" s="3">
        <f t="shared" si="3"/>
        <v>10182.24</v>
      </c>
      <c r="J103" s="3">
        <v>1939.79</v>
      </c>
      <c r="K103" s="3">
        <v>503.15</v>
      </c>
      <c r="L103" s="4">
        <v>2.1899999999999999E-2</v>
      </c>
      <c r="M103" s="4">
        <v>0.94950000000000001</v>
      </c>
    </row>
    <row r="104" spans="1:13" ht="19.95" customHeight="1" x14ac:dyDescent="0.4">
      <c r="A104" s="1">
        <v>46164</v>
      </c>
      <c r="B104" t="s">
        <v>13</v>
      </c>
      <c r="C104" t="s">
        <v>19</v>
      </c>
      <c r="D104" t="s">
        <v>24</v>
      </c>
      <c r="E104" t="s">
        <v>30</v>
      </c>
      <c r="F104" t="s">
        <v>22</v>
      </c>
      <c r="G104" s="2">
        <v>233</v>
      </c>
      <c r="H104" s="3">
        <v>21.17</v>
      </c>
      <c r="I104" s="3">
        <f t="shared" si="3"/>
        <v>4932.6099999999997</v>
      </c>
      <c r="J104" s="3">
        <v>1026.03</v>
      </c>
      <c r="K104" s="3">
        <v>69.62</v>
      </c>
      <c r="L104" s="4">
        <v>2.9499999999999998E-2</v>
      </c>
      <c r="M104" s="4">
        <v>0.96619999999999995</v>
      </c>
    </row>
    <row r="105" spans="1:13" ht="19.95" customHeight="1" x14ac:dyDescent="0.4">
      <c r="A105" s="1">
        <v>46168</v>
      </c>
      <c r="B105" t="s">
        <v>46</v>
      </c>
      <c r="C105" t="s">
        <v>29</v>
      </c>
      <c r="D105" t="s">
        <v>40</v>
      </c>
      <c r="E105" t="s">
        <v>47</v>
      </c>
      <c r="F105" t="s">
        <v>43</v>
      </c>
      <c r="G105" s="2">
        <v>967</v>
      </c>
      <c r="H105" s="3">
        <v>44.65</v>
      </c>
      <c r="I105" s="3">
        <f t="shared" si="3"/>
        <v>43176.55</v>
      </c>
      <c r="J105" s="3">
        <v>9518.7999999999993</v>
      </c>
      <c r="K105" s="3">
        <v>1487.12</v>
      </c>
      <c r="L105" s="4">
        <v>1.4999999999999999E-2</v>
      </c>
      <c r="M105" s="4">
        <v>0.88570000000000004</v>
      </c>
    </row>
    <row r="106" spans="1:13" ht="19.95" customHeight="1" x14ac:dyDescent="0.4">
      <c r="A106" s="1">
        <v>46169</v>
      </c>
      <c r="B106" t="s">
        <v>33</v>
      </c>
      <c r="C106" t="s">
        <v>44</v>
      </c>
      <c r="D106" t="s">
        <v>24</v>
      </c>
      <c r="E106" t="s">
        <v>30</v>
      </c>
      <c r="F106" t="s">
        <v>22</v>
      </c>
      <c r="G106" s="2">
        <v>151</v>
      </c>
      <c r="H106" s="3">
        <v>22.73</v>
      </c>
      <c r="I106" s="3">
        <f t="shared" si="3"/>
        <v>3432.23</v>
      </c>
      <c r="J106" s="3">
        <v>1091.1300000000001</v>
      </c>
      <c r="K106" s="3">
        <v>126.16</v>
      </c>
      <c r="L106" s="4">
        <v>2.58E-2</v>
      </c>
      <c r="M106" s="4">
        <v>0.93500000000000005</v>
      </c>
    </row>
    <row r="107" spans="1:13" ht="19.95" customHeight="1" x14ac:dyDescent="0.4">
      <c r="A107" s="1">
        <v>46172</v>
      </c>
      <c r="B107" t="s">
        <v>33</v>
      </c>
      <c r="C107" t="s">
        <v>48</v>
      </c>
      <c r="D107" t="s">
        <v>24</v>
      </c>
      <c r="E107" t="s">
        <v>30</v>
      </c>
      <c r="F107" t="s">
        <v>22</v>
      </c>
      <c r="G107" s="2">
        <v>80</v>
      </c>
      <c r="H107" s="3">
        <v>19.05</v>
      </c>
      <c r="I107" s="3">
        <f t="shared" si="3"/>
        <v>1524</v>
      </c>
      <c r="J107" s="3">
        <v>209.89</v>
      </c>
      <c r="K107" s="3">
        <v>68.790000000000006</v>
      </c>
      <c r="L107" s="4">
        <v>3.49E-2</v>
      </c>
      <c r="M107" s="4">
        <v>0.88439999999999996</v>
      </c>
    </row>
    <row r="108" spans="1:13" ht="19.95" customHeight="1" x14ac:dyDescent="0.4">
      <c r="A108" s="1">
        <v>46172</v>
      </c>
      <c r="B108" t="s">
        <v>33</v>
      </c>
      <c r="C108" t="s">
        <v>44</v>
      </c>
      <c r="D108" t="s">
        <v>35</v>
      </c>
      <c r="E108" t="s">
        <v>51</v>
      </c>
      <c r="F108" t="s">
        <v>17</v>
      </c>
      <c r="G108" s="2">
        <v>117</v>
      </c>
      <c r="H108" s="3">
        <v>38.6</v>
      </c>
      <c r="I108" s="3">
        <f t="shared" si="3"/>
        <v>4516.2</v>
      </c>
      <c r="J108" s="3">
        <v>1203.75</v>
      </c>
      <c r="K108" s="3">
        <v>270.89999999999998</v>
      </c>
      <c r="L108" s="4">
        <v>3.44E-2</v>
      </c>
      <c r="M108" s="4">
        <v>0.92789999999999995</v>
      </c>
    </row>
    <row r="109" spans="1:13" ht="19.95" customHeight="1" x14ac:dyDescent="0.4">
      <c r="A109" s="1">
        <v>46172</v>
      </c>
      <c r="B109" t="s">
        <v>33</v>
      </c>
      <c r="C109" t="s">
        <v>27</v>
      </c>
      <c r="D109" t="s">
        <v>35</v>
      </c>
      <c r="E109" t="s">
        <v>51</v>
      </c>
      <c r="F109" t="s">
        <v>43</v>
      </c>
      <c r="G109" s="2">
        <v>152</v>
      </c>
      <c r="H109" s="3">
        <v>42.95</v>
      </c>
      <c r="I109" s="3">
        <f t="shared" si="3"/>
        <v>6528.4</v>
      </c>
      <c r="J109" s="3">
        <v>2006.55</v>
      </c>
      <c r="K109" s="3">
        <v>257.16000000000003</v>
      </c>
      <c r="L109" s="4">
        <v>2.9399999999999999E-2</v>
      </c>
      <c r="M109" s="4">
        <v>0.89339999999999997</v>
      </c>
    </row>
    <row r="110" spans="1:13" ht="19.95" customHeight="1" x14ac:dyDescent="0.4">
      <c r="A110" s="1">
        <v>46173</v>
      </c>
      <c r="B110" t="s">
        <v>33</v>
      </c>
      <c r="C110" t="s">
        <v>48</v>
      </c>
      <c r="D110" t="s">
        <v>40</v>
      </c>
      <c r="E110" t="s">
        <v>41</v>
      </c>
      <c r="F110" t="s">
        <v>22</v>
      </c>
      <c r="G110" s="2">
        <v>172</v>
      </c>
      <c r="H110" s="3">
        <v>73.92</v>
      </c>
      <c r="I110" s="3">
        <f t="shared" si="3"/>
        <v>12714.24</v>
      </c>
      <c r="J110" s="3">
        <v>4332.25</v>
      </c>
      <c r="K110" s="3">
        <v>322.86</v>
      </c>
      <c r="L110" s="4">
        <v>2.3E-3</v>
      </c>
      <c r="M110" s="4">
        <v>0.95079999999999998</v>
      </c>
    </row>
    <row r="111" spans="1:13" ht="19.95" customHeight="1" x14ac:dyDescent="0.4">
      <c r="A111" s="1">
        <v>46175</v>
      </c>
      <c r="B111" t="s">
        <v>18</v>
      </c>
      <c r="C111" t="s">
        <v>34</v>
      </c>
      <c r="D111" t="s">
        <v>35</v>
      </c>
      <c r="E111" t="s">
        <v>37</v>
      </c>
      <c r="F111" t="s">
        <v>17</v>
      </c>
      <c r="G111" s="2">
        <v>214</v>
      </c>
      <c r="H111" s="3">
        <v>104.63</v>
      </c>
      <c r="I111" s="3">
        <f t="shared" si="3"/>
        <v>22390.82</v>
      </c>
      <c r="J111" s="3">
        <v>2421.9899999999998</v>
      </c>
      <c r="K111" s="3">
        <v>2045.68</v>
      </c>
      <c r="L111" s="4">
        <v>2.6200000000000001E-2</v>
      </c>
      <c r="M111" s="4">
        <v>0.88170000000000004</v>
      </c>
    </row>
    <row r="112" spans="1:13" ht="19.95" customHeight="1" x14ac:dyDescent="0.4">
      <c r="A112" s="1">
        <v>46176</v>
      </c>
      <c r="B112" t="s">
        <v>13</v>
      </c>
      <c r="C112" t="s">
        <v>19</v>
      </c>
      <c r="D112" t="s">
        <v>40</v>
      </c>
      <c r="E112" t="s">
        <v>47</v>
      </c>
      <c r="F112" t="s">
        <v>43</v>
      </c>
      <c r="G112" s="2">
        <v>403</v>
      </c>
      <c r="H112" s="3">
        <v>46.61</v>
      </c>
      <c r="I112" s="3">
        <f t="shared" si="3"/>
        <v>18783.830000000002</v>
      </c>
      <c r="J112" s="3">
        <v>4025.8</v>
      </c>
      <c r="K112" s="3">
        <v>936.07</v>
      </c>
      <c r="L112" s="4">
        <v>2.0799999999999999E-2</v>
      </c>
      <c r="M112" s="4">
        <v>0.91439999999999999</v>
      </c>
    </row>
    <row r="113" spans="1:13" ht="19.95" customHeight="1" x14ac:dyDescent="0.4">
      <c r="A113" s="1">
        <v>46177</v>
      </c>
      <c r="B113" t="s">
        <v>33</v>
      </c>
      <c r="C113" t="s">
        <v>39</v>
      </c>
      <c r="D113" t="s">
        <v>20</v>
      </c>
      <c r="E113" t="s">
        <v>21</v>
      </c>
      <c r="F113" t="s">
        <v>32</v>
      </c>
      <c r="G113" s="2">
        <v>140</v>
      </c>
      <c r="H113" s="3">
        <v>39.46</v>
      </c>
      <c r="I113" s="3">
        <f t="shared" si="3"/>
        <v>5524.4</v>
      </c>
      <c r="J113" s="3">
        <v>1616.02</v>
      </c>
      <c r="K113" s="3">
        <v>233.02</v>
      </c>
      <c r="L113" s="4">
        <v>2.35E-2</v>
      </c>
      <c r="M113" s="4">
        <v>0.90380000000000005</v>
      </c>
    </row>
    <row r="114" spans="1:13" ht="19.95" customHeight="1" x14ac:dyDescent="0.4">
      <c r="A114" s="1">
        <v>46178</v>
      </c>
      <c r="B114" t="s">
        <v>46</v>
      </c>
      <c r="C114" t="s">
        <v>23</v>
      </c>
      <c r="D114" t="s">
        <v>20</v>
      </c>
      <c r="E114" t="s">
        <v>31</v>
      </c>
      <c r="F114" t="s">
        <v>32</v>
      </c>
      <c r="G114" s="2">
        <v>130</v>
      </c>
      <c r="H114" s="3">
        <v>13.42</v>
      </c>
      <c r="I114" s="3">
        <f t="shared" si="3"/>
        <v>1744.6</v>
      </c>
      <c r="J114" s="3">
        <v>268.55</v>
      </c>
      <c r="K114" s="3">
        <v>77.83</v>
      </c>
      <c r="L114" s="4">
        <v>1.1299999999999999E-2</v>
      </c>
      <c r="M114" s="4">
        <v>0.91090000000000004</v>
      </c>
    </row>
    <row r="115" spans="1:13" ht="19.95" customHeight="1" x14ac:dyDescent="0.4">
      <c r="A115" s="1">
        <v>46179</v>
      </c>
      <c r="B115" t="s">
        <v>33</v>
      </c>
      <c r="C115" t="s">
        <v>48</v>
      </c>
      <c r="D115" t="s">
        <v>35</v>
      </c>
      <c r="E115" t="s">
        <v>37</v>
      </c>
      <c r="F115" t="s">
        <v>26</v>
      </c>
      <c r="G115" s="2">
        <v>985</v>
      </c>
      <c r="H115" s="3">
        <v>89.06</v>
      </c>
      <c r="I115" s="3">
        <f t="shared" si="3"/>
        <v>87724.1</v>
      </c>
      <c r="J115" s="3">
        <v>27628.83</v>
      </c>
      <c r="K115" s="3">
        <v>1142.7</v>
      </c>
      <c r="L115" s="4">
        <v>3.1899999999999998E-2</v>
      </c>
      <c r="M115" s="4">
        <v>0.91090000000000004</v>
      </c>
    </row>
    <row r="116" spans="1:13" ht="19.95" customHeight="1" x14ac:dyDescent="0.4">
      <c r="A116" s="1">
        <v>46179</v>
      </c>
      <c r="B116" t="s">
        <v>18</v>
      </c>
      <c r="C116" t="s">
        <v>49</v>
      </c>
      <c r="D116" t="s">
        <v>24</v>
      </c>
      <c r="E116" t="s">
        <v>30</v>
      </c>
      <c r="F116" t="s">
        <v>22</v>
      </c>
      <c r="G116" s="2">
        <v>223</v>
      </c>
      <c r="H116" s="3">
        <v>17.96</v>
      </c>
      <c r="I116" s="3">
        <f t="shared" si="3"/>
        <v>4005.08</v>
      </c>
      <c r="J116" s="3">
        <v>1266.45</v>
      </c>
      <c r="K116" s="3">
        <v>74.739999999999995</v>
      </c>
      <c r="L116" s="4">
        <v>3.1800000000000002E-2</v>
      </c>
      <c r="M116" s="4">
        <v>0.91200000000000003</v>
      </c>
    </row>
    <row r="117" spans="1:13" ht="19.95" customHeight="1" x14ac:dyDescent="0.4">
      <c r="A117" s="1">
        <v>46180</v>
      </c>
      <c r="B117" t="s">
        <v>46</v>
      </c>
      <c r="C117" t="s">
        <v>48</v>
      </c>
      <c r="D117" t="s">
        <v>35</v>
      </c>
      <c r="E117" t="s">
        <v>36</v>
      </c>
      <c r="F117" t="s">
        <v>22</v>
      </c>
      <c r="G117" s="2">
        <v>105</v>
      </c>
      <c r="H117" s="3">
        <v>27.09</v>
      </c>
      <c r="I117" s="3">
        <f t="shared" si="3"/>
        <v>2844.45</v>
      </c>
      <c r="J117" s="3">
        <v>727.78</v>
      </c>
      <c r="K117" s="3">
        <v>46.26</v>
      </c>
      <c r="L117" s="4">
        <v>2E-3</v>
      </c>
      <c r="M117" s="4">
        <v>0.97650000000000003</v>
      </c>
    </row>
    <row r="118" spans="1:13" ht="19.95" customHeight="1" x14ac:dyDescent="0.4">
      <c r="A118" s="1">
        <v>46182</v>
      </c>
      <c r="B118" t="s">
        <v>13</v>
      </c>
      <c r="C118" t="s">
        <v>29</v>
      </c>
      <c r="D118" t="s">
        <v>40</v>
      </c>
      <c r="E118" t="s">
        <v>50</v>
      </c>
      <c r="F118" t="s">
        <v>43</v>
      </c>
      <c r="G118" s="2">
        <v>522</v>
      </c>
      <c r="H118" s="3">
        <v>134.79</v>
      </c>
      <c r="I118" s="3">
        <f t="shared" si="3"/>
        <v>70360.38</v>
      </c>
      <c r="J118" s="3">
        <v>17813.740000000002</v>
      </c>
      <c r="K118" s="3">
        <v>1302.18</v>
      </c>
      <c r="L118" s="4">
        <v>2.6800000000000001E-2</v>
      </c>
      <c r="M118" s="4">
        <v>0.94389999999999996</v>
      </c>
    </row>
    <row r="119" spans="1:13" ht="19.95" customHeight="1" x14ac:dyDescent="0.4">
      <c r="A119" s="1">
        <v>46182</v>
      </c>
      <c r="B119" t="s">
        <v>18</v>
      </c>
      <c r="C119" t="s">
        <v>39</v>
      </c>
      <c r="D119" t="s">
        <v>35</v>
      </c>
      <c r="E119" t="s">
        <v>37</v>
      </c>
      <c r="F119" t="s">
        <v>17</v>
      </c>
      <c r="G119" s="2">
        <v>23</v>
      </c>
      <c r="H119" s="3">
        <v>112.38</v>
      </c>
      <c r="I119" s="3">
        <f t="shared" si="3"/>
        <v>2584.7399999999998</v>
      </c>
      <c r="J119" s="3">
        <v>506.54</v>
      </c>
      <c r="K119" s="3">
        <v>145.84</v>
      </c>
      <c r="L119" s="4">
        <v>1.7500000000000002E-2</v>
      </c>
      <c r="M119" s="4">
        <v>0.97499999999999998</v>
      </c>
    </row>
    <row r="120" spans="1:13" ht="19.95" customHeight="1" x14ac:dyDescent="0.4">
      <c r="A120" s="1">
        <v>46184</v>
      </c>
      <c r="B120" t="s">
        <v>46</v>
      </c>
      <c r="C120" t="s">
        <v>34</v>
      </c>
      <c r="D120" t="s">
        <v>40</v>
      </c>
      <c r="E120" t="s">
        <v>41</v>
      </c>
      <c r="F120" t="s">
        <v>22</v>
      </c>
      <c r="G120" s="2">
        <v>50</v>
      </c>
      <c r="H120" s="3">
        <v>74.62</v>
      </c>
      <c r="I120" s="3">
        <f t="shared" si="3"/>
        <v>3731</v>
      </c>
      <c r="J120" s="3">
        <v>1187.6600000000001</v>
      </c>
      <c r="K120" s="3">
        <v>177.64</v>
      </c>
      <c r="L120" s="4">
        <v>2.29E-2</v>
      </c>
      <c r="M120" s="4">
        <v>0.91059999999999997</v>
      </c>
    </row>
    <row r="121" spans="1:13" ht="19.95" customHeight="1" x14ac:dyDescent="0.4">
      <c r="A121" s="1">
        <v>46184</v>
      </c>
      <c r="B121" t="s">
        <v>13</v>
      </c>
      <c r="C121" t="s">
        <v>39</v>
      </c>
      <c r="D121" t="s">
        <v>35</v>
      </c>
      <c r="E121" t="s">
        <v>36</v>
      </c>
      <c r="F121" t="s">
        <v>26</v>
      </c>
      <c r="G121" s="2">
        <v>500</v>
      </c>
      <c r="H121" s="3">
        <v>25.5</v>
      </c>
      <c r="I121" s="3">
        <f t="shared" si="3"/>
        <v>12750</v>
      </c>
      <c r="J121" s="3">
        <v>3771.84</v>
      </c>
      <c r="K121" s="3">
        <v>590.07000000000005</v>
      </c>
      <c r="L121" s="4">
        <v>9.7000000000000003E-3</v>
      </c>
      <c r="M121" s="4">
        <v>0.93320000000000003</v>
      </c>
    </row>
    <row r="122" spans="1:13" ht="19.95" customHeight="1" x14ac:dyDescent="0.4">
      <c r="A122" s="1">
        <v>46185</v>
      </c>
      <c r="B122" t="s">
        <v>18</v>
      </c>
      <c r="C122" t="s">
        <v>27</v>
      </c>
      <c r="D122" t="s">
        <v>35</v>
      </c>
      <c r="E122" t="s">
        <v>37</v>
      </c>
      <c r="F122" t="s">
        <v>22</v>
      </c>
      <c r="G122" s="2">
        <v>66</v>
      </c>
      <c r="H122" s="3">
        <v>104.7</v>
      </c>
      <c r="I122" s="3">
        <f t="shared" si="3"/>
        <v>6910.2</v>
      </c>
      <c r="J122" s="3">
        <v>1229.29</v>
      </c>
      <c r="K122" s="3">
        <v>96.17</v>
      </c>
      <c r="L122" s="4">
        <v>3.0800000000000001E-2</v>
      </c>
      <c r="M122" s="4">
        <v>0.9103</v>
      </c>
    </row>
    <row r="123" spans="1:13" ht="19.95" customHeight="1" x14ac:dyDescent="0.4">
      <c r="A123" s="1">
        <v>46191</v>
      </c>
      <c r="B123" t="s">
        <v>13</v>
      </c>
      <c r="C123" t="s">
        <v>34</v>
      </c>
      <c r="D123" t="s">
        <v>24</v>
      </c>
      <c r="E123" t="s">
        <v>30</v>
      </c>
      <c r="F123" t="s">
        <v>26</v>
      </c>
      <c r="G123" s="2">
        <v>181</v>
      </c>
      <c r="H123" s="3">
        <v>19.899999999999999</v>
      </c>
      <c r="I123" s="3">
        <f t="shared" si="3"/>
        <v>3601.9</v>
      </c>
      <c r="J123" s="3">
        <v>703.31</v>
      </c>
      <c r="K123" s="3">
        <v>163.01</v>
      </c>
      <c r="L123" s="4">
        <v>2.0899999999999998E-2</v>
      </c>
      <c r="M123" s="4">
        <v>0.95130000000000003</v>
      </c>
    </row>
    <row r="124" spans="1:13" ht="19.95" customHeight="1" x14ac:dyDescent="0.4">
      <c r="A124" s="1">
        <v>46192</v>
      </c>
      <c r="B124" t="s">
        <v>46</v>
      </c>
      <c r="C124" t="s">
        <v>44</v>
      </c>
      <c r="D124" t="s">
        <v>24</v>
      </c>
      <c r="E124" t="s">
        <v>25</v>
      </c>
      <c r="F124" t="s">
        <v>22</v>
      </c>
      <c r="G124" s="2">
        <v>164</v>
      </c>
      <c r="H124" s="3">
        <v>46.87</v>
      </c>
      <c r="I124" s="3">
        <f t="shared" si="3"/>
        <v>7686.68</v>
      </c>
      <c r="J124" s="3">
        <v>1251.72</v>
      </c>
      <c r="K124" s="3">
        <v>161.83000000000001</v>
      </c>
      <c r="L124" s="4">
        <v>1.84E-2</v>
      </c>
      <c r="M124" s="4">
        <v>0.996</v>
      </c>
    </row>
    <row r="125" spans="1:13" ht="19.95" customHeight="1" x14ac:dyDescent="0.4">
      <c r="A125" s="1">
        <v>46194</v>
      </c>
      <c r="B125" t="s">
        <v>18</v>
      </c>
      <c r="C125" t="s">
        <v>49</v>
      </c>
      <c r="D125" t="s">
        <v>15</v>
      </c>
      <c r="E125" t="s">
        <v>45</v>
      </c>
      <c r="F125" t="s">
        <v>32</v>
      </c>
      <c r="G125" s="2">
        <v>46</v>
      </c>
      <c r="H125" s="3">
        <v>325.39999999999998</v>
      </c>
      <c r="I125" s="3">
        <f t="shared" si="3"/>
        <v>14968.4</v>
      </c>
      <c r="J125" s="3">
        <v>3252.94</v>
      </c>
      <c r="K125" s="3">
        <v>661.51</v>
      </c>
      <c r="L125" s="4">
        <v>1.78E-2</v>
      </c>
      <c r="M125" s="4">
        <v>0.88990000000000002</v>
      </c>
    </row>
    <row r="126" spans="1:13" ht="19.95" customHeight="1" x14ac:dyDescent="0.4">
      <c r="A126" s="1">
        <v>46196</v>
      </c>
      <c r="B126" t="s">
        <v>13</v>
      </c>
      <c r="C126" t="s">
        <v>29</v>
      </c>
      <c r="D126" t="s">
        <v>15</v>
      </c>
      <c r="E126" t="s">
        <v>42</v>
      </c>
      <c r="F126" t="s">
        <v>17</v>
      </c>
      <c r="G126" s="2">
        <v>254</v>
      </c>
      <c r="H126" s="3">
        <v>39.770000000000003</v>
      </c>
      <c r="I126" s="3">
        <f t="shared" si="3"/>
        <v>10101.58</v>
      </c>
      <c r="J126" s="3">
        <v>2459.2600000000002</v>
      </c>
      <c r="K126" s="3">
        <v>809.26</v>
      </c>
      <c r="L126" s="4">
        <v>2.8899999999999999E-2</v>
      </c>
      <c r="M126" s="4">
        <v>0.98929999999999996</v>
      </c>
    </row>
    <row r="127" spans="1:13" ht="19.95" customHeight="1" x14ac:dyDescent="0.4">
      <c r="A127" s="1">
        <v>46199</v>
      </c>
      <c r="B127" t="s">
        <v>46</v>
      </c>
      <c r="C127" t="s">
        <v>39</v>
      </c>
      <c r="D127" t="s">
        <v>15</v>
      </c>
      <c r="E127" t="s">
        <v>42</v>
      </c>
      <c r="F127" t="s">
        <v>43</v>
      </c>
      <c r="G127" s="2">
        <v>679</v>
      </c>
      <c r="H127" s="3">
        <v>41.43</v>
      </c>
      <c r="I127" s="3">
        <f t="shared" si="3"/>
        <v>28130.97</v>
      </c>
      <c r="J127" s="3">
        <v>4689.2299999999996</v>
      </c>
      <c r="K127" s="3">
        <v>1176.6600000000001</v>
      </c>
      <c r="L127" s="4">
        <v>2.9899999999999999E-2</v>
      </c>
      <c r="M127" s="4">
        <v>0.90239999999999998</v>
      </c>
    </row>
    <row r="128" spans="1:13" ht="19.95" customHeight="1" x14ac:dyDescent="0.4">
      <c r="A128" s="1">
        <v>46199</v>
      </c>
      <c r="B128" t="s">
        <v>18</v>
      </c>
      <c r="C128" t="s">
        <v>49</v>
      </c>
      <c r="D128" t="s">
        <v>40</v>
      </c>
      <c r="E128" t="s">
        <v>50</v>
      </c>
      <c r="F128" t="s">
        <v>32</v>
      </c>
      <c r="G128" s="2">
        <v>151</v>
      </c>
      <c r="H128" s="3">
        <v>130.44999999999999</v>
      </c>
      <c r="I128" s="3">
        <f t="shared" si="3"/>
        <v>19697.95</v>
      </c>
      <c r="J128" s="3">
        <v>3184.8</v>
      </c>
      <c r="K128" s="3">
        <v>858.22</v>
      </c>
      <c r="L128" s="4">
        <v>3.27E-2</v>
      </c>
      <c r="M128" s="4">
        <v>0.9909</v>
      </c>
    </row>
    <row r="129" spans="1:13" ht="19.95" customHeight="1" x14ac:dyDescent="0.4">
      <c r="A129" s="1">
        <v>46201</v>
      </c>
      <c r="B129" t="s">
        <v>33</v>
      </c>
      <c r="C129" t="s">
        <v>48</v>
      </c>
      <c r="D129" t="s">
        <v>35</v>
      </c>
      <c r="E129" t="s">
        <v>51</v>
      </c>
      <c r="F129" t="s">
        <v>26</v>
      </c>
      <c r="G129" s="2">
        <v>268</v>
      </c>
      <c r="H129" s="3">
        <v>40.75</v>
      </c>
      <c r="I129" s="3">
        <f t="shared" si="3"/>
        <v>10921</v>
      </c>
      <c r="J129" s="3">
        <v>2135.25</v>
      </c>
      <c r="K129" s="3">
        <v>260.77999999999997</v>
      </c>
      <c r="L129" s="4">
        <v>2.18E-2</v>
      </c>
      <c r="M129" s="4">
        <v>0.94399999999999995</v>
      </c>
    </row>
    <row r="130" spans="1:13" ht="19.95" customHeight="1" x14ac:dyDescent="0.4">
      <c r="A130" s="1">
        <v>46202</v>
      </c>
      <c r="B130" t="s">
        <v>18</v>
      </c>
      <c r="C130" t="s">
        <v>34</v>
      </c>
      <c r="D130" t="s">
        <v>35</v>
      </c>
      <c r="E130" t="s">
        <v>37</v>
      </c>
      <c r="F130" t="s">
        <v>17</v>
      </c>
      <c r="G130" s="2">
        <v>35</v>
      </c>
      <c r="H130" s="3">
        <v>97.94</v>
      </c>
      <c r="I130" s="3">
        <f t="shared" ref="I130:I161" si="4">ROUND(G130*H130,2)</f>
        <v>3427.9</v>
      </c>
      <c r="J130" s="3">
        <v>797.83</v>
      </c>
      <c r="K130" s="3">
        <v>281.97000000000003</v>
      </c>
      <c r="L130" s="4">
        <v>1.1900000000000001E-2</v>
      </c>
      <c r="M130" s="4">
        <v>0.9597</v>
      </c>
    </row>
    <row r="131" spans="1:13" ht="19.95" customHeight="1" x14ac:dyDescent="0.4">
      <c r="A131" s="1">
        <v>46205</v>
      </c>
      <c r="B131" t="s">
        <v>46</v>
      </c>
      <c r="C131" t="s">
        <v>34</v>
      </c>
      <c r="D131" t="s">
        <v>40</v>
      </c>
      <c r="E131" t="s">
        <v>47</v>
      </c>
      <c r="F131" t="s">
        <v>32</v>
      </c>
      <c r="G131" s="2">
        <v>133</v>
      </c>
      <c r="H131" s="3">
        <v>52.14</v>
      </c>
      <c r="I131" s="3">
        <f t="shared" si="4"/>
        <v>6934.62</v>
      </c>
      <c r="J131" s="3">
        <v>1978.48</v>
      </c>
      <c r="K131" s="3">
        <v>134.36000000000001</v>
      </c>
      <c r="L131" s="4">
        <v>2.1600000000000001E-2</v>
      </c>
      <c r="M131" s="4">
        <v>0.96630000000000005</v>
      </c>
    </row>
    <row r="132" spans="1:13" ht="19.95" customHeight="1" x14ac:dyDescent="0.4">
      <c r="A132" s="1">
        <v>46205</v>
      </c>
      <c r="B132" t="s">
        <v>18</v>
      </c>
      <c r="C132" t="s">
        <v>29</v>
      </c>
      <c r="D132" t="s">
        <v>35</v>
      </c>
      <c r="E132" t="s">
        <v>36</v>
      </c>
      <c r="F132" t="s">
        <v>17</v>
      </c>
      <c r="G132" s="2">
        <v>187</v>
      </c>
      <c r="H132" s="3">
        <v>29.21</v>
      </c>
      <c r="I132" s="3">
        <f t="shared" si="4"/>
        <v>5462.27</v>
      </c>
      <c r="J132" s="3">
        <v>1320.32</v>
      </c>
      <c r="K132" s="3">
        <v>365.29</v>
      </c>
      <c r="L132" s="4">
        <v>2.5499999999999998E-2</v>
      </c>
      <c r="M132" s="4">
        <v>0.91220000000000001</v>
      </c>
    </row>
    <row r="133" spans="1:13" ht="19.95" customHeight="1" x14ac:dyDescent="0.4">
      <c r="A133" s="1">
        <v>46206</v>
      </c>
      <c r="B133" t="s">
        <v>33</v>
      </c>
      <c r="C133" t="s">
        <v>49</v>
      </c>
      <c r="D133" t="s">
        <v>20</v>
      </c>
      <c r="E133" t="s">
        <v>21</v>
      </c>
      <c r="F133" t="s">
        <v>43</v>
      </c>
      <c r="G133" s="2">
        <v>656</v>
      </c>
      <c r="H133" s="3">
        <v>33.549999999999997</v>
      </c>
      <c r="I133" s="3">
        <f t="shared" si="4"/>
        <v>22008.799999999999</v>
      </c>
      <c r="J133" s="3">
        <v>4133.8900000000003</v>
      </c>
      <c r="K133" s="3">
        <v>276.8</v>
      </c>
      <c r="L133" s="4">
        <v>1.84E-2</v>
      </c>
      <c r="M133" s="4">
        <v>0.96560000000000001</v>
      </c>
    </row>
    <row r="134" spans="1:13" ht="19.95" customHeight="1" x14ac:dyDescent="0.4">
      <c r="A134" s="1">
        <v>46206</v>
      </c>
      <c r="B134" t="s">
        <v>33</v>
      </c>
      <c r="C134" t="s">
        <v>48</v>
      </c>
      <c r="D134" t="s">
        <v>24</v>
      </c>
      <c r="E134" t="s">
        <v>30</v>
      </c>
      <c r="F134" t="s">
        <v>26</v>
      </c>
      <c r="G134" s="2">
        <v>624</v>
      </c>
      <c r="H134" s="3">
        <v>22.81</v>
      </c>
      <c r="I134" s="3">
        <f t="shared" si="4"/>
        <v>14233.44</v>
      </c>
      <c r="J134" s="3">
        <v>2067.94</v>
      </c>
      <c r="K134" s="3">
        <v>522.84</v>
      </c>
      <c r="L134" s="4">
        <v>2.5100000000000001E-2</v>
      </c>
      <c r="M134" s="4">
        <v>0.93130000000000002</v>
      </c>
    </row>
    <row r="135" spans="1:13" ht="19.95" customHeight="1" x14ac:dyDescent="0.4">
      <c r="A135" s="1">
        <v>46207</v>
      </c>
      <c r="B135" t="s">
        <v>13</v>
      </c>
      <c r="C135" t="s">
        <v>14</v>
      </c>
      <c r="D135" t="s">
        <v>20</v>
      </c>
      <c r="E135" t="s">
        <v>31</v>
      </c>
      <c r="F135" t="s">
        <v>22</v>
      </c>
      <c r="G135" s="2">
        <v>89</v>
      </c>
      <c r="H135" s="3">
        <v>15.5</v>
      </c>
      <c r="I135" s="3">
        <f t="shared" si="4"/>
        <v>1379.5</v>
      </c>
      <c r="J135" s="3">
        <v>437.69</v>
      </c>
      <c r="K135" s="3">
        <v>25.35</v>
      </c>
      <c r="L135" s="4">
        <v>2.5899999999999999E-2</v>
      </c>
      <c r="M135" s="4">
        <v>0.91739999999999999</v>
      </c>
    </row>
    <row r="136" spans="1:13" ht="19.95" customHeight="1" x14ac:dyDescent="0.4">
      <c r="A136" s="1">
        <v>46207</v>
      </c>
      <c r="B136" t="s">
        <v>33</v>
      </c>
      <c r="C136" t="s">
        <v>14</v>
      </c>
      <c r="D136" t="s">
        <v>24</v>
      </c>
      <c r="E136" t="s">
        <v>25</v>
      </c>
      <c r="F136" t="s">
        <v>22</v>
      </c>
      <c r="G136" s="2">
        <v>199</v>
      </c>
      <c r="H136" s="3">
        <v>51.53</v>
      </c>
      <c r="I136" s="3">
        <f t="shared" si="4"/>
        <v>10254.469999999999</v>
      </c>
      <c r="J136" s="3">
        <v>3317.85</v>
      </c>
      <c r="K136" s="3">
        <v>185.74</v>
      </c>
      <c r="L136" s="4">
        <v>3.2000000000000001E-2</v>
      </c>
      <c r="M136" s="4">
        <v>0.94159999999999999</v>
      </c>
    </row>
    <row r="137" spans="1:13" ht="19.95" customHeight="1" x14ac:dyDescent="0.4">
      <c r="A137" s="1">
        <v>46210</v>
      </c>
      <c r="B137" t="s">
        <v>33</v>
      </c>
      <c r="C137" t="s">
        <v>19</v>
      </c>
      <c r="D137" t="s">
        <v>24</v>
      </c>
      <c r="E137" t="s">
        <v>25</v>
      </c>
      <c r="F137" t="s">
        <v>43</v>
      </c>
      <c r="G137" s="2">
        <v>926</v>
      </c>
      <c r="H137" s="3">
        <v>55.17</v>
      </c>
      <c r="I137" s="3">
        <f t="shared" si="4"/>
        <v>51087.42</v>
      </c>
      <c r="J137" s="3">
        <v>13972.78</v>
      </c>
      <c r="K137" s="3">
        <v>2345.88</v>
      </c>
      <c r="L137" s="4">
        <v>3.39E-2</v>
      </c>
      <c r="M137" s="4">
        <v>0.92010000000000003</v>
      </c>
    </row>
    <row r="138" spans="1:13" ht="19.95" customHeight="1" x14ac:dyDescent="0.4">
      <c r="A138" s="1">
        <v>46211</v>
      </c>
      <c r="B138" t="s">
        <v>13</v>
      </c>
      <c r="C138" t="s">
        <v>44</v>
      </c>
      <c r="D138" t="s">
        <v>40</v>
      </c>
      <c r="E138" t="s">
        <v>41</v>
      </c>
      <c r="F138" t="s">
        <v>43</v>
      </c>
      <c r="G138" s="2">
        <v>699</v>
      </c>
      <c r="H138" s="3">
        <v>82.92</v>
      </c>
      <c r="I138" s="3">
        <f t="shared" si="4"/>
        <v>57961.08</v>
      </c>
      <c r="J138" s="3">
        <v>13807.07</v>
      </c>
      <c r="K138" s="3">
        <v>895.59</v>
      </c>
      <c r="L138" s="4">
        <v>1.6799999999999999E-2</v>
      </c>
      <c r="M138" s="4">
        <v>0.93779999999999997</v>
      </c>
    </row>
    <row r="139" spans="1:13" ht="19.95" customHeight="1" x14ac:dyDescent="0.4">
      <c r="A139" s="1">
        <v>46212</v>
      </c>
      <c r="B139" t="s">
        <v>13</v>
      </c>
      <c r="C139" t="s">
        <v>27</v>
      </c>
      <c r="D139" t="s">
        <v>15</v>
      </c>
      <c r="E139" t="s">
        <v>16</v>
      </c>
      <c r="F139" t="s">
        <v>32</v>
      </c>
      <c r="G139" s="2">
        <v>117</v>
      </c>
      <c r="H139" s="3">
        <v>172.71</v>
      </c>
      <c r="I139" s="3">
        <f t="shared" si="4"/>
        <v>20207.07</v>
      </c>
      <c r="J139" s="3">
        <v>5335.47</v>
      </c>
      <c r="K139" s="3">
        <v>687.65</v>
      </c>
      <c r="L139" s="4">
        <v>3.6700000000000003E-2</v>
      </c>
      <c r="M139" s="4">
        <v>0.99339999999999995</v>
      </c>
    </row>
    <row r="140" spans="1:13" ht="19.95" customHeight="1" x14ac:dyDescent="0.4">
      <c r="A140" s="1">
        <v>46213</v>
      </c>
      <c r="B140" t="s">
        <v>33</v>
      </c>
      <c r="C140" t="s">
        <v>39</v>
      </c>
      <c r="D140" t="s">
        <v>24</v>
      </c>
      <c r="E140" t="s">
        <v>28</v>
      </c>
      <c r="F140" t="s">
        <v>26</v>
      </c>
      <c r="G140" s="2">
        <v>911</v>
      </c>
      <c r="H140" s="3">
        <v>25.49</v>
      </c>
      <c r="I140" s="3">
        <f t="shared" si="4"/>
        <v>23221.39</v>
      </c>
      <c r="J140" s="3">
        <v>5318.19</v>
      </c>
      <c r="K140" s="3">
        <v>415.17</v>
      </c>
      <c r="L140" s="4">
        <v>1.01E-2</v>
      </c>
      <c r="M140" s="4">
        <v>0.93859999999999999</v>
      </c>
    </row>
    <row r="141" spans="1:13" ht="19.95" customHeight="1" x14ac:dyDescent="0.4">
      <c r="A141" s="1">
        <v>46215</v>
      </c>
      <c r="B141" t="s">
        <v>13</v>
      </c>
      <c r="C141" t="s">
        <v>49</v>
      </c>
      <c r="D141" t="s">
        <v>15</v>
      </c>
      <c r="E141" t="s">
        <v>16</v>
      </c>
      <c r="F141" t="s">
        <v>22</v>
      </c>
      <c r="G141" s="2">
        <v>279</v>
      </c>
      <c r="H141" s="3">
        <v>172.15</v>
      </c>
      <c r="I141" s="3">
        <f t="shared" si="4"/>
        <v>48029.85</v>
      </c>
      <c r="J141" s="3">
        <v>14767.41</v>
      </c>
      <c r="K141" s="3">
        <v>2391.44</v>
      </c>
      <c r="L141" s="4">
        <v>3.8999999999999998E-3</v>
      </c>
      <c r="M141" s="4">
        <v>0.94389999999999996</v>
      </c>
    </row>
    <row r="142" spans="1:13" ht="19.95" customHeight="1" x14ac:dyDescent="0.4">
      <c r="A142" s="1">
        <v>46215</v>
      </c>
      <c r="B142" t="s">
        <v>18</v>
      </c>
      <c r="C142" t="s">
        <v>27</v>
      </c>
      <c r="D142" t="s">
        <v>40</v>
      </c>
      <c r="E142" t="s">
        <v>50</v>
      </c>
      <c r="F142" t="s">
        <v>17</v>
      </c>
      <c r="G142" s="2">
        <v>93</v>
      </c>
      <c r="H142" s="3">
        <v>144.1</v>
      </c>
      <c r="I142" s="3">
        <f t="shared" si="4"/>
        <v>13401.3</v>
      </c>
      <c r="J142" s="3">
        <v>1432.29</v>
      </c>
      <c r="K142" s="3">
        <v>1221.92</v>
      </c>
      <c r="L142" s="4">
        <v>1.0999999999999999E-2</v>
      </c>
      <c r="M142" s="4">
        <v>0.99719999999999998</v>
      </c>
    </row>
    <row r="143" spans="1:13" ht="19.95" customHeight="1" x14ac:dyDescent="0.4">
      <c r="A143" s="1">
        <v>46216</v>
      </c>
      <c r="B143" t="s">
        <v>33</v>
      </c>
      <c r="C143" t="s">
        <v>39</v>
      </c>
      <c r="D143" t="s">
        <v>35</v>
      </c>
      <c r="E143" t="s">
        <v>36</v>
      </c>
      <c r="F143" t="s">
        <v>43</v>
      </c>
      <c r="G143" s="2">
        <v>108</v>
      </c>
      <c r="H143" s="3">
        <v>32.01</v>
      </c>
      <c r="I143" s="3">
        <f t="shared" si="4"/>
        <v>3457.08</v>
      </c>
      <c r="J143" s="3">
        <v>820.71</v>
      </c>
      <c r="K143" s="3">
        <v>101.74</v>
      </c>
      <c r="L143" s="4">
        <v>1.04E-2</v>
      </c>
      <c r="M143" s="4">
        <v>0.93420000000000003</v>
      </c>
    </row>
    <row r="144" spans="1:13" ht="19.95" customHeight="1" x14ac:dyDescent="0.4">
      <c r="A144" s="1">
        <v>46222</v>
      </c>
      <c r="B144" t="s">
        <v>13</v>
      </c>
      <c r="C144" t="s">
        <v>44</v>
      </c>
      <c r="D144" t="s">
        <v>35</v>
      </c>
      <c r="E144" t="s">
        <v>51</v>
      </c>
      <c r="F144" t="s">
        <v>32</v>
      </c>
      <c r="G144" s="2">
        <v>281</v>
      </c>
      <c r="H144" s="3">
        <v>39.950000000000003</v>
      </c>
      <c r="I144" s="3">
        <f t="shared" si="4"/>
        <v>11225.95</v>
      </c>
      <c r="J144" s="3">
        <v>2529.73</v>
      </c>
      <c r="K144" s="3">
        <v>238.09</v>
      </c>
      <c r="L144" s="4">
        <v>3.0999999999999999E-3</v>
      </c>
      <c r="M144" s="4">
        <v>0.96089999999999998</v>
      </c>
    </row>
    <row r="145" spans="1:13" ht="19.95" customHeight="1" x14ac:dyDescent="0.4">
      <c r="A145" s="1">
        <v>46222</v>
      </c>
      <c r="B145" t="s">
        <v>13</v>
      </c>
      <c r="C145" t="s">
        <v>48</v>
      </c>
      <c r="D145" t="s">
        <v>20</v>
      </c>
      <c r="E145" t="s">
        <v>38</v>
      </c>
      <c r="F145" t="s">
        <v>26</v>
      </c>
      <c r="G145" s="2">
        <v>899</v>
      </c>
      <c r="H145" s="3">
        <v>14.26</v>
      </c>
      <c r="I145" s="3">
        <f t="shared" si="4"/>
        <v>12819.74</v>
      </c>
      <c r="J145" s="3">
        <v>2790.99</v>
      </c>
      <c r="K145" s="3">
        <v>506.99</v>
      </c>
      <c r="L145" s="4">
        <v>2.7000000000000001E-3</v>
      </c>
      <c r="M145" s="4">
        <v>0.96460000000000001</v>
      </c>
    </row>
    <row r="146" spans="1:13" ht="19.95" customHeight="1" x14ac:dyDescent="0.4">
      <c r="A146" s="1">
        <v>46223</v>
      </c>
      <c r="B146" t="s">
        <v>13</v>
      </c>
      <c r="C146" t="s">
        <v>34</v>
      </c>
      <c r="D146" t="s">
        <v>24</v>
      </c>
      <c r="E146" t="s">
        <v>25</v>
      </c>
      <c r="F146" t="s">
        <v>26</v>
      </c>
      <c r="G146" s="2">
        <v>170</v>
      </c>
      <c r="H146" s="3">
        <v>61.89</v>
      </c>
      <c r="I146" s="3">
        <f t="shared" si="4"/>
        <v>10521.3</v>
      </c>
      <c r="J146" s="3">
        <v>3523.36</v>
      </c>
      <c r="K146" s="3">
        <v>187.27</v>
      </c>
      <c r="L146" s="4">
        <v>7.9000000000000008E-3</v>
      </c>
      <c r="M146" s="4">
        <v>0.91969999999999996</v>
      </c>
    </row>
    <row r="147" spans="1:13" ht="19.95" customHeight="1" x14ac:dyDescent="0.4">
      <c r="A147" s="1">
        <v>46223</v>
      </c>
      <c r="B147" t="s">
        <v>13</v>
      </c>
      <c r="C147" t="s">
        <v>14</v>
      </c>
      <c r="D147" t="s">
        <v>35</v>
      </c>
      <c r="E147" t="s">
        <v>36</v>
      </c>
      <c r="F147" t="s">
        <v>17</v>
      </c>
      <c r="G147" s="2">
        <v>139</v>
      </c>
      <c r="H147" s="3">
        <v>33.17</v>
      </c>
      <c r="I147" s="3">
        <f t="shared" si="4"/>
        <v>4610.63</v>
      </c>
      <c r="J147" s="3">
        <v>883.86</v>
      </c>
      <c r="K147" s="3">
        <v>257.18</v>
      </c>
      <c r="L147" s="4">
        <v>3.15E-2</v>
      </c>
      <c r="M147" s="4">
        <v>0.93110000000000004</v>
      </c>
    </row>
    <row r="148" spans="1:13" ht="19.95" customHeight="1" x14ac:dyDescent="0.4">
      <c r="A148" s="1">
        <v>46226</v>
      </c>
      <c r="B148" t="s">
        <v>18</v>
      </c>
      <c r="C148" t="s">
        <v>48</v>
      </c>
      <c r="D148" t="s">
        <v>24</v>
      </c>
      <c r="E148" t="s">
        <v>25</v>
      </c>
      <c r="F148" t="s">
        <v>32</v>
      </c>
      <c r="G148" s="2">
        <v>197</v>
      </c>
      <c r="H148" s="3">
        <v>60.01</v>
      </c>
      <c r="I148" s="3">
        <f t="shared" si="4"/>
        <v>11821.97</v>
      </c>
      <c r="J148" s="3">
        <v>1898</v>
      </c>
      <c r="K148" s="3">
        <v>488.36</v>
      </c>
      <c r="L148" s="4">
        <v>8.2000000000000007E-3</v>
      </c>
      <c r="M148" s="4">
        <v>0.94140000000000001</v>
      </c>
    </row>
    <row r="149" spans="1:13" ht="19.95" customHeight="1" x14ac:dyDescent="0.4">
      <c r="A149" s="1">
        <v>46226</v>
      </c>
      <c r="B149" t="s">
        <v>46</v>
      </c>
      <c r="C149" t="s">
        <v>14</v>
      </c>
      <c r="D149" t="s">
        <v>15</v>
      </c>
      <c r="E149" t="s">
        <v>16</v>
      </c>
      <c r="F149" t="s">
        <v>32</v>
      </c>
      <c r="G149" s="2">
        <v>229</v>
      </c>
      <c r="H149" s="3">
        <v>224.17</v>
      </c>
      <c r="I149" s="3">
        <f t="shared" si="4"/>
        <v>51334.93</v>
      </c>
      <c r="J149" s="3">
        <v>14786.78</v>
      </c>
      <c r="K149" s="3">
        <v>2382.3000000000002</v>
      </c>
      <c r="L149" s="4">
        <v>3.5099999999999999E-2</v>
      </c>
      <c r="M149" s="4">
        <v>0.96950000000000003</v>
      </c>
    </row>
    <row r="150" spans="1:13" ht="19.95" customHeight="1" x14ac:dyDescent="0.4">
      <c r="A150" s="1">
        <v>46228</v>
      </c>
      <c r="B150" t="s">
        <v>46</v>
      </c>
      <c r="C150" t="s">
        <v>34</v>
      </c>
      <c r="D150" t="s">
        <v>40</v>
      </c>
      <c r="E150" t="s">
        <v>47</v>
      </c>
      <c r="F150" t="s">
        <v>32</v>
      </c>
      <c r="G150" s="2">
        <v>29</v>
      </c>
      <c r="H150" s="3">
        <v>48.76</v>
      </c>
      <c r="I150" s="3">
        <f t="shared" si="4"/>
        <v>1414.04</v>
      </c>
      <c r="J150" s="3">
        <v>393.8</v>
      </c>
      <c r="K150" s="3">
        <v>50.94</v>
      </c>
      <c r="L150" s="4">
        <v>7.4999999999999997E-3</v>
      </c>
      <c r="M150" s="4">
        <v>0.95399999999999996</v>
      </c>
    </row>
    <row r="151" spans="1:13" ht="19.95" customHeight="1" x14ac:dyDescent="0.4">
      <c r="A151" s="1">
        <v>46229</v>
      </c>
      <c r="B151" t="s">
        <v>46</v>
      </c>
      <c r="C151" t="s">
        <v>29</v>
      </c>
      <c r="D151" t="s">
        <v>40</v>
      </c>
      <c r="E151" t="s">
        <v>50</v>
      </c>
      <c r="F151" t="s">
        <v>26</v>
      </c>
      <c r="G151" s="2">
        <v>568</v>
      </c>
      <c r="H151" s="3">
        <v>137</v>
      </c>
      <c r="I151" s="3">
        <f t="shared" si="4"/>
        <v>77816</v>
      </c>
      <c r="J151" s="3">
        <v>13276.81</v>
      </c>
      <c r="K151" s="3">
        <v>932.11</v>
      </c>
      <c r="L151" s="4">
        <v>8.3000000000000001E-3</v>
      </c>
      <c r="M151" s="4">
        <v>0.88300000000000001</v>
      </c>
    </row>
    <row r="152" spans="1:13" ht="19.95" customHeight="1" x14ac:dyDescent="0.4">
      <c r="A152" s="1">
        <v>46229</v>
      </c>
      <c r="B152" t="s">
        <v>46</v>
      </c>
      <c r="C152" t="s">
        <v>44</v>
      </c>
      <c r="D152" t="s">
        <v>35</v>
      </c>
      <c r="E152" t="s">
        <v>37</v>
      </c>
      <c r="F152" t="s">
        <v>43</v>
      </c>
      <c r="G152" s="2">
        <v>261</v>
      </c>
      <c r="H152" s="3">
        <v>112.17</v>
      </c>
      <c r="I152" s="3">
        <f t="shared" si="4"/>
        <v>29276.37</v>
      </c>
      <c r="J152" s="3">
        <v>4839.1099999999997</v>
      </c>
      <c r="K152" s="3">
        <v>1421.86</v>
      </c>
      <c r="L152" s="4">
        <v>9.4999999999999998E-3</v>
      </c>
      <c r="M152" s="4">
        <v>0.93410000000000004</v>
      </c>
    </row>
    <row r="153" spans="1:13" ht="19.95" customHeight="1" x14ac:dyDescent="0.4">
      <c r="A153" s="1">
        <v>46233</v>
      </c>
      <c r="B153" t="s">
        <v>33</v>
      </c>
      <c r="C153" t="s">
        <v>34</v>
      </c>
      <c r="D153" t="s">
        <v>24</v>
      </c>
      <c r="E153" t="s">
        <v>30</v>
      </c>
      <c r="F153" t="s">
        <v>26</v>
      </c>
      <c r="G153" s="2">
        <v>249</v>
      </c>
      <c r="H153" s="3">
        <v>20.43</v>
      </c>
      <c r="I153" s="3">
        <f t="shared" si="4"/>
        <v>5087.07</v>
      </c>
      <c r="J153" s="3">
        <v>874.83</v>
      </c>
      <c r="K153" s="3">
        <v>116.44</v>
      </c>
      <c r="L153" s="4">
        <v>3.3000000000000002E-2</v>
      </c>
      <c r="M153" s="4">
        <v>0.94699999999999995</v>
      </c>
    </row>
    <row r="154" spans="1:13" ht="19.95" customHeight="1" x14ac:dyDescent="0.4">
      <c r="A154" s="1">
        <v>46235</v>
      </c>
      <c r="B154" t="s">
        <v>18</v>
      </c>
      <c r="C154" t="s">
        <v>19</v>
      </c>
      <c r="D154" t="s">
        <v>20</v>
      </c>
      <c r="E154" t="s">
        <v>31</v>
      </c>
      <c r="F154" t="s">
        <v>17</v>
      </c>
      <c r="G154" s="2">
        <v>254</v>
      </c>
      <c r="H154" s="3">
        <v>13.87</v>
      </c>
      <c r="I154" s="3">
        <f t="shared" si="4"/>
        <v>3522.98</v>
      </c>
      <c r="J154" s="3">
        <v>945.09</v>
      </c>
      <c r="K154" s="3">
        <v>183.74</v>
      </c>
      <c r="L154" s="4">
        <v>1.18E-2</v>
      </c>
      <c r="M154" s="4">
        <v>0.96299999999999997</v>
      </c>
    </row>
    <row r="155" spans="1:13" ht="19.95" customHeight="1" x14ac:dyDescent="0.4">
      <c r="A155" s="1">
        <v>46236</v>
      </c>
      <c r="B155" t="s">
        <v>18</v>
      </c>
      <c r="C155" t="s">
        <v>19</v>
      </c>
      <c r="D155" t="s">
        <v>40</v>
      </c>
      <c r="E155" t="s">
        <v>50</v>
      </c>
      <c r="F155" t="s">
        <v>43</v>
      </c>
      <c r="G155" s="2">
        <v>869</v>
      </c>
      <c r="H155" s="3">
        <v>147.11000000000001</v>
      </c>
      <c r="I155" s="3">
        <f t="shared" si="4"/>
        <v>127838.59</v>
      </c>
      <c r="J155" s="3">
        <v>30769.5</v>
      </c>
      <c r="K155" s="3">
        <v>2506.91</v>
      </c>
      <c r="L155" s="4">
        <v>1.1900000000000001E-2</v>
      </c>
      <c r="M155" s="4">
        <v>0.90169999999999995</v>
      </c>
    </row>
    <row r="156" spans="1:13" ht="19.95" customHeight="1" x14ac:dyDescent="0.4">
      <c r="A156" s="1">
        <v>46239</v>
      </c>
      <c r="B156" t="s">
        <v>46</v>
      </c>
      <c r="C156" t="s">
        <v>19</v>
      </c>
      <c r="D156" t="s">
        <v>20</v>
      </c>
      <c r="E156" t="s">
        <v>31</v>
      </c>
      <c r="F156" t="s">
        <v>43</v>
      </c>
      <c r="G156" s="2">
        <v>826</v>
      </c>
      <c r="H156" s="3">
        <v>13.99</v>
      </c>
      <c r="I156" s="3">
        <f t="shared" si="4"/>
        <v>11555.74</v>
      </c>
      <c r="J156" s="3">
        <v>1985.58</v>
      </c>
      <c r="K156" s="3">
        <v>376.94</v>
      </c>
      <c r="L156" s="4">
        <v>3.2300000000000002E-2</v>
      </c>
      <c r="M156" s="4">
        <v>0.97519999999999996</v>
      </c>
    </row>
    <row r="157" spans="1:13" ht="19.95" customHeight="1" x14ac:dyDescent="0.4">
      <c r="A157" s="1">
        <v>46241</v>
      </c>
      <c r="B157" t="s">
        <v>18</v>
      </c>
      <c r="C157" t="s">
        <v>29</v>
      </c>
      <c r="D157" t="s">
        <v>24</v>
      </c>
      <c r="E157" t="s">
        <v>25</v>
      </c>
      <c r="F157" t="s">
        <v>22</v>
      </c>
      <c r="G157" s="2">
        <v>126</v>
      </c>
      <c r="H157" s="3">
        <v>58.83</v>
      </c>
      <c r="I157" s="3">
        <f t="shared" si="4"/>
        <v>7412.58</v>
      </c>
      <c r="J157" s="3">
        <v>1768.53</v>
      </c>
      <c r="K157" s="3">
        <v>104.78</v>
      </c>
      <c r="L157" s="4">
        <v>1.5900000000000001E-2</v>
      </c>
      <c r="M157" s="4">
        <v>0.88780000000000003</v>
      </c>
    </row>
    <row r="158" spans="1:13" ht="19.95" customHeight="1" x14ac:dyDescent="0.4">
      <c r="A158" s="1">
        <v>46245</v>
      </c>
      <c r="B158" t="s">
        <v>33</v>
      </c>
      <c r="C158" t="s">
        <v>34</v>
      </c>
      <c r="D158" t="s">
        <v>24</v>
      </c>
      <c r="E158" t="s">
        <v>25</v>
      </c>
      <c r="F158" t="s">
        <v>32</v>
      </c>
      <c r="G158" s="2">
        <v>282</v>
      </c>
      <c r="H158" s="3">
        <v>57.08</v>
      </c>
      <c r="I158" s="3">
        <f t="shared" si="4"/>
        <v>16096.56</v>
      </c>
      <c r="J158" s="3">
        <v>2660.77</v>
      </c>
      <c r="K158" s="3">
        <v>257.83</v>
      </c>
      <c r="L158" s="4">
        <v>3.4799999999999998E-2</v>
      </c>
      <c r="M158" s="4">
        <v>0.91300000000000003</v>
      </c>
    </row>
    <row r="159" spans="1:13" ht="19.95" customHeight="1" x14ac:dyDescent="0.4">
      <c r="A159" s="1">
        <v>46246</v>
      </c>
      <c r="B159" t="s">
        <v>18</v>
      </c>
      <c r="C159" t="s">
        <v>44</v>
      </c>
      <c r="D159" t="s">
        <v>24</v>
      </c>
      <c r="E159" t="s">
        <v>25</v>
      </c>
      <c r="F159" t="s">
        <v>17</v>
      </c>
      <c r="G159" s="2">
        <v>259</v>
      </c>
      <c r="H159" s="3">
        <v>61.37</v>
      </c>
      <c r="I159" s="3">
        <f t="shared" si="4"/>
        <v>15894.83</v>
      </c>
      <c r="J159" s="3">
        <v>2784.45</v>
      </c>
      <c r="K159" s="3">
        <v>1660.07</v>
      </c>
      <c r="L159" s="4">
        <v>1.6400000000000001E-2</v>
      </c>
      <c r="M159" s="4">
        <v>0.98570000000000002</v>
      </c>
    </row>
    <row r="160" spans="1:13" ht="19.95" customHeight="1" x14ac:dyDescent="0.4">
      <c r="A160" s="1">
        <v>46248</v>
      </c>
      <c r="B160" t="s">
        <v>13</v>
      </c>
      <c r="C160" t="s">
        <v>29</v>
      </c>
      <c r="D160" t="s">
        <v>40</v>
      </c>
      <c r="E160" t="s">
        <v>47</v>
      </c>
      <c r="F160" t="s">
        <v>22</v>
      </c>
      <c r="G160" s="2">
        <v>68</v>
      </c>
      <c r="H160" s="3">
        <v>46.31</v>
      </c>
      <c r="I160" s="3">
        <f t="shared" si="4"/>
        <v>3149.08</v>
      </c>
      <c r="J160" s="3">
        <v>849.4</v>
      </c>
      <c r="K160" s="3">
        <v>118.25</v>
      </c>
      <c r="L160" s="4">
        <v>2.5000000000000001E-3</v>
      </c>
      <c r="M160" s="4">
        <v>0.91930000000000001</v>
      </c>
    </row>
    <row r="161" spans="1:13" ht="19.95" customHeight="1" x14ac:dyDescent="0.4">
      <c r="A161" s="1">
        <v>46253</v>
      </c>
      <c r="B161" t="s">
        <v>46</v>
      </c>
      <c r="C161" t="s">
        <v>49</v>
      </c>
      <c r="D161" t="s">
        <v>20</v>
      </c>
      <c r="E161" t="s">
        <v>31</v>
      </c>
      <c r="F161" t="s">
        <v>22</v>
      </c>
      <c r="G161" s="2">
        <v>205</v>
      </c>
      <c r="H161" s="3">
        <v>14.75</v>
      </c>
      <c r="I161" s="3">
        <f t="shared" si="4"/>
        <v>3023.75</v>
      </c>
      <c r="J161" s="3">
        <v>953.41</v>
      </c>
      <c r="K161" s="3">
        <v>108.85</v>
      </c>
      <c r="L161" s="4">
        <v>1.3899999999999999E-2</v>
      </c>
      <c r="M161" s="4">
        <v>0.93669999999999998</v>
      </c>
    </row>
    <row r="162" spans="1:13" ht="19.95" customHeight="1" x14ac:dyDescent="0.4">
      <c r="A162" s="1">
        <v>46255</v>
      </c>
      <c r="B162" t="s">
        <v>46</v>
      </c>
      <c r="C162" t="s">
        <v>27</v>
      </c>
      <c r="D162" t="s">
        <v>24</v>
      </c>
      <c r="E162" t="s">
        <v>25</v>
      </c>
      <c r="F162" t="s">
        <v>43</v>
      </c>
      <c r="G162" s="2">
        <v>559</v>
      </c>
      <c r="H162" s="3">
        <v>51.32</v>
      </c>
      <c r="I162" s="3">
        <f t="shared" ref="I162:I193" si="5">ROUND(G162*H162,2)</f>
        <v>28687.88</v>
      </c>
      <c r="J162" s="3">
        <v>6842.06</v>
      </c>
      <c r="K162" s="3">
        <v>743.15</v>
      </c>
      <c r="L162" s="4">
        <v>1.6799999999999999E-2</v>
      </c>
      <c r="M162" s="4">
        <v>0.90790000000000004</v>
      </c>
    </row>
    <row r="163" spans="1:13" ht="19.95" customHeight="1" x14ac:dyDescent="0.4">
      <c r="A163" s="1">
        <v>46255</v>
      </c>
      <c r="B163" t="s">
        <v>18</v>
      </c>
      <c r="C163" t="s">
        <v>19</v>
      </c>
      <c r="D163" t="s">
        <v>40</v>
      </c>
      <c r="E163" t="s">
        <v>41</v>
      </c>
      <c r="F163" t="s">
        <v>17</v>
      </c>
      <c r="G163" s="2">
        <v>126</v>
      </c>
      <c r="H163" s="3">
        <v>69.08</v>
      </c>
      <c r="I163" s="3">
        <f t="shared" si="5"/>
        <v>8704.08</v>
      </c>
      <c r="J163" s="3">
        <v>1260.1199999999999</v>
      </c>
      <c r="K163" s="3">
        <v>550.49</v>
      </c>
      <c r="L163" s="4">
        <v>2.69E-2</v>
      </c>
      <c r="M163" s="4">
        <v>0.90820000000000001</v>
      </c>
    </row>
    <row r="164" spans="1:13" ht="19.95" customHeight="1" x14ac:dyDescent="0.4">
      <c r="A164" s="1">
        <v>46256</v>
      </c>
      <c r="B164" t="s">
        <v>46</v>
      </c>
      <c r="C164" t="s">
        <v>44</v>
      </c>
      <c r="D164" t="s">
        <v>40</v>
      </c>
      <c r="E164" t="s">
        <v>41</v>
      </c>
      <c r="F164" t="s">
        <v>22</v>
      </c>
      <c r="G164" s="2">
        <v>40</v>
      </c>
      <c r="H164" s="3">
        <v>80.37</v>
      </c>
      <c r="I164" s="3">
        <f t="shared" si="5"/>
        <v>3214.8</v>
      </c>
      <c r="J164" s="3">
        <v>1072.29</v>
      </c>
      <c r="K164" s="3">
        <v>59.25</v>
      </c>
      <c r="L164" s="4">
        <v>2.9600000000000001E-2</v>
      </c>
      <c r="M164" s="4">
        <v>0.90880000000000005</v>
      </c>
    </row>
    <row r="165" spans="1:13" ht="19.95" customHeight="1" x14ac:dyDescent="0.4">
      <c r="A165" s="1">
        <v>46258</v>
      </c>
      <c r="B165" t="s">
        <v>33</v>
      </c>
      <c r="C165" t="s">
        <v>27</v>
      </c>
      <c r="D165" t="s">
        <v>15</v>
      </c>
      <c r="E165" t="s">
        <v>45</v>
      </c>
      <c r="F165" t="s">
        <v>26</v>
      </c>
      <c r="G165" s="2">
        <v>567</v>
      </c>
      <c r="H165" s="3">
        <v>326.04000000000002</v>
      </c>
      <c r="I165" s="3">
        <f t="shared" si="5"/>
        <v>184864.68</v>
      </c>
      <c r="J165" s="3">
        <v>38050.68</v>
      </c>
      <c r="K165" s="3">
        <v>8258.0499999999993</v>
      </c>
      <c r="L165" s="4">
        <v>7.7999999999999996E-3</v>
      </c>
      <c r="M165" s="4">
        <v>0.96809999999999996</v>
      </c>
    </row>
    <row r="166" spans="1:13" ht="19.95" customHeight="1" x14ac:dyDescent="0.4">
      <c r="A166" s="1">
        <v>46259</v>
      </c>
      <c r="B166" t="s">
        <v>18</v>
      </c>
      <c r="C166" t="s">
        <v>49</v>
      </c>
      <c r="D166" t="s">
        <v>24</v>
      </c>
      <c r="E166" t="s">
        <v>30</v>
      </c>
      <c r="F166" t="s">
        <v>22</v>
      </c>
      <c r="G166" s="2">
        <v>235</v>
      </c>
      <c r="H166" s="3">
        <v>16.920000000000002</v>
      </c>
      <c r="I166" s="3">
        <f t="shared" si="5"/>
        <v>3976.2</v>
      </c>
      <c r="J166" s="3">
        <v>1083.27</v>
      </c>
      <c r="K166" s="3">
        <v>101.74</v>
      </c>
      <c r="L166" s="4">
        <v>6.8999999999999999E-3</v>
      </c>
      <c r="M166" s="4">
        <v>0.92330000000000001</v>
      </c>
    </row>
    <row r="167" spans="1:13" ht="19.95" customHeight="1" x14ac:dyDescent="0.4">
      <c r="A167" s="1">
        <v>46265</v>
      </c>
      <c r="B167" t="s">
        <v>18</v>
      </c>
      <c r="C167" t="s">
        <v>34</v>
      </c>
      <c r="D167" t="s">
        <v>24</v>
      </c>
      <c r="E167" t="s">
        <v>28</v>
      </c>
      <c r="F167" t="s">
        <v>22</v>
      </c>
      <c r="G167" s="2">
        <v>15</v>
      </c>
      <c r="H167" s="3">
        <v>23.63</v>
      </c>
      <c r="I167" s="3">
        <f t="shared" si="5"/>
        <v>354.45</v>
      </c>
      <c r="J167" s="3">
        <v>107.44</v>
      </c>
      <c r="K167" s="3">
        <v>14.66</v>
      </c>
      <c r="L167" s="4">
        <v>7.7000000000000002E-3</v>
      </c>
      <c r="M167" s="4">
        <v>0.94640000000000002</v>
      </c>
    </row>
    <row r="168" spans="1:13" ht="19.95" customHeight="1" x14ac:dyDescent="0.4">
      <c r="A168" s="1">
        <v>46266</v>
      </c>
      <c r="B168" t="s">
        <v>33</v>
      </c>
      <c r="C168" t="s">
        <v>39</v>
      </c>
      <c r="D168" t="s">
        <v>40</v>
      </c>
      <c r="E168" t="s">
        <v>47</v>
      </c>
      <c r="F168" t="s">
        <v>17</v>
      </c>
      <c r="G168" s="2">
        <v>185</v>
      </c>
      <c r="H168" s="3">
        <v>55.12</v>
      </c>
      <c r="I168" s="3">
        <f t="shared" si="5"/>
        <v>10197.200000000001</v>
      </c>
      <c r="J168" s="3">
        <v>1062.1600000000001</v>
      </c>
      <c r="K168" s="3">
        <v>1015.88</v>
      </c>
      <c r="L168" s="4">
        <v>1.5299999999999999E-2</v>
      </c>
      <c r="M168" s="4">
        <v>0.94989999999999997</v>
      </c>
    </row>
    <row r="169" spans="1:13" ht="19.95" customHeight="1" x14ac:dyDescent="0.4">
      <c r="A169" s="1">
        <v>46268</v>
      </c>
      <c r="B169" t="s">
        <v>18</v>
      </c>
      <c r="C169" t="s">
        <v>34</v>
      </c>
      <c r="D169" t="s">
        <v>24</v>
      </c>
      <c r="E169" t="s">
        <v>25</v>
      </c>
      <c r="F169" t="s">
        <v>32</v>
      </c>
      <c r="G169" s="2">
        <v>122</v>
      </c>
      <c r="H169" s="3">
        <v>56.12</v>
      </c>
      <c r="I169" s="3">
        <f t="shared" si="5"/>
        <v>6846.64</v>
      </c>
      <c r="J169" s="3">
        <v>1044.48</v>
      </c>
      <c r="K169" s="3">
        <v>279.02</v>
      </c>
      <c r="L169" s="4">
        <v>3.15E-2</v>
      </c>
      <c r="M169" s="4">
        <v>0.88460000000000005</v>
      </c>
    </row>
    <row r="170" spans="1:13" ht="19.95" customHeight="1" x14ac:dyDescent="0.4">
      <c r="A170" s="1">
        <v>46268</v>
      </c>
      <c r="B170" t="s">
        <v>46</v>
      </c>
      <c r="C170" t="s">
        <v>14</v>
      </c>
      <c r="D170" t="s">
        <v>24</v>
      </c>
      <c r="E170" t="s">
        <v>25</v>
      </c>
      <c r="F170" t="s">
        <v>17</v>
      </c>
      <c r="G170" s="2">
        <v>235</v>
      </c>
      <c r="H170" s="3">
        <v>61.14</v>
      </c>
      <c r="I170" s="3">
        <f t="shared" si="5"/>
        <v>14367.9</v>
      </c>
      <c r="J170" s="3">
        <v>4043.28</v>
      </c>
      <c r="K170" s="3">
        <v>947.19</v>
      </c>
      <c r="L170" s="4">
        <v>3.3E-3</v>
      </c>
      <c r="M170" s="4">
        <v>0.89380000000000004</v>
      </c>
    </row>
    <row r="171" spans="1:13" ht="19.95" customHeight="1" x14ac:dyDescent="0.4">
      <c r="A171" s="1">
        <v>46268</v>
      </c>
      <c r="B171" t="s">
        <v>46</v>
      </c>
      <c r="C171" t="s">
        <v>44</v>
      </c>
      <c r="D171" t="s">
        <v>20</v>
      </c>
      <c r="E171" t="s">
        <v>31</v>
      </c>
      <c r="F171" t="s">
        <v>32</v>
      </c>
      <c r="G171" s="2">
        <v>252</v>
      </c>
      <c r="H171" s="3">
        <v>15.61</v>
      </c>
      <c r="I171" s="3">
        <f t="shared" si="5"/>
        <v>3933.72</v>
      </c>
      <c r="J171" s="3">
        <v>926.66</v>
      </c>
      <c r="K171" s="3">
        <v>172.39</v>
      </c>
      <c r="L171" s="4">
        <v>3.2899999999999999E-2</v>
      </c>
      <c r="M171" s="4">
        <v>0.97899999999999998</v>
      </c>
    </row>
    <row r="172" spans="1:13" ht="19.95" customHeight="1" x14ac:dyDescent="0.4">
      <c r="A172" s="1">
        <v>46269</v>
      </c>
      <c r="B172" t="s">
        <v>33</v>
      </c>
      <c r="C172" t="s">
        <v>23</v>
      </c>
      <c r="D172" t="s">
        <v>40</v>
      </c>
      <c r="E172" t="s">
        <v>50</v>
      </c>
      <c r="F172" t="s">
        <v>22</v>
      </c>
      <c r="G172" s="2">
        <v>104</v>
      </c>
      <c r="H172" s="3">
        <v>138.15</v>
      </c>
      <c r="I172" s="3">
        <f t="shared" si="5"/>
        <v>14367.6</v>
      </c>
      <c r="J172" s="3">
        <v>2940.06</v>
      </c>
      <c r="K172" s="3">
        <v>301.93</v>
      </c>
      <c r="L172" s="4">
        <v>1.09E-2</v>
      </c>
      <c r="M172" s="4">
        <v>0.99399999999999999</v>
      </c>
    </row>
    <row r="173" spans="1:13" ht="19.95" customHeight="1" x14ac:dyDescent="0.4">
      <c r="A173" s="1">
        <v>46271</v>
      </c>
      <c r="B173" t="s">
        <v>33</v>
      </c>
      <c r="C173" t="s">
        <v>29</v>
      </c>
      <c r="D173" t="s">
        <v>35</v>
      </c>
      <c r="E173" t="s">
        <v>36</v>
      </c>
      <c r="F173" t="s">
        <v>32</v>
      </c>
      <c r="G173" s="2">
        <v>201</v>
      </c>
      <c r="H173" s="3">
        <v>30.89</v>
      </c>
      <c r="I173" s="3">
        <f t="shared" si="5"/>
        <v>6208.89</v>
      </c>
      <c r="J173" s="3">
        <v>1319.5</v>
      </c>
      <c r="K173" s="3">
        <v>194.44</v>
      </c>
      <c r="L173" s="4">
        <v>2.5899999999999999E-2</v>
      </c>
      <c r="M173" s="4">
        <v>0.97409999999999997</v>
      </c>
    </row>
    <row r="174" spans="1:13" ht="19.95" customHeight="1" x14ac:dyDescent="0.4">
      <c r="A174" s="1">
        <v>46271</v>
      </c>
      <c r="B174" t="s">
        <v>33</v>
      </c>
      <c r="C174" t="s">
        <v>34</v>
      </c>
      <c r="D174" t="s">
        <v>15</v>
      </c>
      <c r="E174" t="s">
        <v>42</v>
      </c>
      <c r="F174" t="s">
        <v>32</v>
      </c>
      <c r="G174" s="2">
        <v>256</v>
      </c>
      <c r="H174" s="3">
        <v>44.94</v>
      </c>
      <c r="I174" s="3">
        <f t="shared" si="5"/>
        <v>11504.64</v>
      </c>
      <c r="J174" s="3">
        <v>1992.47</v>
      </c>
      <c r="K174" s="3">
        <v>452.29</v>
      </c>
      <c r="L174" s="4">
        <v>3.2399999999999998E-2</v>
      </c>
      <c r="M174" s="4">
        <v>0.95069999999999999</v>
      </c>
    </row>
    <row r="175" spans="1:13" ht="19.95" customHeight="1" x14ac:dyDescent="0.4">
      <c r="A175" s="1">
        <v>46272</v>
      </c>
      <c r="B175" t="s">
        <v>33</v>
      </c>
      <c r="C175" t="s">
        <v>49</v>
      </c>
      <c r="D175" t="s">
        <v>40</v>
      </c>
      <c r="E175" t="s">
        <v>41</v>
      </c>
      <c r="F175" t="s">
        <v>43</v>
      </c>
      <c r="G175" s="2">
        <v>563</v>
      </c>
      <c r="H175" s="3">
        <v>73.489999999999995</v>
      </c>
      <c r="I175" s="3">
        <f t="shared" si="5"/>
        <v>41374.870000000003</v>
      </c>
      <c r="J175" s="3">
        <v>11839.92</v>
      </c>
      <c r="K175" s="3">
        <v>1261.45</v>
      </c>
      <c r="L175" s="4">
        <v>5.4000000000000003E-3</v>
      </c>
      <c r="M175" s="4">
        <v>0.90649999999999997</v>
      </c>
    </row>
    <row r="176" spans="1:13" ht="19.95" customHeight="1" x14ac:dyDescent="0.4">
      <c r="A176" s="1">
        <v>46272</v>
      </c>
      <c r="B176" t="s">
        <v>13</v>
      </c>
      <c r="C176" t="s">
        <v>19</v>
      </c>
      <c r="D176" t="s">
        <v>24</v>
      </c>
      <c r="E176" t="s">
        <v>25</v>
      </c>
      <c r="F176" t="s">
        <v>17</v>
      </c>
      <c r="G176" s="2">
        <v>172</v>
      </c>
      <c r="H176" s="3">
        <v>57.16</v>
      </c>
      <c r="I176" s="3">
        <f t="shared" si="5"/>
        <v>9831.52</v>
      </c>
      <c r="J176" s="3">
        <v>1041.3499999999999</v>
      </c>
      <c r="K176" s="3">
        <v>909.44</v>
      </c>
      <c r="L176" s="4">
        <v>2.58E-2</v>
      </c>
      <c r="M176" s="4">
        <v>0.89410000000000001</v>
      </c>
    </row>
    <row r="177" spans="1:13" ht="19.95" customHeight="1" x14ac:dyDescent="0.4">
      <c r="A177" s="1">
        <v>46273</v>
      </c>
      <c r="B177" t="s">
        <v>33</v>
      </c>
      <c r="C177" t="s">
        <v>34</v>
      </c>
      <c r="D177" t="s">
        <v>15</v>
      </c>
      <c r="E177" t="s">
        <v>42</v>
      </c>
      <c r="F177" t="s">
        <v>17</v>
      </c>
      <c r="G177" s="2">
        <v>299</v>
      </c>
      <c r="H177" s="3">
        <v>38.130000000000003</v>
      </c>
      <c r="I177" s="3">
        <f t="shared" si="5"/>
        <v>11400.87</v>
      </c>
      <c r="J177" s="3">
        <v>2004.82</v>
      </c>
      <c r="K177" s="3">
        <v>928.72</v>
      </c>
      <c r="L177" s="4">
        <v>3.2199999999999999E-2</v>
      </c>
      <c r="M177" s="4">
        <v>0.90339999999999998</v>
      </c>
    </row>
    <row r="178" spans="1:13" ht="19.95" customHeight="1" x14ac:dyDescent="0.4">
      <c r="A178" s="1">
        <v>46274</v>
      </c>
      <c r="B178" t="s">
        <v>46</v>
      </c>
      <c r="C178" t="s">
        <v>14</v>
      </c>
      <c r="D178" t="s">
        <v>15</v>
      </c>
      <c r="E178" t="s">
        <v>45</v>
      </c>
      <c r="F178" t="s">
        <v>32</v>
      </c>
      <c r="G178" s="2">
        <v>284</v>
      </c>
      <c r="H178" s="3">
        <v>267.5</v>
      </c>
      <c r="I178" s="3">
        <f t="shared" si="5"/>
        <v>75970</v>
      </c>
      <c r="J178" s="3">
        <v>14062.47</v>
      </c>
      <c r="K178" s="3">
        <v>1034.94</v>
      </c>
      <c r="L178" s="4">
        <v>1.43E-2</v>
      </c>
      <c r="M178" s="4">
        <v>0.96350000000000002</v>
      </c>
    </row>
    <row r="179" spans="1:13" ht="19.95" customHeight="1" x14ac:dyDescent="0.4">
      <c r="A179" s="1">
        <v>46274</v>
      </c>
      <c r="B179" t="s">
        <v>33</v>
      </c>
      <c r="C179" t="s">
        <v>39</v>
      </c>
      <c r="D179" t="s">
        <v>15</v>
      </c>
      <c r="E179" t="s">
        <v>16</v>
      </c>
      <c r="F179" t="s">
        <v>22</v>
      </c>
      <c r="G179" s="2">
        <v>237</v>
      </c>
      <c r="H179" s="3">
        <v>224.58</v>
      </c>
      <c r="I179" s="3">
        <f t="shared" si="5"/>
        <v>53225.46</v>
      </c>
      <c r="J179" s="3">
        <v>12318.72</v>
      </c>
      <c r="K179" s="3">
        <v>1879.59</v>
      </c>
      <c r="L179" s="4">
        <v>1.0200000000000001E-2</v>
      </c>
      <c r="M179" s="4">
        <v>0.94630000000000003</v>
      </c>
    </row>
    <row r="180" spans="1:13" ht="19.95" customHeight="1" x14ac:dyDescent="0.4">
      <c r="A180" s="1">
        <v>46274</v>
      </c>
      <c r="B180" t="s">
        <v>13</v>
      </c>
      <c r="C180" t="s">
        <v>14</v>
      </c>
      <c r="D180" t="s">
        <v>35</v>
      </c>
      <c r="E180" t="s">
        <v>51</v>
      </c>
      <c r="F180" t="s">
        <v>43</v>
      </c>
      <c r="G180" s="2">
        <v>358</v>
      </c>
      <c r="H180" s="3">
        <v>39</v>
      </c>
      <c r="I180" s="3">
        <f t="shared" si="5"/>
        <v>13962</v>
      </c>
      <c r="J180" s="3">
        <v>4297.8100000000004</v>
      </c>
      <c r="K180" s="3">
        <v>469.27</v>
      </c>
      <c r="L180" s="4">
        <v>3.1399999999999997E-2</v>
      </c>
      <c r="M180" s="4">
        <v>0.95630000000000004</v>
      </c>
    </row>
    <row r="181" spans="1:13" ht="19.95" customHeight="1" x14ac:dyDescent="0.4">
      <c r="A181" s="1">
        <v>46276</v>
      </c>
      <c r="B181" t="s">
        <v>13</v>
      </c>
      <c r="C181" t="s">
        <v>34</v>
      </c>
      <c r="D181" t="s">
        <v>20</v>
      </c>
      <c r="E181" t="s">
        <v>21</v>
      </c>
      <c r="F181" t="s">
        <v>32</v>
      </c>
      <c r="G181" s="2">
        <v>282</v>
      </c>
      <c r="H181" s="3">
        <v>31.06</v>
      </c>
      <c r="I181" s="3">
        <f t="shared" si="5"/>
        <v>8758.92</v>
      </c>
      <c r="J181" s="3">
        <v>1705.01</v>
      </c>
      <c r="K181" s="3">
        <v>101.57</v>
      </c>
      <c r="L181" s="4">
        <v>3.2199999999999999E-2</v>
      </c>
      <c r="M181" s="4">
        <v>0.98260000000000003</v>
      </c>
    </row>
    <row r="182" spans="1:13" ht="19.95" customHeight="1" x14ac:dyDescent="0.4">
      <c r="A182" s="1">
        <v>46278</v>
      </c>
      <c r="B182" t="s">
        <v>33</v>
      </c>
      <c r="C182" t="s">
        <v>19</v>
      </c>
      <c r="D182" t="s">
        <v>15</v>
      </c>
      <c r="E182" t="s">
        <v>42</v>
      </c>
      <c r="F182" t="s">
        <v>17</v>
      </c>
      <c r="G182" s="2">
        <v>47</v>
      </c>
      <c r="H182" s="3">
        <v>34.630000000000003</v>
      </c>
      <c r="I182" s="3">
        <f t="shared" si="5"/>
        <v>1627.61</v>
      </c>
      <c r="J182" s="3">
        <v>204.04</v>
      </c>
      <c r="K182" s="3">
        <v>186.34</v>
      </c>
      <c r="L182" s="4">
        <v>3.5099999999999999E-2</v>
      </c>
      <c r="M182" s="4">
        <v>0.8831</v>
      </c>
    </row>
    <row r="183" spans="1:13" ht="19.95" customHeight="1" x14ac:dyDescent="0.4">
      <c r="A183" s="1">
        <v>46278</v>
      </c>
      <c r="B183" t="s">
        <v>18</v>
      </c>
      <c r="C183" t="s">
        <v>49</v>
      </c>
      <c r="D183" t="s">
        <v>24</v>
      </c>
      <c r="E183" t="s">
        <v>28</v>
      </c>
      <c r="F183" t="s">
        <v>43</v>
      </c>
      <c r="G183" s="2">
        <v>486</v>
      </c>
      <c r="H183" s="3">
        <v>22.6</v>
      </c>
      <c r="I183" s="3">
        <f t="shared" si="5"/>
        <v>10983.6</v>
      </c>
      <c r="J183" s="3">
        <v>1998.78</v>
      </c>
      <c r="K183" s="3">
        <v>147.81</v>
      </c>
      <c r="L183" s="4">
        <v>1.49E-2</v>
      </c>
      <c r="M183" s="4">
        <v>0.92820000000000003</v>
      </c>
    </row>
    <row r="184" spans="1:13" ht="19.95" customHeight="1" x14ac:dyDescent="0.4">
      <c r="A184" s="1">
        <v>46279</v>
      </c>
      <c r="B184" t="s">
        <v>33</v>
      </c>
      <c r="C184" t="s">
        <v>29</v>
      </c>
      <c r="D184" t="s">
        <v>40</v>
      </c>
      <c r="E184" t="s">
        <v>50</v>
      </c>
      <c r="F184" t="s">
        <v>43</v>
      </c>
      <c r="G184" s="2">
        <v>631</v>
      </c>
      <c r="H184" s="3">
        <v>133.08000000000001</v>
      </c>
      <c r="I184" s="3">
        <f t="shared" si="5"/>
        <v>83973.48</v>
      </c>
      <c r="J184" s="3">
        <v>18666.22</v>
      </c>
      <c r="K184" s="3">
        <v>1820.61</v>
      </c>
      <c r="L184" s="4">
        <v>2.5399999999999999E-2</v>
      </c>
      <c r="M184" s="4">
        <v>0.90180000000000005</v>
      </c>
    </row>
    <row r="185" spans="1:13" ht="19.95" customHeight="1" x14ac:dyDescent="0.4">
      <c r="A185" s="1">
        <v>46281</v>
      </c>
      <c r="B185" t="s">
        <v>46</v>
      </c>
      <c r="C185" t="s">
        <v>29</v>
      </c>
      <c r="D185" t="s">
        <v>20</v>
      </c>
      <c r="E185" t="s">
        <v>31</v>
      </c>
      <c r="F185" t="s">
        <v>26</v>
      </c>
      <c r="G185" s="2">
        <v>931</v>
      </c>
      <c r="H185" s="3">
        <v>14.52</v>
      </c>
      <c r="I185" s="3">
        <f t="shared" si="5"/>
        <v>13518.12</v>
      </c>
      <c r="J185" s="3">
        <v>3932.92</v>
      </c>
      <c r="K185" s="3">
        <v>298.39999999999998</v>
      </c>
      <c r="L185" s="4">
        <v>1.7299999999999999E-2</v>
      </c>
      <c r="M185" s="4">
        <v>0.92300000000000004</v>
      </c>
    </row>
    <row r="186" spans="1:13" ht="19.95" customHeight="1" x14ac:dyDescent="0.4">
      <c r="A186" s="1">
        <v>46282</v>
      </c>
      <c r="B186" t="s">
        <v>33</v>
      </c>
      <c r="C186" t="s">
        <v>34</v>
      </c>
      <c r="D186" t="s">
        <v>35</v>
      </c>
      <c r="E186" t="s">
        <v>37</v>
      </c>
      <c r="F186" t="s">
        <v>43</v>
      </c>
      <c r="G186" s="2">
        <v>460</v>
      </c>
      <c r="H186" s="3">
        <v>98.62</v>
      </c>
      <c r="I186" s="3">
        <f t="shared" si="5"/>
        <v>45365.2</v>
      </c>
      <c r="J186" s="3">
        <v>9870.75</v>
      </c>
      <c r="K186" s="3">
        <v>664.26</v>
      </c>
      <c r="L186" s="4">
        <v>2.8400000000000002E-2</v>
      </c>
      <c r="M186" s="4">
        <v>0.94620000000000004</v>
      </c>
    </row>
    <row r="187" spans="1:13" ht="19.95" customHeight="1" x14ac:dyDescent="0.4">
      <c r="A187" s="1">
        <v>46283</v>
      </c>
      <c r="B187" t="s">
        <v>18</v>
      </c>
      <c r="C187" t="s">
        <v>34</v>
      </c>
      <c r="D187" t="s">
        <v>35</v>
      </c>
      <c r="E187" t="s">
        <v>36</v>
      </c>
      <c r="F187" t="s">
        <v>22</v>
      </c>
      <c r="G187" s="2">
        <v>121</v>
      </c>
      <c r="H187" s="3">
        <v>30.84</v>
      </c>
      <c r="I187" s="3">
        <f t="shared" si="5"/>
        <v>3731.64</v>
      </c>
      <c r="J187" s="3">
        <v>701.28</v>
      </c>
      <c r="K187" s="3">
        <v>120.52</v>
      </c>
      <c r="L187" s="4">
        <v>1.14E-2</v>
      </c>
      <c r="M187" s="4">
        <v>0.94810000000000005</v>
      </c>
    </row>
    <row r="188" spans="1:13" ht="19.95" customHeight="1" x14ac:dyDescent="0.4">
      <c r="A188" s="1">
        <v>46286</v>
      </c>
      <c r="B188" t="s">
        <v>46</v>
      </c>
      <c r="C188" t="s">
        <v>19</v>
      </c>
      <c r="D188" t="s">
        <v>40</v>
      </c>
      <c r="E188" t="s">
        <v>47</v>
      </c>
      <c r="F188" t="s">
        <v>43</v>
      </c>
      <c r="G188" s="2">
        <v>942</v>
      </c>
      <c r="H188" s="3">
        <v>46.8</v>
      </c>
      <c r="I188" s="3">
        <f t="shared" si="5"/>
        <v>44085.599999999999</v>
      </c>
      <c r="J188" s="3">
        <v>10963.35</v>
      </c>
      <c r="K188" s="3">
        <v>557.25</v>
      </c>
      <c r="L188" s="4">
        <v>2.5499999999999998E-2</v>
      </c>
      <c r="M188" s="4">
        <v>0.88100000000000001</v>
      </c>
    </row>
    <row r="189" spans="1:13" ht="19.95" customHeight="1" x14ac:dyDescent="0.4">
      <c r="A189" s="1">
        <v>46288</v>
      </c>
      <c r="B189" t="s">
        <v>18</v>
      </c>
      <c r="C189" t="s">
        <v>29</v>
      </c>
      <c r="D189" t="s">
        <v>24</v>
      </c>
      <c r="E189" t="s">
        <v>30</v>
      </c>
      <c r="F189" t="s">
        <v>26</v>
      </c>
      <c r="G189" s="2">
        <v>554</v>
      </c>
      <c r="H189" s="3">
        <v>18.57</v>
      </c>
      <c r="I189" s="3">
        <f t="shared" si="5"/>
        <v>10287.780000000001</v>
      </c>
      <c r="J189" s="3">
        <v>3334.14</v>
      </c>
      <c r="K189" s="3">
        <v>340.14</v>
      </c>
      <c r="L189" s="4">
        <v>3.6200000000000003E-2</v>
      </c>
      <c r="M189" s="4">
        <v>0.92479999999999996</v>
      </c>
    </row>
    <row r="190" spans="1:13" ht="19.95" customHeight="1" x14ac:dyDescent="0.4">
      <c r="A190" s="1">
        <v>46288</v>
      </c>
      <c r="B190" t="s">
        <v>18</v>
      </c>
      <c r="C190" t="s">
        <v>48</v>
      </c>
      <c r="D190" t="s">
        <v>15</v>
      </c>
      <c r="E190" t="s">
        <v>42</v>
      </c>
      <c r="F190" t="s">
        <v>43</v>
      </c>
      <c r="G190" s="2">
        <v>410</v>
      </c>
      <c r="H190" s="3">
        <v>36.47</v>
      </c>
      <c r="I190" s="3">
        <f t="shared" si="5"/>
        <v>14952.7</v>
      </c>
      <c r="J190" s="3">
        <v>2559.34</v>
      </c>
      <c r="K190" s="3">
        <v>374.34</v>
      </c>
      <c r="L190" s="4">
        <v>5.8999999999999999E-3</v>
      </c>
      <c r="M190" s="4">
        <v>0.96160000000000001</v>
      </c>
    </row>
    <row r="191" spans="1:13" ht="19.95" customHeight="1" x14ac:dyDescent="0.4">
      <c r="A191" s="1">
        <v>46288</v>
      </c>
      <c r="B191" t="s">
        <v>33</v>
      </c>
      <c r="C191" t="s">
        <v>27</v>
      </c>
      <c r="D191" t="s">
        <v>15</v>
      </c>
      <c r="E191" t="s">
        <v>45</v>
      </c>
      <c r="F191" t="s">
        <v>22</v>
      </c>
      <c r="G191" s="2">
        <v>90</v>
      </c>
      <c r="H191" s="3">
        <v>331.6</v>
      </c>
      <c r="I191" s="3">
        <f t="shared" si="5"/>
        <v>29844</v>
      </c>
      <c r="J191" s="3">
        <v>8708.9500000000007</v>
      </c>
      <c r="K191" s="3">
        <v>1120.03</v>
      </c>
      <c r="L191" s="4">
        <v>3.2599999999999997E-2</v>
      </c>
      <c r="M191" s="4">
        <v>0.9768</v>
      </c>
    </row>
    <row r="192" spans="1:13" ht="19.95" customHeight="1" x14ac:dyDescent="0.4">
      <c r="A192" s="1">
        <v>46289</v>
      </c>
      <c r="B192" t="s">
        <v>46</v>
      </c>
      <c r="C192" t="s">
        <v>48</v>
      </c>
      <c r="D192" t="s">
        <v>15</v>
      </c>
      <c r="E192" t="s">
        <v>16</v>
      </c>
      <c r="F192" t="s">
        <v>22</v>
      </c>
      <c r="G192" s="2">
        <v>258</v>
      </c>
      <c r="H192" s="3">
        <v>191.48</v>
      </c>
      <c r="I192" s="3">
        <f t="shared" si="5"/>
        <v>49401.84</v>
      </c>
      <c r="J192" s="3">
        <v>8343.11</v>
      </c>
      <c r="K192" s="3">
        <v>2402.79</v>
      </c>
      <c r="L192" s="4">
        <v>7.7999999999999996E-3</v>
      </c>
      <c r="M192" s="4">
        <v>0.88329999999999997</v>
      </c>
    </row>
    <row r="193" spans="1:13" ht="19.95" customHeight="1" x14ac:dyDescent="0.4">
      <c r="A193" s="1">
        <v>46289</v>
      </c>
      <c r="B193" t="s">
        <v>13</v>
      </c>
      <c r="C193" t="s">
        <v>48</v>
      </c>
      <c r="D193" t="s">
        <v>20</v>
      </c>
      <c r="E193" t="s">
        <v>38</v>
      </c>
      <c r="F193" t="s">
        <v>22</v>
      </c>
      <c r="G193" s="2">
        <v>44</v>
      </c>
      <c r="H193" s="3">
        <v>12.13</v>
      </c>
      <c r="I193" s="3">
        <f t="shared" si="5"/>
        <v>533.72</v>
      </c>
      <c r="J193" s="3">
        <v>98.72</v>
      </c>
      <c r="K193" s="3">
        <v>9.34</v>
      </c>
      <c r="L193" s="4">
        <v>1.0200000000000001E-2</v>
      </c>
      <c r="M193" s="4">
        <v>0.99639999999999995</v>
      </c>
    </row>
    <row r="194" spans="1:13" ht="19.95" customHeight="1" x14ac:dyDescent="0.4">
      <c r="A194" s="1">
        <v>46290</v>
      </c>
      <c r="B194" t="s">
        <v>13</v>
      </c>
      <c r="C194" t="s">
        <v>48</v>
      </c>
      <c r="D194" t="s">
        <v>40</v>
      </c>
      <c r="E194" t="s">
        <v>47</v>
      </c>
      <c r="F194" t="s">
        <v>26</v>
      </c>
      <c r="G194" s="2">
        <v>257</v>
      </c>
      <c r="H194" s="3">
        <v>52.05</v>
      </c>
      <c r="I194" s="3">
        <f t="shared" ref="I194:I201" si="6">ROUND(G194*H194,2)</f>
        <v>13376.85</v>
      </c>
      <c r="J194" s="3">
        <v>4015.62</v>
      </c>
      <c r="K194" s="3">
        <v>554.19000000000005</v>
      </c>
      <c r="L194" s="4">
        <v>8.9999999999999993E-3</v>
      </c>
      <c r="M194" s="4">
        <v>0.88400000000000001</v>
      </c>
    </row>
    <row r="195" spans="1:13" ht="19.95" customHeight="1" x14ac:dyDescent="0.4">
      <c r="A195" s="1">
        <v>46292</v>
      </c>
      <c r="B195" t="s">
        <v>13</v>
      </c>
      <c r="C195" t="s">
        <v>14</v>
      </c>
      <c r="D195" t="s">
        <v>24</v>
      </c>
      <c r="E195" t="s">
        <v>25</v>
      </c>
      <c r="F195" t="s">
        <v>17</v>
      </c>
      <c r="G195" s="2">
        <v>91</v>
      </c>
      <c r="H195" s="3">
        <v>48.09</v>
      </c>
      <c r="I195" s="3">
        <f t="shared" si="6"/>
        <v>4376.1899999999996</v>
      </c>
      <c r="J195" s="3">
        <v>1085.1600000000001</v>
      </c>
      <c r="K195" s="3">
        <v>381.39</v>
      </c>
      <c r="L195" s="4">
        <v>3.4500000000000003E-2</v>
      </c>
      <c r="M195" s="4">
        <v>0.91869999999999996</v>
      </c>
    </row>
    <row r="196" spans="1:13" ht="19.95" customHeight="1" x14ac:dyDescent="0.4">
      <c r="A196" s="1">
        <v>46292</v>
      </c>
      <c r="B196" t="s">
        <v>33</v>
      </c>
      <c r="C196" t="s">
        <v>19</v>
      </c>
      <c r="D196" t="s">
        <v>24</v>
      </c>
      <c r="E196" t="s">
        <v>28</v>
      </c>
      <c r="F196" t="s">
        <v>17</v>
      </c>
      <c r="G196" s="2">
        <v>114</v>
      </c>
      <c r="H196" s="3">
        <v>25.61</v>
      </c>
      <c r="I196" s="3">
        <f t="shared" si="6"/>
        <v>2919.54</v>
      </c>
      <c r="J196" s="3">
        <v>547.73</v>
      </c>
      <c r="K196" s="3">
        <v>185.96</v>
      </c>
      <c r="L196" s="4">
        <v>2.53E-2</v>
      </c>
      <c r="M196" s="4">
        <v>0.88980000000000004</v>
      </c>
    </row>
    <row r="197" spans="1:13" ht="19.95" customHeight="1" x14ac:dyDescent="0.4">
      <c r="A197" s="1">
        <v>46292</v>
      </c>
      <c r="B197" t="s">
        <v>46</v>
      </c>
      <c r="C197" t="s">
        <v>48</v>
      </c>
      <c r="D197" t="s">
        <v>24</v>
      </c>
      <c r="E197" t="s">
        <v>30</v>
      </c>
      <c r="F197" t="s">
        <v>26</v>
      </c>
      <c r="G197" s="2">
        <v>911</v>
      </c>
      <c r="H197" s="3">
        <v>20.64</v>
      </c>
      <c r="I197" s="3">
        <f t="shared" si="6"/>
        <v>18803.04</v>
      </c>
      <c r="J197" s="3">
        <v>6127.74</v>
      </c>
      <c r="K197" s="3">
        <v>358.88</v>
      </c>
      <c r="L197" s="4">
        <v>3.0000000000000001E-3</v>
      </c>
      <c r="M197" s="4">
        <v>0.91410000000000002</v>
      </c>
    </row>
    <row r="198" spans="1:13" ht="19.95" customHeight="1" x14ac:dyDescent="0.4">
      <c r="A198" s="1">
        <v>46297</v>
      </c>
      <c r="B198" t="s">
        <v>13</v>
      </c>
      <c r="C198" t="s">
        <v>48</v>
      </c>
      <c r="D198" t="s">
        <v>35</v>
      </c>
      <c r="E198" t="s">
        <v>37</v>
      </c>
      <c r="F198" t="s">
        <v>26</v>
      </c>
      <c r="G198" s="2">
        <v>577</v>
      </c>
      <c r="H198" s="3">
        <v>112.99</v>
      </c>
      <c r="I198" s="3">
        <f t="shared" si="6"/>
        <v>65195.23</v>
      </c>
      <c r="J198" s="3">
        <v>21244.959999999999</v>
      </c>
      <c r="K198" s="3">
        <v>2741.49</v>
      </c>
      <c r="L198" s="4">
        <v>3.5400000000000001E-2</v>
      </c>
      <c r="M198" s="4">
        <v>0.89390000000000003</v>
      </c>
    </row>
    <row r="199" spans="1:13" ht="19.95" customHeight="1" x14ac:dyDescent="0.4">
      <c r="A199" s="1">
        <v>46298</v>
      </c>
      <c r="B199" t="s">
        <v>13</v>
      </c>
      <c r="C199" t="s">
        <v>14</v>
      </c>
      <c r="D199" t="s">
        <v>24</v>
      </c>
      <c r="E199" t="s">
        <v>30</v>
      </c>
      <c r="F199" t="s">
        <v>17</v>
      </c>
      <c r="G199" s="2">
        <v>120</v>
      </c>
      <c r="H199" s="3">
        <v>21.18</v>
      </c>
      <c r="I199" s="3">
        <f t="shared" si="6"/>
        <v>2541.6</v>
      </c>
      <c r="J199" s="3">
        <v>456.52</v>
      </c>
      <c r="K199" s="3">
        <v>240.99</v>
      </c>
      <c r="L199" s="4">
        <v>2.1299999999999999E-2</v>
      </c>
      <c r="M199" s="4">
        <v>0.89380000000000004</v>
      </c>
    </row>
    <row r="200" spans="1:13" ht="19.95" customHeight="1" x14ac:dyDescent="0.4">
      <c r="A200" s="1">
        <v>46298</v>
      </c>
      <c r="B200" t="s">
        <v>46</v>
      </c>
      <c r="C200" t="s">
        <v>39</v>
      </c>
      <c r="D200" t="s">
        <v>24</v>
      </c>
      <c r="E200" t="s">
        <v>25</v>
      </c>
      <c r="F200" t="s">
        <v>43</v>
      </c>
      <c r="G200" s="2">
        <v>271</v>
      </c>
      <c r="H200" s="3">
        <v>49.52</v>
      </c>
      <c r="I200" s="3">
        <f t="shared" si="6"/>
        <v>13419.92</v>
      </c>
      <c r="J200" s="3">
        <v>2118.73</v>
      </c>
      <c r="K200" s="3">
        <v>632.73</v>
      </c>
      <c r="L200" s="4">
        <v>3.5900000000000001E-2</v>
      </c>
      <c r="M200" s="4">
        <v>0.90190000000000003</v>
      </c>
    </row>
    <row r="201" spans="1:13" ht="19.95" customHeight="1" x14ac:dyDescent="0.4">
      <c r="A201" s="1">
        <v>46300</v>
      </c>
      <c r="B201" t="s">
        <v>33</v>
      </c>
      <c r="C201" t="s">
        <v>19</v>
      </c>
      <c r="D201" t="s">
        <v>15</v>
      </c>
      <c r="E201" t="s">
        <v>45</v>
      </c>
      <c r="F201" t="s">
        <v>22</v>
      </c>
      <c r="G201" s="2">
        <v>31</v>
      </c>
      <c r="H201" s="3">
        <v>260.77999999999997</v>
      </c>
      <c r="I201" s="3">
        <f t="shared" si="6"/>
        <v>8084.18</v>
      </c>
      <c r="J201" s="3">
        <v>1277.68</v>
      </c>
      <c r="K201" s="3">
        <v>206.74</v>
      </c>
      <c r="L201" s="4">
        <v>1.5100000000000001E-2</v>
      </c>
      <c r="M201" s="4">
        <v>0.94740000000000002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Huiseong Jeong</cp:lastModifiedBy>
  <dcterms:modified xsi:type="dcterms:W3CDTF">2026-10-07T04:32:20Z</dcterms:modified>
</cp:coreProperties>
</file>
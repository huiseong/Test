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업무점검표" sheetId="2" state="visible" r:id="rId2"/>
    <sheet xmlns:r="http://schemas.openxmlformats.org/officeDocument/2006/relationships" name="2_인터뷰" sheetId="3" state="visible" r:id="rId3"/>
    <sheet xmlns:r="http://schemas.openxmlformats.org/officeDocument/2006/relationships" name="3_공감지도" sheetId="4" state="visible" r:id="rId4"/>
    <sheet xmlns:r="http://schemas.openxmlformats.org/officeDocument/2006/relationships" name="4_문제후보선정" sheetId="5" state="visible" r:id="rId5"/>
    <sheet xmlns:r="http://schemas.openxmlformats.org/officeDocument/2006/relationships" name="5_업무흐름도" sheetId="6" state="visible" r:id="rId6"/>
    <sheet xmlns:r="http://schemas.openxmlformats.org/officeDocument/2006/relationships" name="6_가설검증" sheetId="7" state="visible" r:id="rId7"/>
    <sheet xmlns:r="http://schemas.openxmlformats.org/officeDocument/2006/relationships" name="7_5Whys" sheetId="8" state="visible" r:id="rId8"/>
    <sheet xmlns:r="http://schemas.openxmlformats.org/officeDocument/2006/relationships" name="8_문제정의서" sheetId="9" state="visible" r:id="rId9"/>
    <sheet xmlns:r="http://schemas.openxmlformats.org/officeDocument/2006/relationships" name="9_Agent설계서" sheetId="10" state="visible" r:id="rId10"/>
    <sheet xmlns:r="http://schemas.openxmlformats.org/officeDocument/2006/relationships" name="10_Day1점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맑은 고딕"/>
      <b val="1"/>
      <color rgb="000A1B66"/>
      <sz val="18"/>
    </font>
    <font>
      <name val="맑은 고딕"/>
      <color rgb="008A8F99"/>
      <sz val="10"/>
    </font>
    <font>
      <name val="맑은 고딕"/>
      <b val="1"/>
      <color rgb="000A1B66"/>
      <sz val="11"/>
    </font>
    <font>
      <name val="맑은 고딕"/>
      <b val="1"/>
      <color rgb="000A1B66"/>
      <sz val="10"/>
    </font>
    <font>
      <name val="맑은 고딕"/>
      <color rgb="00111111"/>
      <sz val="10"/>
    </font>
    <font>
      <name val="맑은 고딕"/>
      <color rgb="008A8F99"/>
      <sz val="9"/>
    </font>
    <font>
      <name val="맑은 고딕"/>
      <i val="1"/>
      <color rgb="00555A66"/>
      <sz val="10"/>
    </font>
    <font>
      <name val="맑은 고딕"/>
      <b val="1"/>
      <color rgb="000B3BD6"/>
      <sz val="10"/>
    </font>
    <font>
      <name val="맑은 고딕"/>
      <b val="1"/>
      <color rgb="00FFFFFF"/>
      <sz val="10"/>
    </font>
    <font>
      <name val="맑은 고딕"/>
      <b val="1"/>
      <color rgb="00111111"/>
      <sz val="10"/>
    </font>
    <font>
      <name val="맑은 고딕"/>
      <b val="1"/>
      <color rgb="000A1B66"/>
      <sz val="15"/>
    </font>
    <font>
      <name val="맑은 고딕"/>
      <color rgb="008A8F99"/>
      <sz val="9.5"/>
    </font>
    <font>
      <name val="맑은 고딕"/>
      <b val="1"/>
      <color rgb="000B3BD6"/>
      <sz val="9.5"/>
    </font>
    <font>
      <name val="맑은 고딕"/>
      <b val="1"/>
      <color rgb="00FFFFFF"/>
      <sz val="11"/>
    </font>
    <font>
      <name val="맑은 고딕"/>
      <i val="1"/>
      <color rgb="008A8F99"/>
      <sz val="9"/>
    </font>
  </fonts>
  <fills count="8">
    <fill>
      <patternFill/>
    </fill>
    <fill>
      <patternFill patternType="gray125"/>
    </fill>
    <fill>
      <patternFill patternType="solid">
        <fgColor rgb="00F2F5FF"/>
      </patternFill>
    </fill>
    <fill>
      <patternFill patternType="solid">
        <fgColor rgb="00FFF6CC"/>
      </patternFill>
    </fill>
    <fill>
      <patternFill patternType="solid">
        <fgColor rgb="00EEF1F7"/>
      </patternFill>
    </fill>
    <fill>
      <patternFill patternType="solid">
        <fgColor rgb="00E8F0FF"/>
      </patternFill>
    </fill>
    <fill>
      <patternFill patternType="solid">
        <fgColor rgb="000A1B66"/>
      </patternFill>
    </fill>
    <fill>
      <patternFill patternType="solid">
        <fgColor rgb="000B3BD6"/>
      </patternFill>
    </fill>
  </fills>
  <borders count="5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  <border>
      <left/>
      <right/>
      <top style="thin">
        <color rgb="00C9CED8"/>
      </top>
      <bottom/>
      <diagonal/>
    </border>
    <border>
      <left/>
      <right style="thin">
        <color rgb="00C9CED8"/>
      </right>
      <top style="thin">
        <color rgb="00C9CED8"/>
      </top>
      <bottom/>
      <diagonal/>
    </border>
    <border>
      <left/>
      <right style="thin">
        <color rgb="00C9CED8"/>
      </right>
      <top style="thin">
        <color rgb="00C9CED8"/>
      </top>
      <bottom style="thin">
        <color rgb="00C9CED8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4" fillId="7" borderId="0" pivotButton="0" quotePrefix="0" xfId="0"/>
    <xf numFmtId="0" fontId="0" fillId="7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/>
    </xf>
    <xf numFmtId="0" fontId="0" fillId="0" borderId="1" pivotButton="0" quotePrefix="0" xfId="0"/>
    <xf numFmtId="0" fontId="0" fillId="0" borderId="4" pivotButton="0" quotePrefix="0" xfId="0"/>
    <xf numFmtId="0" fontId="8" fillId="0" borderId="0" pivotButton="0" quotePrefix="0" xfId="0"/>
    <xf numFmtId="164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_&#50629;&#47924;&#51216;&#44160;&#54364;'!A1" TargetMode="External" Id="rId1"/><Relationship Type="http://schemas.openxmlformats.org/officeDocument/2006/relationships/hyperlink" Target="#'2_&#51064;&#53552;&#48624;'!A1" TargetMode="External" Id="rId2"/><Relationship Type="http://schemas.openxmlformats.org/officeDocument/2006/relationships/hyperlink" Target="#'3_&#44277;&#44048;&#51648;&#46020;'!A1" TargetMode="External" Id="rId3"/><Relationship Type="http://schemas.openxmlformats.org/officeDocument/2006/relationships/hyperlink" Target="#'4_&#47928;&#51228;&#54980;&#48372;&#49440;&#51221;'!A1" TargetMode="External" Id="rId4"/><Relationship Type="http://schemas.openxmlformats.org/officeDocument/2006/relationships/hyperlink" Target="#'5_&#50629;&#47924;&#55120;&#47492;&#46020;'!A1" TargetMode="External" Id="rId5"/><Relationship Type="http://schemas.openxmlformats.org/officeDocument/2006/relationships/hyperlink" Target="#'6_&#44032;&#49444;&#44160;&#51613;'!A1" TargetMode="External" Id="rId6"/><Relationship Type="http://schemas.openxmlformats.org/officeDocument/2006/relationships/hyperlink" Target="#'7_5Whys'!A1" TargetMode="External" Id="rId7"/><Relationship Type="http://schemas.openxmlformats.org/officeDocument/2006/relationships/hyperlink" Target="#'8_&#47928;&#51228;&#51221;&#51032;&#49436;'!A1" TargetMode="External" Id="rId8"/><Relationship Type="http://schemas.openxmlformats.org/officeDocument/2006/relationships/hyperlink" Target="#'9_Agent&#49444;&#44228;&#49436;'!A1" TargetMode="External" Id="rId9"/><Relationship Type="http://schemas.openxmlformats.org/officeDocument/2006/relationships/hyperlink" Target="#'10_Day1&#51216;&#44160;'!A1" TargetMode="External" Id="rId10"/></Relationships>
</file>

<file path=xl/worksheets/_rels/sheet11.xml.rels><Relationships xmlns="http://schemas.openxmlformats.org/package/2006/relationships"><Relationship Type="http://schemas.openxmlformats.org/officeDocument/2006/relationships/hyperlink" Target="#'5_&#50629;&#47924;&#55120;&#47492;&#46020;'!A1" TargetMode="External" Id="rId1"/><Relationship Type="http://schemas.openxmlformats.org/officeDocument/2006/relationships/hyperlink" Target="#'8_&#47928;&#51228;&#51221;&#51032;&#49436;'!A1" TargetMode="External" Id="rId2"/><Relationship Type="http://schemas.openxmlformats.org/officeDocument/2006/relationships/hyperlink" Target="#'9_Agent&#49444;&#44228;&#49436;'!A1" TargetMode="External" Id="rId3"/><Relationship Type="http://schemas.openxmlformats.org/officeDocument/2006/relationships/hyperlink" Target="#'9_Agent&#49444;&#44228;&#49436;'!A1" TargetMode="External" Id="rId4"/></Relationships>
</file>

<file path=xl/worksheets/sheet1.xml><?xml version="1.0" encoding="utf-8"?>
<worksheet xmlns="http://schemas.openxmlformats.org/spreadsheetml/2006/main">
  <sheetPr>
    <tabColor rgb="000A1B66"/>
    <outlinePr summaryBelow="1" summaryRight="1"/>
    <pageSetUpPr fitToPage="1"/>
  </sheetPr>
  <dimension ref="B2:F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26" customWidth="1" min="4" max="4"/>
    <col width="22" customWidth="1" min="5" max="5"/>
    <col width="30" customWidth="1" min="6" max="6"/>
  </cols>
  <sheetData>
    <row r="2">
      <c r="B2" s="1" t="inlineStr">
        <is>
          <t>Day 1 실습 워크북</t>
        </is>
      </c>
    </row>
    <row r="3">
      <c r="B3" s="2" t="inlineStr">
        <is>
          <t>데이터 기반 문제해결 × AI Agent 입문 · 신진엠텍 · 2026. 10. 7 (수)</t>
        </is>
      </c>
    </row>
    <row r="5">
      <c r="B5" s="3" t="inlineStr">
        <is>
          <t>작성자 정보</t>
        </is>
      </c>
    </row>
    <row r="6">
      <c r="B6" s="4" t="inlineStr">
        <is>
          <t>이름</t>
        </is>
      </c>
      <c r="C6" s="5" t="inlineStr">
        <is>
          <t>정희성</t>
        </is>
      </c>
    </row>
    <row r="7">
      <c r="B7" s="4" t="inlineStr">
        <is>
          <t>부서</t>
        </is>
      </c>
      <c r="C7" s="5" t="inlineStr">
        <is>
          <t>제조팀(필름)</t>
        </is>
      </c>
    </row>
    <row r="8">
      <c r="B8" s="4" t="inlineStr">
        <is>
          <t>직무</t>
        </is>
      </c>
      <c r="C8" s="5" t="inlineStr">
        <is>
          <t>제조</t>
        </is>
      </c>
    </row>
    <row r="9">
      <c r="B9" s="4" t="inlineStr">
        <is>
          <t>팀</t>
        </is>
      </c>
      <c r="C9" s="5" t="n"/>
      <c r="D9" s="6" t="inlineStr">
        <is>
          <t>← 오전 팀 구성 후 선택 (11명 · 3팀 · 팀마다 설계 2명)</t>
        </is>
      </c>
    </row>
    <row r="10">
      <c r="B10" s="4" t="inlineStr">
        <is>
          <t>작성일</t>
        </is>
      </c>
      <c r="C10" s="5" t="inlineStr">
        <is>
          <t>2026-10-07</t>
        </is>
      </c>
    </row>
    <row r="12">
      <c r="B12" s="3" t="inlineStr">
        <is>
          <t>범례</t>
        </is>
      </c>
    </row>
    <row r="13">
      <c r="B13" s="5" t="inlineStr"/>
      <c r="C13" s="7" t="inlineStr">
        <is>
          <t>직접 입력하는 칸</t>
        </is>
      </c>
    </row>
    <row r="14">
      <c r="B14" s="8" t="inlineStr"/>
      <c r="C14" s="7" t="inlineStr">
        <is>
          <t>작성 예시 (참고용 · 지우지 않아도 됨)</t>
        </is>
      </c>
    </row>
    <row r="15">
      <c r="B15" s="9" t="inlineStr"/>
      <c r="C15" s="7" t="inlineStr">
        <is>
          <t>자동 계산 칸 (입력하지 않음)</t>
        </is>
      </c>
    </row>
    <row r="17">
      <c r="B17" s="3" t="inlineStr">
        <is>
          <t>시트 순서 — 강의자료 Day 1 순서와 같음</t>
        </is>
      </c>
    </row>
    <row r="18">
      <c r="B18" s="10" t="inlineStr">
        <is>
          <t>시트</t>
        </is>
      </c>
      <c r="C18" s="10" t="inlineStr">
        <is>
          <t>강의자료 도구</t>
        </is>
      </c>
      <c r="D18" s="10" t="inlineStr">
        <is>
          <t>시간</t>
        </is>
      </c>
      <c r="E18" s="10" t="inlineStr">
        <is>
          <t>작성 단위</t>
        </is>
      </c>
      <c r="F18" s="10" t="inlineStr">
        <is>
          <t>산출물</t>
        </is>
      </c>
    </row>
    <row r="19">
      <c r="B19" s="11" t="inlineStr">
        <is>
          <t>1_업무점검표</t>
        </is>
      </c>
      <c r="C19" s="7" t="inlineStr">
        <is>
          <t>문제 발굴 · 업무 점검표</t>
        </is>
      </c>
      <c r="D19" s="7" t="inlineStr">
        <is>
          <t>오전 · 15분</t>
        </is>
      </c>
      <c r="E19" s="7" t="inlineStr">
        <is>
          <t>개인</t>
        </is>
      </c>
      <c r="F19" s="7" t="inlineStr">
        <is>
          <t>업무 10개 이상, 주간 합계 상위 3개</t>
        </is>
      </c>
    </row>
    <row r="20">
      <c r="B20" s="11" t="inlineStr">
        <is>
          <t>2_인터뷰</t>
        </is>
      </c>
      <c r="C20" s="7" t="inlineStr">
        <is>
          <t>도구 01 · 인터뷰 가이드</t>
        </is>
      </c>
      <c r="D20" s="7" t="inlineStr">
        <is>
          <t>오전 · 준비 15분 + 인터뷰 30분</t>
        </is>
      </c>
      <c r="E20" s="7" t="inlineStr">
        <is>
          <t>개인 (2명 이상 인터뷰)</t>
        </is>
      </c>
      <c r="F20" s="7" t="inlineStr">
        <is>
          <t>질문 5~7개와 기록</t>
        </is>
      </c>
    </row>
    <row r="21">
      <c r="B21" s="11" t="inlineStr">
        <is>
          <t>3_공감지도</t>
        </is>
      </c>
      <c r="C21" s="7" t="inlineStr">
        <is>
          <t>도구 02 · 공감 지도</t>
        </is>
      </c>
      <c r="D21" s="7" t="inlineStr">
        <is>
          <t>오전 · 35분</t>
        </is>
      </c>
      <c r="E21" s="7" t="inlineStr">
        <is>
          <t>팀</t>
        </is>
      </c>
      <c r="F21" s="7" t="inlineStr">
        <is>
          <t>공감 지도, 니즈 문장 3개 이상</t>
        </is>
      </c>
    </row>
    <row r="22">
      <c r="B22" s="11" t="inlineStr">
        <is>
          <t>4_문제후보선정</t>
        </is>
      </c>
      <c r="C22" s="7" t="inlineStr">
        <is>
          <t>도구 03 · 효과×용이성 매트릭스</t>
        </is>
      </c>
      <c r="D22" s="7" t="inlineStr">
        <is>
          <t>오전 · 15분</t>
        </is>
      </c>
      <c r="E22" s="7" t="inlineStr">
        <is>
          <t>팀</t>
        </is>
      </c>
      <c r="F22" s="7" t="inlineStr">
        <is>
          <t>풀 문제 1개와 후보 2개</t>
        </is>
      </c>
    </row>
    <row r="23">
      <c r="B23" s="11" t="inlineStr">
        <is>
          <t>5_업무흐름도</t>
        </is>
      </c>
      <c r="C23" s="7" t="inlineStr">
        <is>
          <t>도구 04 · 업무 흐름도 · 역할 분담</t>
        </is>
      </c>
      <c r="D23" s="7" t="inlineStr">
        <is>
          <t>오후 · 60분</t>
        </is>
      </c>
      <c r="E23" s="7" t="inlineStr">
        <is>
          <t>팀</t>
        </is>
      </c>
      <c r="F23" s="7" t="inlineStr">
        <is>
          <t>현재 흐름도, 역할 분담표</t>
        </is>
      </c>
    </row>
    <row r="24">
      <c r="B24" s="11" t="inlineStr">
        <is>
          <t>6_가설검증</t>
        </is>
      </c>
      <c r="C24" s="7" t="inlineStr">
        <is>
          <t>가설 수립 · 데이터 검증 · AI 분석</t>
        </is>
      </c>
      <c r="D24" s="7" t="inlineStr">
        <is>
          <t>오후</t>
        </is>
      </c>
      <c r="E24" s="7" t="inlineStr">
        <is>
          <t>팀</t>
        </is>
      </c>
      <c r="F24" s="7" t="inlineStr">
        <is>
          <t>가설 3개와 판정</t>
        </is>
      </c>
    </row>
    <row r="25">
      <c r="B25" s="11" t="inlineStr">
        <is>
          <t>7_5Whys</t>
        </is>
      </c>
      <c r="C25" s="7" t="inlineStr">
        <is>
          <t>도구 05 · 5 Whys · 질문으로 바꾸기</t>
        </is>
      </c>
      <c r="D25" s="7" t="inlineStr">
        <is>
          <t>오후 · 15분</t>
        </is>
      </c>
      <c r="E25" s="7" t="inlineStr">
        <is>
          <t>팀</t>
        </is>
      </c>
      <c r="F25" s="7" t="inlineStr">
        <is>
          <t>원인 사슬, 진짜 문제</t>
        </is>
      </c>
    </row>
    <row r="26">
      <c r="B26" s="11" t="inlineStr">
        <is>
          <t>8_문제정의서</t>
        </is>
      </c>
      <c r="C26" s="7" t="inlineStr">
        <is>
          <t>도구 06 · 문제정의서</t>
        </is>
      </c>
      <c r="D26" s="7" t="inlineStr">
        <is>
          <t>오후 · 20분</t>
        </is>
      </c>
      <c r="E26" s="7" t="inlineStr">
        <is>
          <t>팀</t>
        </is>
      </c>
      <c r="F26" s="7" t="inlineStr">
        <is>
          <t>문제정의서 1장 (성공 기준 포함)</t>
        </is>
      </c>
    </row>
    <row r="27">
      <c r="B27" s="11" t="inlineStr">
        <is>
          <t>9_Agent설계서</t>
        </is>
      </c>
      <c r="C27" s="7" t="inlineStr">
        <is>
          <t>도구 07 · Agent 설계서 · GPT 제작</t>
        </is>
      </c>
      <c r="D27" s="7" t="inlineStr">
        <is>
          <t>오후 · 설계 20분 + 제작 50분</t>
        </is>
      </c>
      <c r="E27" s="7" t="inlineStr">
        <is>
          <t>팀</t>
        </is>
      </c>
      <c r="F27" s="7" t="inlineStr">
        <is>
          <t>설계서, 지침 초안, 테스트 질문 5개</t>
        </is>
      </c>
    </row>
    <row r="28">
      <c r="B28" s="11" t="inlineStr">
        <is>
          <t>10_Day1점검</t>
        </is>
      </c>
      <c r="C28" s="7" t="inlineStr">
        <is>
          <t>Day 1 정리</t>
        </is>
      </c>
      <c r="D28" s="7" t="inlineStr">
        <is>
          <t>마지막 10분</t>
        </is>
      </c>
      <c r="E28" s="7" t="inlineStr">
        <is>
          <t>팀</t>
        </is>
      </c>
      <c r="F28" s="7" t="inlineStr">
        <is>
          <t>산출물 4종 확인</t>
        </is>
      </c>
    </row>
    <row r="30">
      <c r="B30" s="3" t="inlineStr">
        <is>
          <t>작성 원칙</t>
        </is>
      </c>
    </row>
    <row r="31">
      <c r="B31" s="12" t="inlineStr">
        <is>
          <t>1. 팀 시트(3~10)는 팀원이 같은 내용을 함께 채웁니다. 대표 1명이 작성하고 공유해도 됩니다.</t>
        </is>
      </c>
    </row>
    <row r="32">
      <c r="B32" s="12" t="inlineStr">
        <is>
          <t>2. 들은 말과 숫자는 그대로 적습니다. 사실과 내 해석은 다른 칸에 적습니다.</t>
        </is>
      </c>
    </row>
    <row r="33">
      <c r="B33" s="12" t="inlineStr">
        <is>
          <t>3. 고객사명, 프로젝트명, 도면, 사양 수치는 적지 않습니다. 이름·연락처·사번은 지우거나 기호로 바꿉니다.</t>
        </is>
      </c>
    </row>
    <row r="34">
      <c r="B34" s="12" t="inlineStr">
        <is>
          <t>4. 실제 고객 데이터는 쓰지 않습니다. 실습은 강사가 제공하는 가상 데이터로 진행합니다.</t>
        </is>
      </c>
    </row>
    <row r="35">
      <c r="B35" s="12" t="inlineStr">
        <is>
          <t>5. 회사의 AI 사용 기준이 있으면 그 기준을 우선합니다.</t>
        </is>
      </c>
    </row>
  </sheetData>
  <dataValidations count="1">
    <dataValidation sqref="C9" showDropDown="0" showInputMessage="0" showErrorMessage="0" allowBlank="1" type="list">
      <formula1>"1팀,2팀,3팀"</formula1>
    </dataValidation>
  </dataValidations>
  <hyperlinks>
    <hyperlink xmlns:r="http://schemas.openxmlformats.org/officeDocument/2006/relationships" ref="B19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  <hyperlink xmlns:r="http://schemas.openxmlformats.org/officeDocument/2006/relationships" ref="B24" r:id="rId6"/>
    <hyperlink xmlns:r="http://schemas.openxmlformats.org/officeDocument/2006/relationships" ref="B25" r:id="rId7"/>
    <hyperlink xmlns:r="http://schemas.openxmlformats.org/officeDocument/2006/relationships" ref="B26" r:id="rId8"/>
    <hyperlink xmlns:r="http://schemas.openxmlformats.org/officeDocument/2006/relationships" ref="B27" r:id="rId9"/>
    <hyperlink xmlns:r="http://schemas.openxmlformats.org/officeDocument/2006/relationships" ref="B28" r:id="rId1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M2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9" customWidth="1" min="12" max="12"/>
    <col width="10" customWidth="1" min="13" max="13"/>
  </cols>
  <sheetData>
    <row r="1">
      <c r="A1" s="13" t="inlineStr">
        <is>
          <t>1. 업무 점검표</t>
        </is>
      </c>
    </row>
    <row r="2">
      <c r="A2" s="14" t="inlineStr">
        <is>
          <t>문제 발굴 · 지난주에 한 일을 10개 이상 적고, 빈도와 소요 시간을 숫자로 적는다 · 합계가 큰 순서로 3개를 고른다</t>
        </is>
      </c>
    </row>
    <row r="3">
      <c r="A3" s="15">
        <f>"작성자: "&amp;'0_안내'!C6&amp;"  ·  "&amp;'0_안내'!C7&amp;"  ·  "&amp;'0_안내'!C8&amp;"  ·  "&amp;'0_안내'!C9</f>
        <v/>
      </c>
    </row>
    <row r="5" ht="36" customHeight="1">
      <c r="A5" s="10" t="inlineStr">
        <is>
          <t>No</t>
        </is>
      </c>
      <c r="B5" s="10" t="inlineStr">
        <is>
          <t>업무</t>
        </is>
      </c>
      <c r="C5" s="10" t="inlineStr">
        <is>
          <t>빈도
(주 n회)</t>
        </is>
      </c>
      <c r="D5" s="10" t="inlineStr">
        <is>
          <t>1회 소요
(분)</t>
        </is>
      </c>
      <c r="E5" s="10" t="inlineStr">
        <is>
          <t>주간 합계
(분)</t>
        </is>
      </c>
      <c r="F5" s="10" t="inlineStr">
        <is>
          <t>불편도
(1~5)</t>
        </is>
      </c>
      <c r="G5" s="10" t="inlineStr">
        <is>
          <t>자주 반복
(주 1회+)</t>
        </is>
      </c>
      <c r="H5" s="10" t="inlineStr">
        <is>
          <t>찾기·정리
옮겨 적기</t>
        </is>
      </c>
      <c r="I5" s="10" t="inlineStr">
        <is>
          <t>기준이 문서
·머릿속</t>
        </is>
      </c>
      <c r="J5" s="10" t="inlineStr">
        <is>
          <t>사람이
검토 가능</t>
        </is>
      </c>
      <c r="K5" s="10" t="inlineStr">
        <is>
          <t>조건 충족
(4개 중)</t>
        </is>
      </c>
      <c r="L5" s="10" t="inlineStr">
        <is>
          <t>순위</t>
        </is>
      </c>
      <c r="M5" s="10" t="inlineStr">
        <is>
          <t>후보 선택</t>
        </is>
      </c>
    </row>
    <row r="6">
      <c r="A6" s="16" t="inlineStr">
        <is>
          <t>예시</t>
        </is>
      </c>
      <c r="B6" s="8" t="inlineStr">
        <is>
          <t>과거 조치 이력 찾기</t>
        </is>
      </c>
      <c r="C6" s="16" t="n">
        <v>5</v>
      </c>
      <c r="D6" s="16" t="n">
        <v>30</v>
      </c>
      <c r="E6" s="16">
        <f>IF(OR(C6="",D6=""),"",C6*D6)</f>
        <v/>
      </c>
      <c r="F6" s="16" t="n">
        <v>5</v>
      </c>
      <c r="G6" s="16" t="inlineStr">
        <is>
          <t>O</t>
        </is>
      </c>
      <c r="H6" s="16" t="inlineStr">
        <is>
          <t>O</t>
        </is>
      </c>
      <c r="I6" s="16" t="inlineStr">
        <is>
          <t>O</t>
        </is>
      </c>
      <c r="J6" s="16" t="inlineStr">
        <is>
          <t>O</t>
        </is>
      </c>
      <c r="K6" s="16">
        <f>COUNTIF(G6:J6,"O")</f>
        <v/>
      </c>
      <c r="L6" s="16" t="inlineStr">
        <is>
          <t>—</t>
        </is>
      </c>
      <c r="M6" s="16" t="inlineStr">
        <is>
          <t>✓</t>
        </is>
      </c>
    </row>
    <row r="7" ht="22" customHeight="1">
      <c r="A7" s="17" t="n">
        <v>1</v>
      </c>
      <c r="B7" s="5" t="n"/>
      <c r="C7" s="18" t="n"/>
      <c r="D7" s="18" t="n"/>
      <c r="E7" s="19">
        <f>IF(OR(C7="",D7=""),"",C7*D7)</f>
        <v/>
      </c>
      <c r="F7" s="18" t="n"/>
      <c r="G7" s="18" t="n"/>
      <c r="H7" s="18" t="n"/>
      <c r="I7" s="18" t="n"/>
      <c r="J7" s="18" t="n"/>
      <c r="K7" s="19">
        <f>IF(B7="","",COUNTIF(G7:J7,"O"))</f>
        <v/>
      </c>
      <c r="L7" s="19">
        <f>IF(E7="","",RANK(E7,$E$7:$E$21,0)+COUNTIF($E$7:E7,E7)-1)</f>
        <v/>
      </c>
      <c r="M7" s="18" t="n"/>
    </row>
    <row r="8" ht="22" customHeight="1">
      <c r="A8" s="17" t="n">
        <v>2</v>
      </c>
      <c r="B8" s="5" t="n"/>
      <c r="C8" s="18" t="n"/>
      <c r="D8" s="18" t="n"/>
      <c r="E8" s="19">
        <f>IF(OR(C8="",D8=""),"",C8*D8)</f>
        <v/>
      </c>
      <c r="F8" s="18" t="n"/>
      <c r="G8" s="18" t="n"/>
      <c r="H8" s="18" t="n"/>
      <c r="I8" s="18" t="n"/>
      <c r="J8" s="18" t="n"/>
      <c r="K8" s="19">
        <f>IF(B8="","",COUNTIF(G8:J8,"O"))</f>
        <v/>
      </c>
      <c r="L8" s="19">
        <f>IF(E8="","",RANK(E8,$E$7:$E$21,0)+COUNTIF($E$7:E8,E8)-1)</f>
        <v/>
      </c>
      <c r="M8" s="18" t="n"/>
    </row>
    <row r="9" ht="22" customHeight="1">
      <c r="A9" s="17" t="n">
        <v>3</v>
      </c>
      <c r="B9" s="5" t="n"/>
      <c r="C9" s="18" t="n"/>
      <c r="D9" s="18" t="n"/>
      <c r="E9" s="19">
        <f>IF(OR(C9="",D9=""),"",C9*D9)</f>
        <v/>
      </c>
      <c r="F9" s="18" t="n"/>
      <c r="G9" s="18" t="n"/>
      <c r="H9" s="18" t="n"/>
      <c r="I9" s="18" t="n"/>
      <c r="J9" s="18" t="n"/>
      <c r="K9" s="19">
        <f>IF(B9="","",COUNTIF(G9:J9,"O"))</f>
        <v/>
      </c>
      <c r="L9" s="19">
        <f>IF(E9="","",RANK(E9,$E$7:$E$21,0)+COUNTIF($E$7:E9,E9)-1)</f>
        <v/>
      </c>
      <c r="M9" s="18" t="n"/>
    </row>
    <row r="10" ht="22" customHeight="1">
      <c r="A10" s="17" t="n">
        <v>4</v>
      </c>
      <c r="B10" s="5" t="n"/>
      <c r="C10" s="18" t="n"/>
      <c r="D10" s="18" t="n"/>
      <c r="E10" s="19">
        <f>IF(OR(C10="",D10=""),"",C10*D10)</f>
        <v/>
      </c>
      <c r="F10" s="18" t="n"/>
      <c r="G10" s="18" t="n"/>
      <c r="H10" s="18" t="n"/>
      <c r="I10" s="18" t="n"/>
      <c r="J10" s="18" t="n"/>
      <c r="K10" s="19">
        <f>IF(B10="","",COUNTIF(G10:J10,"O"))</f>
        <v/>
      </c>
      <c r="L10" s="19">
        <f>IF(E10="","",RANK(E10,$E$7:$E$21,0)+COUNTIF($E$7:E10,E10)-1)</f>
        <v/>
      </c>
      <c r="M10" s="18" t="n"/>
    </row>
    <row r="11" ht="22" customHeight="1">
      <c r="A11" s="17" t="n">
        <v>5</v>
      </c>
      <c r="B11" s="5" t="n"/>
      <c r="C11" s="18" t="n"/>
      <c r="D11" s="18" t="n"/>
      <c r="E11" s="19">
        <f>IF(OR(C11="",D11=""),"",C11*D11)</f>
        <v/>
      </c>
      <c r="F11" s="18" t="n"/>
      <c r="G11" s="18" t="n"/>
      <c r="H11" s="18" t="n"/>
      <c r="I11" s="18" t="n"/>
      <c r="J11" s="18" t="n"/>
      <c r="K11" s="19">
        <f>IF(B11="","",COUNTIF(G11:J11,"O"))</f>
        <v/>
      </c>
      <c r="L11" s="19">
        <f>IF(E11="","",RANK(E11,$E$7:$E$21,0)+COUNTIF($E$7:E11,E11)-1)</f>
        <v/>
      </c>
      <c r="M11" s="18" t="n"/>
    </row>
    <row r="12" ht="22" customHeight="1">
      <c r="A12" s="17" t="n">
        <v>6</v>
      </c>
      <c r="B12" s="5" t="n"/>
      <c r="C12" s="18" t="n"/>
      <c r="D12" s="18" t="n"/>
      <c r="E12" s="19">
        <f>IF(OR(C12="",D12=""),"",C12*D12)</f>
        <v/>
      </c>
      <c r="F12" s="18" t="n"/>
      <c r="G12" s="18" t="n"/>
      <c r="H12" s="18" t="n"/>
      <c r="I12" s="18" t="n"/>
      <c r="J12" s="18" t="n"/>
      <c r="K12" s="19">
        <f>IF(B12="","",COUNTIF(G12:J12,"O"))</f>
        <v/>
      </c>
      <c r="L12" s="19">
        <f>IF(E12="","",RANK(E12,$E$7:$E$21,0)+COUNTIF($E$7:E12,E12)-1)</f>
        <v/>
      </c>
      <c r="M12" s="18" t="n"/>
    </row>
    <row r="13" ht="22" customHeight="1">
      <c r="A13" s="17" t="n">
        <v>7</v>
      </c>
      <c r="B13" s="5" t="n"/>
      <c r="C13" s="18" t="n"/>
      <c r="D13" s="18" t="n"/>
      <c r="E13" s="19">
        <f>IF(OR(C13="",D13=""),"",C13*D13)</f>
        <v/>
      </c>
      <c r="F13" s="18" t="n"/>
      <c r="G13" s="18" t="n"/>
      <c r="H13" s="18" t="n"/>
      <c r="I13" s="18" t="n"/>
      <c r="J13" s="18" t="n"/>
      <c r="K13" s="19">
        <f>IF(B13="","",COUNTIF(G13:J13,"O"))</f>
        <v/>
      </c>
      <c r="L13" s="19">
        <f>IF(E13="","",RANK(E13,$E$7:$E$21,0)+COUNTIF($E$7:E13,E13)-1)</f>
        <v/>
      </c>
      <c r="M13" s="18" t="n"/>
    </row>
    <row r="14" ht="22" customHeight="1">
      <c r="A14" s="17" t="n">
        <v>8</v>
      </c>
      <c r="B14" s="5" t="n"/>
      <c r="C14" s="18" t="n"/>
      <c r="D14" s="18" t="n"/>
      <c r="E14" s="19">
        <f>IF(OR(C14="",D14=""),"",C14*D14)</f>
        <v/>
      </c>
      <c r="F14" s="18" t="n"/>
      <c r="G14" s="18" t="n"/>
      <c r="H14" s="18" t="n"/>
      <c r="I14" s="18" t="n"/>
      <c r="J14" s="18" t="n"/>
      <c r="K14" s="19">
        <f>IF(B14="","",COUNTIF(G14:J14,"O"))</f>
        <v/>
      </c>
      <c r="L14" s="19">
        <f>IF(E14="","",RANK(E14,$E$7:$E$21,0)+COUNTIF($E$7:E14,E14)-1)</f>
        <v/>
      </c>
      <c r="M14" s="18" t="n"/>
    </row>
    <row r="15" ht="22" customHeight="1">
      <c r="A15" s="17" t="n">
        <v>9</v>
      </c>
      <c r="B15" s="5" t="n"/>
      <c r="C15" s="18" t="n"/>
      <c r="D15" s="18" t="n"/>
      <c r="E15" s="19">
        <f>IF(OR(C15="",D15=""),"",C15*D15)</f>
        <v/>
      </c>
      <c r="F15" s="18" t="n"/>
      <c r="G15" s="18" t="n"/>
      <c r="H15" s="18" t="n"/>
      <c r="I15" s="18" t="n"/>
      <c r="J15" s="18" t="n"/>
      <c r="K15" s="19">
        <f>IF(B15="","",COUNTIF(G15:J15,"O"))</f>
        <v/>
      </c>
      <c r="L15" s="19">
        <f>IF(E15="","",RANK(E15,$E$7:$E$21,0)+COUNTIF($E$7:E15,E15)-1)</f>
        <v/>
      </c>
      <c r="M15" s="18" t="n"/>
    </row>
    <row r="16" ht="22" customHeight="1">
      <c r="A16" s="17" t="n">
        <v>10</v>
      </c>
      <c r="B16" s="5" t="n"/>
      <c r="C16" s="18" t="n"/>
      <c r="D16" s="18" t="n"/>
      <c r="E16" s="19">
        <f>IF(OR(C16="",D16=""),"",C16*D16)</f>
        <v/>
      </c>
      <c r="F16" s="18" t="n"/>
      <c r="G16" s="18" t="n"/>
      <c r="H16" s="18" t="n"/>
      <c r="I16" s="18" t="n"/>
      <c r="J16" s="18" t="n"/>
      <c r="K16" s="19">
        <f>IF(B16="","",COUNTIF(G16:J16,"O"))</f>
        <v/>
      </c>
      <c r="L16" s="19">
        <f>IF(E16="","",RANK(E16,$E$7:$E$21,0)+COUNTIF($E$7:E16,E16)-1)</f>
        <v/>
      </c>
      <c r="M16" s="18" t="n"/>
    </row>
    <row r="17" ht="22" customHeight="1">
      <c r="A17" s="17" t="n">
        <v>11</v>
      </c>
      <c r="B17" s="5" t="n"/>
      <c r="C17" s="18" t="n"/>
      <c r="D17" s="18" t="n"/>
      <c r="E17" s="19">
        <f>IF(OR(C17="",D17=""),"",C17*D17)</f>
        <v/>
      </c>
      <c r="F17" s="18" t="n"/>
      <c r="G17" s="18" t="n"/>
      <c r="H17" s="18" t="n"/>
      <c r="I17" s="18" t="n"/>
      <c r="J17" s="18" t="n"/>
      <c r="K17" s="19">
        <f>IF(B17="","",COUNTIF(G17:J17,"O"))</f>
        <v/>
      </c>
      <c r="L17" s="19">
        <f>IF(E17="","",RANK(E17,$E$7:$E$21,0)+COUNTIF($E$7:E17,E17)-1)</f>
        <v/>
      </c>
      <c r="M17" s="18" t="n"/>
    </row>
    <row r="18" ht="22" customHeight="1">
      <c r="A18" s="17" t="n">
        <v>12</v>
      </c>
      <c r="B18" s="5" t="n"/>
      <c r="C18" s="18" t="n"/>
      <c r="D18" s="18" t="n"/>
      <c r="E18" s="19">
        <f>IF(OR(C18="",D18=""),"",C18*D18)</f>
        <v/>
      </c>
      <c r="F18" s="18" t="n"/>
      <c r="G18" s="18" t="n"/>
      <c r="H18" s="18" t="n"/>
      <c r="I18" s="18" t="n"/>
      <c r="J18" s="18" t="n"/>
      <c r="K18" s="19">
        <f>IF(B18="","",COUNTIF(G18:J18,"O"))</f>
        <v/>
      </c>
      <c r="L18" s="19">
        <f>IF(E18="","",RANK(E18,$E$7:$E$21,0)+COUNTIF($E$7:E18,E18)-1)</f>
        <v/>
      </c>
      <c r="M18" s="18" t="n"/>
    </row>
    <row r="19" ht="22" customHeight="1">
      <c r="A19" s="17" t="n">
        <v>13</v>
      </c>
      <c r="B19" s="5" t="n"/>
      <c r="C19" s="18" t="n"/>
      <c r="D19" s="18" t="n"/>
      <c r="E19" s="19">
        <f>IF(OR(C19="",D19=""),"",C19*D19)</f>
        <v/>
      </c>
      <c r="F19" s="18" t="n"/>
      <c r="G19" s="18" t="n"/>
      <c r="H19" s="18" t="n"/>
      <c r="I19" s="18" t="n"/>
      <c r="J19" s="18" t="n"/>
      <c r="K19" s="19">
        <f>IF(B19="","",COUNTIF(G19:J19,"O"))</f>
        <v/>
      </c>
      <c r="L19" s="19">
        <f>IF(E19="","",RANK(E19,$E$7:$E$21,0)+COUNTIF($E$7:E19,E19)-1)</f>
        <v/>
      </c>
      <c r="M19" s="18" t="n"/>
    </row>
    <row r="20" ht="22" customHeight="1">
      <c r="A20" s="17" t="n">
        <v>14</v>
      </c>
      <c r="B20" s="5" t="n"/>
      <c r="C20" s="18" t="n"/>
      <c r="D20" s="18" t="n"/>
      <c r="E20" s="19">
        <f>IF(OR(C20="",D20=""),"",C20*D20)</f>
        <v/>
      </c>
      <c r="F20" s="18" t="n"/>
      <c r="G20" s="18" t="n"/>
      <c r="H20" s="18" t="n"/>
      <c r="I20" s="18" t="n"/>
      <c r="J20" s="18" t="n"/>
      <c r="K20" s="19">
        <f>IF(B20="","",COUNTIF(G20:J20,"O"))</f>
        <v/>
      </c>
      <c r="L20" s="19">
        <f>IF(E20="","",RANK(E20,$E$7:$E$21,0)+COUNTIF($E$7:E20,E20)-1)</f>
        <v/>
      </c>
      <c r="M20" s="18" t="n"/>
    </row>
    <row r="21" ht="22" customHeight="1">
      <c r="A21" s="17" t="n">
        <v>15</v>
      </c>
      <c r="B21" s="5" t="n"/>
      <c r="C21" s="18" t="n"/>
      <c r="D21" s="18" t="n"/>
      <c r="E21" s="19">
        <f>IF(OR(C21="",D21=""),"",C21*D21)</f>
        <v/>
      </c>
      <c r="F21" s="18" t="n"/>
      <c r="G21" s="18" t="n"/>
      <c r="H21" s="18" t="n"/>
      <c r="I21" s="18" t="n"/>
      <c r="J21" s="18" t="n"/>
      <c r="K21" s="19">
        <f>IF(B21="","",COUNTIF(G21:J21,"O"))</f>
        <v/>
      </c>
      <c r="L21" s="19">
        <f>IF(E21="","",RANK(E21,$E$7:$E$21,0)+COUNTIF($E$7:E21,E21)-1)</f>
        <v/>
      </c>
      <c r="M21" s="18" t="n"/>
    </row>
    <row r="23" ht="22" customHeight="1">
      <c r="A23" s="20" t="inlineStr">
        <is>
          <t>주간 합계 상위 3개 (자동)</t>
        </is>
      </c>
      <c r="B23" s="21" t="n"/>
      <c r="C23" s="21" t="n"/>
      <c r="D23" s="21" t="n"/>
      <c r="E23" s="21" t="n"/>
      <c r="F23" s="21" t="n"/>
    </row>
    <row r="24" ht="22" customHeight="1">
      <c r="A24" s="22" t="inlineStr">
        <is>
          <t>순위</t>
        </is>
      </c>
      <c r="B24" s="22" t="inlineStr">
        <is>
          <t>업무</t>
        </is>
      </c>
      <c r="C24" s="22" t="inlineStr">
        <is>
          <t>주간 합계(분)</t>
        </is>
      </c>
      <c r="D24" s="22" t="inlineStr">
        <is>
          <t>불편도</t>
        </is>
      </c>
      <c r="E24" s="22" t="inlineStr">
        <is>
          <t>조건 충족</t>
        </is>
      </c>
      <c r="F24" s="22" t="inlineStr">
        <is>
          <t>작성한 업무 수</t>
        </is>
      </c>
    </row>
    <row r="25">
      <c r="A25" s="23" t="n">
        <v>1</v>
      </c>
      <c r="B25" s="9">
        <f>IFERROR(INDEX($B$7:$B$21,MATCH(1,$L$7:$L$21,0)),"")</f>
        <v/>
      </c>
      <c r="C25" s="19">
        <f>IFERROR(INDEX($E$7:$E$21,MATCH(1,$L$7:$L$21,0)),"")</f>
        <v/>
      </c>
      <c r="D25" s="19">
        <f>IFERROR(INDEX($F$7:$F$21,MATCH(1,$L$7:$L$21,0)),"")</f>
        <v/>
      </c>
      <c r="E25" s="19">
        <f>IFERROR(INDEX($K$7:$K$21,MATCH(1,$L$7:$L$21,0)),"")</f>
        <v/>
      </c>
      <c r="F25" s="19">
        <f>COUNTA(B7:B21)&amp;"개 "&amp;IF(COUNTA(B7:B21)&gt;=10,"(충족)","(10개 이상 적기)")</f>
        <v/>
      </c>
    </row>
    <row r="26">
      <c r="A26" s="23" t="n">
        <v>2</v>
      </c>
      <c r="B26" s="9">
        <f>IFERROR(INDEX($B$7:$B$21,MATCH(2,$L$7:$L$21,0)),"")</f>
        <v/>
      </c>
      <c r="C26" s="19">
        <f>IFERROR(INDEX($E$7:$E$21,MATCH(2,$L$7:$L$21,0)),"")</f>
        <v/>
      </c>
      <c r="D26" s="19">
        <f>IFERROR(INDEX($F$7:$F$21,MATCH(2,$L$7:$L$21,0)),"")</f>
        <v/>
      </c>
      <c r="E26" s="19">
        <f>IFERROR(INDEX($K$7:$K$21,MATCH(2,$L$7:$L$21,0)),"")</f>
        <v/>
      </c>
    </row>
    <row r="27">
      <c r="A27" s="23" t="n">
        <v>3</v>
      </c>
      <c r="B27" s="9">
        <f>IFERROR(INDEX($B$7:$B$21,MATCH(3,$L$7:$L$21,0)),"")</f>
        <v/>
      </c>
      <c r="C27" s="19">
        <f>IFERROR(INDEX($E$7:$E$21,MATCH(3,$L$7:$L$21,0)),"")</f>
        <v/>
      </c>
      <c r="D27" s="19">
        <f>IFERROR(INDEX($F$7:$F$21,MATCH(3,$L$7:$L$21,0)),"")</f>
        <v/>
      </c>
      <c r="E27" s="19">
        <f>IFERROR(INDEX($K$7:$K$21,MATCH(3,$L$7:$L$21,0)),"")</f>
        <v/>
      </c>
    </row>
    <row r="29">
      <c r="A29" s="24" t="inlineStr">
        <is>
          <t>주간 합계 = 빈도 × 1회 소요 시간 · 좋은 후보의 조건 4가지(G~J)를 O/X로 표시 · 상위 3개 중 조건을 많이 충족하는 업무를 인터뷰와 매트릭스로 가져갑니다</t>
        </is>
      </c>
    </row>
  </sheetData>
  <dataValidations count="3">
    <dataValidation sqref="G7:J21" showDropDown="0" showInputMessage="0" showErrorMessage="0" allowBlank="1" type="list">
      <formula1>"O,X"</formula1>
    </dataValidation>
    <dataValidation sqref="F7:F21" showDropDown="0" showInputMessage="0" showErrorMessage="0" allowBlank="1" type="list">
      <formula1>"1,2,3,4,5"</formula1>
    </dataValidation>
    <dataValidation sqref="M7:M21" showDropDown="0" showInputMessage="0" showErrorMessage="0" allowBlank="1" type="list">
      <formula1>"✓"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E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30" customWidth="1" min="5" max="5"/>
  </cols>
  <sheetData>
    <row r="1">
      <c r="A1" s="13" t="inlineStr">
        <is>
          <t>2. 인터뷰 가이드와 기록</t>
        </is>
      </c>
    </row>
    <row r="2">
      <c r="A2" s="14" t="inlineStr">
        <is>
          <t>도구 01 · 의견이 아니라 최근에 실제로 있었던 일을 묻는다 · 한 사람은 묻고 한 사람은 기록한다 · 2명 이상 인터뷰</t>
        </is>
      </c>
    </row>
    <row r="3">
      <c r="A3" s="15">
        <f>"작성자: "&amp;'0_안내'!C6&amp;"  ·  "&amp;'0_안내'!C7&amp;"  ·  "&amp;'0_안내'!C8&amp;"  ·  "&amp;'0_안내'!C9</f>
        <v/>
      </c>
    </row>
    <row r="5" ht="22" customHeight="1">
      <c r="A5" s="20" t="inlineStr">
        <is>
          <t>알고 싶은 것 (2~3개)</t>
        </is>
      </c>
      <c r="B5" s="21" t="n"/>
      <c r="C5" s="21" t="n"/>
      <c r="D5" s="21" t="n"/>
      <c r="E5" s="21" t="n"/>
    </row>
    <row r="6">
      <c r="A6" s="23" t="inlineStr">
        <is>
          <t>1</t>
        </is>
      </c>
      <c r="B6" s="5" t="n"/>
      <c r="C6" s="25" t="n"/>
      <c r="D6" s="25" t="n"/>
      <c r="E6" s="25" t="n"/>
    </row>
    <row r="7">
      <c r="A7" s="23" t="inlineStr">
        <is>
          <t>2</t>
        </is>
      </c>
      <c r="B7" s="5" t="n"/>
      <c r="C7" s="25" t="n"/>
      <c r="D7" s="25" t="n"/>
      <c r="E7" s="25" t="n"/>
    </row>
    <row r="8">
      <c r="A8" s="23" t="inlineStr">
        <is>
          <t>3</t>
        </is>
      </c>
      <c r="B8" s="5" t="n"/>
      <c r="C8" s="25" t="n"/>
      <c r="D8" s="25" t="n"/>
      <c r="E8" s="25" t="n"/>
    </row>
    <row r="10" ht="22" customHeight="1">
      <c r="A10" s="20" t="inlineStr">
        <is>
          <t>인터뷰 1</t>
        </is>
      </c>
      <c r="B10" s="21" t="n"/>
      <c r="C10" s="21" t="n"/>
      <c r="D10" s="21" t="n"/>
      <c r="E10" s="21" t="n"/>
    </row>
    <row r="11">
      <c r="A11" s="4" t="inlineStr">
        <is>
          <t>대상 (직무·상황)</t>
        </is>
      </c>
      <c r="B11" s="5" t="n"/>
      <c r="C11" s="25" t="n"/>
      <c r="D11" s="25" t="n"/>
      <c r="E11" s="25" t="n"/>
    </row>
    <row r="12">
      <c r="A12" s="4" t="inlineStr">
        <is>
          <t>진행자 / 기록자</t>
        </is>
      </c>
      <c r="B12" s="5" t="n"/>
      <c r="C12" s="25" t="n"/>
      <c r="D12" s="25" t="n"/>
      <c r="E12" s="25" t="n"/>
    </row>
    <row r="13">
      <c r="A13" s="4" t="inlineStr">
        <is>
          <t>일시</t>
        </is>
      </c>
      <c r="B13" s="5" t="n"/>
      <c r="C13" s="25" t="n"/>
      <c r="D13" s="25" t="n"/>
      <c r="E13" s="25" t="n"/>
    </row>
    <row r="14" ht="34" customHeight="1">
      <c r="A14" s="22" t="inlineStr">
        <is>
          <t>흐름</t>
        </is>
      </c>
      <c r="B14" s="22" t="inlineStr">
        <is>
          <t>질문 (열린 질문 · 예시를 고쳐 써도 됨)</t>
        </is>
      </c>
      <c r="C14" s="22" t="inlineStr">
        <is>
          <t>들은 말 그대로</t>
        </is>
      </c>
      <c r="D14" s="22" t="inlineStr">
        <is>
          <t>숫자
(횟수·시간·건수)</t>
        </is>
      </c>
      <c r="E14" s="22" t="inlineStr">
        <is>
          <t>내 해석 (사실과 분리)</t>
        </is>
      </c>
    </row>
    <row r="15" ht="44" customHeight="1">
      <c r="A15" s="23" t="inlineStr">
        <is>
          <t>도입</t>
        </is>
      </c>
      <c r="B15" s="5" t="inlineStr">
        <is>
          <t>담당하시는 역할과 하루 업무 흐름을 말씀해 주세요.</t>
        </is>
      </c>
      <c r="C15" s="5" t="n"/>
      <c r="D15" s="5" t="n"/>
      <c r="E15" s="5" t="n"/>
    </row>
    <row r="16" ht="44" customHeight="1">
      <c r="A16" s="23" t="inlineStr">
        <is>
          <t>경험</t>
        </is>
      </c>
      <c r="B16" s="5" t="inlineStr">
        <is>
          <t>최근에 그 업무를 했던 때를 처음부터 말씀해 주세요.</t>
        </is>
      </c>
      <c r="C16" s="5" t="n"/>
      <c r="D16" s="5" t="n"/>
      <c r="E16" s="5" t="n"/>
    </row>
    <row r="17" ht="44" customHeight="1">
      <c r="A17" s="23" t="inlineStr">
        <is>
          <t>경험</t>
        </is>
      </c>
      <c r="B17" s="5" t="inlineStr">
        <is>
          <t>그 작업에 보통 얼마나 걸리나요? 한 주에 몇 번 하나요?</t>
        </is>
      </c>
      <c r="C17" s="5" t="n"/>
      <c r="D17" s="5" t="n"/>
      <c r="E17" s="5" t="n"/>
    </row>
    <row r="18" ht="44" customHeight="1">
      <c r="A18" s="23" t="inlineStr">
        <is>
          <t>감정</t>
        </is>
      </c>
      <c r="B18" s="5" t="inlineStr">
        <is>
          <t>그때 가장 힘들었던 점은 무엇이었나요?</t>
        </is>
      </c>
      <c r="C18" s="5" t="n"/>
      <c r="D18" s="5" t="n"/>
      <c r="E18" s="5" t="n"/>
    </row>
    <row r="19" ht="44" customHeight="1">
      <c r="A19" s="23" t="inlineStr">
        <is>
          <t>이유</t>
        </is>
      </c>
      <c r="B19" s="5" t="inlineStr">
        <is>
          <t>왜 그렇게 되었을까요? (답에 다시 왜를 묻기)</t>
        </is>
      </c>
      <c r="C19" s="5" t="n"/>
      <c r="D19" s="5" t="n"/>
      <c r="E19" s="5" t="n"/>
    </row>
    <row r="20" ht="44" customHeight="1">
      <c r="A20" s="23" t="inlineStr">
        <is>
          <t>이유</t>
        </is>
      </c>
      <c r="B20" s="5" t="inlineStr">
        <is>
          <t>그때 어떻게 해결하셨나요? 누구에게 물었나요?</t>
        </is>
      </c>
      <c r="C20" s="5" t="n"/>
      <c r="D20" s="5" t="n"/>
      <c r="E20" s="5" t="n"/>
    </row>
    <row r="21" ht="44" customHeight="1">
      <c r="A21" s="23" t="inlineStr">
        <is>
          <t>기대</t>
        </is>
      </c>
      <c r="B21" s="5" t="inlineStr">
        <is>
          <t>어떻게 되면 일이 끝났다고 느끼시나요?</t>
        </is>
      </c>
      <c r="C21" s="5" t="n"/>
      <c r="D21" s="5" t="n"/>
      <c r="E21" s="5" t="n"/>
    </row>
    <row r="24" ht="22" customHeight="1">
      <c r="A24" s="20" t="inlineStr">
        <is>
          <t>인터뷰 2</t>
        </is>
      </c>
      <c r="B24" s="21" t="n"/>
      <c r="C24" s="21" t="n"/>
      <c r="D24" s="21" t="n"/>
      <c r="E24" s="21" t="n"/>
    </row>
    <row r="25">
      <c r="A25" s="4" t="inlineStr">
        <is>
          <t>대상 (직무·상황)</t>
        </is>
      </c>
      <c r="B25" s="5" t="n"/>
      <c r="C25" s="25" t="n"/>
      <c r="D25" s="25" t="n"/>
      <c r="E25" s="25" t="n"/>
    </row>
    <row r="26">
      <c r="A26" s="4" t="inlineStr">
        <is>
          <t>진행자 / 기록자</t>
        </is>
      </c>
      <c r="B26" s="5" t="n"/>
      <c r="C26" s="25" t="n"/>
      <c r="D26" s="25" t="n"/>
      <c r="E26" s="25" t="n"/>
    </row>
    <row r="27">
      <c r="A27" s="4" t="inlineStr">
        <is>
          <t>일시</t>
        </is>
      </c>
      <c r="B27" s="5" t="n"/>
      <c r="C27" s="25" t="n"/>
      <c r="D27" s="25" t="n"/>
      <c r="E27" s="25" t="n"/>
    </row>
    <row r="28" ht="34" customHeight="1">
      <c r="A28" s="22" t="inlineStr">
        <is>
          <t>흐름</t>
        </is>
      </c>
      <c r="B28" s="22" t="inlineStr">
        <is>
          <t>질문 (열린 질문 · 예시를 고쳐 써도 됨)</t>
        </is>
      </c>
      <c r="C28" s="22" t="inlineStr">
        <is>
          <t>들은 말 그대로</t>
        </is>
      </c>
      <c r="D28" s="22" t="inlineStr">
        <is>
          <t>숫자
(횟수·시간·건수)</t>
        </is>
      </c>
      <c r="E28" s="22" t="inlineStr">
        <is>
          <t>내 해석 (사실과 분리)</t>
        </is>
      </c>
    </row>
    <row r="29" ht="44" customHeight="1">
      <c r="A29" s="23" t="inlineStr">
        <is>
          <t>도입</t>
        </is>
      </c>
      <c r="B29" s="5" t="inlineStr">
        <is>
          <t>담당하시는 역할과 하루 업무 흐름을 말씀해 주세요.</t>
        </is>
      </c>
      <c r="C29" s="5" t="n"/>
      <c r="D29" s="5" t="n"/>
      <c r="E29" s="5" t="n"/>
    </row>
    <row r="30" ht="44" customHeight="1">
      <c r="A30" s="23" t="inlineStr">
        <is>
          <t>경험</t>
        </is>
      </c>
      <c r="B30" s="5" t="inlineStr">
        <is>
          <t>최근에 그 업무를 했던 때를 처음부터 말씀해 주세요.</t>
        </is>
      </c>
      <c r="C30" s="5" t="n"/>
      <c r="D30" s="5" t="n"/>
      <c r="E30" s="5" t="n"/>
    </row>
    <row r="31" ht="44" customHeight="1">
      <c r="A31" s="23" t="inlineStr">
        <is>
          <t>경험</t>
        </is>
      </c>
      <c r="B31" s="5" t="inlineStr">
        <is>
          <t>그 작업에 보통 얼마나 걸리나요? 한 주에 몇 번 하나요?</t>
        </is>
      </c>
      <c r="C31" s="5" t="n"/>
      <c r="D31" s="5" t="n"/>
      <c r="E31" s="5" t="n"/>
    </row>
    <row r="32" ht="44" customHeight="1">
      <c r="A32" s="23" t="inlineStr">
        <is>
          <t>감정</t>
        </is>
      </c>
      <c r="B32" s="5" t="inlineStr">
        <is>
          <t>그때 가장 힘들었던 점은 무엇이었나요?</t>
        </is>
      </c>
      <c r="C32" s="5" t="n"/>
      <c r="D32" s="5" t="n"/>
      <c r="E32" s="5" t="n"/>
    </row>
    <row r="33" ht="44" customHeight="1">
      <c r="A33" s="23" t="inlineStr">
        <is>
          <t>이유</t>
        </is>
      </c>
      <c r="B33" s="5" t="inlineStr">
        <is>
          <t>왜 그렇게 되었을까요? (답에 다시 왜를 묻기)</t>
        </is>
      </c>
      <c r="C33" s="5" t="n"/>
      <c r="D33" s="5" t="n"/>
      <c r="E33" s="5" t="n"/>
    </row>
    <row r="34" ht="44" customHeight="1">
      <c r="A34" s="23" t="inlineStr">
        <is>
          <t>이유</t>
        </is>
      </c>
      <c r="B34" s="5" t="inlineStr">
        <is>
          <t>그때 어떻게 해결하셨나요? 누구에게 물었나요?</t>
        </is>
      </c>
      <c r="C34" s="5" t="n"/>
      <c r="D34" s="5" t="n"/>
      <c r="E34" s="5" t="n"/>
    </row>
    <row r="35" ht="44" customHeight="1">
      <c r="A35" s="23" t="inlineStr">
        <is>
          <t>기대</t>
        </is>
      </c>
      <c r="B35" s="5" t="inlineStr">
        <is>
          <t>어떻게 되면 일이 끝났다고 느끼시나요?</t>
        </is>
      </c>
      <c r="C35" s="5" t="n"/>
      <c r="D35" s="5" t="n"/>
      <c r="E35" s="5" t="n"/>
    </row>
    <row r="38" ht="22" customHeight="1">
      <c r="A38" s="20" t="inlineStr">
        <is>
          <t>질문 고쳐 쓰기 — 피할 질문과 바꾼 질문</t>
        </is>
      </c>
      <c r="B38" s="21" t="n"/>
      <c r="C38" s="21" t="n"/>
      <c r="D38" s="21" t="n"/>
      <c r="E38" s="21" t="n"/>
    </row>
    <row r="39">
      <c r="A39" s="23" t="inlineStr">
        <is>
          <t>피할 질문</t>
        </is>
      </c>
      <c r="B39" s="8" t="inlineStr">
        <is>
          <t>이 시스템 불편하시죠?</t>
        </is>
      </c>
      <c r="C39" s="8" t="inlineStr">
        <is>
          <t>→ 마지막으로 이 시스템을 쓴 때를 말씀해 주세요</t>
        </is>
      </c>
    </row>
    <row r="40">
      <c r="A40" s="23" t="inlineStr">
        <is>
          <t>피할 질문</t>
        </is>
      </c>
      <c r="B40" s="8" t="inlineStr">
        <is>
          <t>자동화되면 좋겠죠?</t>
        </is>
      </c>
      <c r="C40" s="8" t="inlineStr">
        <is>
          <t>→ 그 작업에 보통 얼마나 걸리나요?</t>
        </is>
      </c>
    </row>
    <row r="41">
      <c r="A41" s="23" t="inlineStr">
        <is>
          <t>피할 질문</t>
        </is>
      </c>
      <c r="B41" s="8" t="inlineStr">
        <is>
          <t>무엇이 필요하세요?</t>
        </is>
      </c>
      <c r="C41" s="8" t="inlineStr">
        <is>
          <t>→ 그때 어떻게 해결하셨나요?</t>
        </is>
      </c>
    </row>
    <row r="43">
      <c r="A43" s="24" t="inlineStr">
        <is>
          <t>기록 원칙: 들은 말은 요약하지 않고 그대로 · 숫자가 나오면 반드시 적기 · 유도 질문과 해결책 제안 금지</t>
        </is>
      </c>
    </row>
  </sheetData>
  <mergeCells count="9">
    <mergeCell ref="B26:E26"/>
    <mergeCell ref="B27:E27"/>
    <mergeCell ref="B8:E8"/>
    <mergeCell ref="B12:E12"/>
    <mergeCell ref="B13:E13"/>
    <mergeCell ref="B6:E6"/>
    <mergeCell ref="B7:E7"/>
    <mergeCell ref="B11:E11"/>
    <mergeCell ref="B25:E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</cols>
  <sheetData>
    <row r="1">
      <c r="A1" s="13" t="inlineStr">
        <is>
          <t>3. 공감 지도와 니즈 문장</t>
        </is>
      </c>
    </row>
    <row r="2">
      <c r="A2" s="14" t="inlineStr">
        <is>
          <t>도구 02 · 인터뷰 기록을 네 칸으로 나눠 사용자의 니즈를 찾는다 · 근거가 된 말이나 행동이 있을 때만 적기</t>
        </is>
      </c>
    </row>
    <row r="3">
      <c r="A3" s="15">
        <f>"작성자: "&amp;'0_안내'!C6&amp;"  ·  "&amp;'0_안내'!C7&amp;"  ·  "&amp;'0_안내'!C8&amp;"  ·  "&amp;'0_안내'!C9</f>
        <v/>
      </c>
    </row>
    <row r="5">
      <c r="A5" s="23" t="inlineStr">
        <is>
          <t>사용자</t>
        </is>
      </c>
      <c r="B5" s="5" t="n"/>
      <c r="C5" s="25" t="n"/>
      <c r="D5" s="25" t="n"/>
      <c r="E5" s="25" t="n"/>
    </row>
    <row r="7" ht="40" customHeight="1">
      <c r="A7" s="10" t="inlineStr"/>
      <c r="B7" s="10" t="inlineStr">
        <is>
          <t>말한 것
인터뷰에서 들은 말 그대로</t>
        </is>
      </c>
      <c r="C7" s="10" t="inlineStr">
        <is>
          <t>생각한 것
말 뒤의 판단과 걱정</t>
        </is>
      </c>
      <c r="D7" s="10" t="inlineStr">
        <is>
          <t>행동한 것
실제로 하는 일과 우회 방법</t>
        </is>
      </c>
      <c r="E7" s="10" t="inlineStr">
        <is>
          <t>느낀 것
감정과 그 강도</t>
        </is>
      </c>
    </row>
    <row r="8">
      <c r="A8" s="16" t="inlineStr">
        <is>
          <t>예시</t>
        </is>
      </c>
      <c r="B8" s="8" t="inlineStr">
        <is>
          <t>"조치 이력을 찾으려면 세 군데를 뒤져야 해요"</t>
        </is>
      </c>
      <c r="C8" s="8" t="inlineStr">
        <is>
          <t>"또 같은 문제로 불려 가겠구나"</t>
        </is>
      </c>
      <c r="D8" s="8" t="inlineStr">
        <is>
          <t>개인 엑셀에 따로 정리해 둔다</t>
        </is>
      </c>
      <c r="E8" s="8" t="inlineStr">
        <is>
          <t>반복될 때 답답함, 급할 때 불안</t>
        </is>
      </c>
    </row>
    <row r="9" ht="36" customHeight="1">
      <c r="A9" s="17" t="n">
        <v>1</v>
      </c>
      <c r="B9" s="5" t="n"/>
      <c r="C9" s="5" t="n"/>
      <c r="D9" s="5" t="n"/>
      <c r="E9" s="5" t="n"/>
    </row>
    <row r="10" ht="36" customHeight="1">
      <c r="A10" s="17" t="n">
        <v>2</v>
      </c>
      <c r="B10" s="5" t="n"/>
      <c r="C10" s="5" t="n"/>
      <c r="D10" s="5" t="n"/>
      <c r="E10" s="5" t="n"/>
    </row>
    <row r="11" ht="36" customHeight="1">
      <c r="A11" s="17" t="n">
        <v>3</v>
      </c>
      <c r="B11" s="5" t="n"/>
      <c r="C11" s="5" t="n"/>
      <c r="D11" s="5" t="n"/>
      <c r="E11" s="5" t="n"/>
    </row>
    <row r="12" ht="36" customHeight="1">
      <c r="A12" s="17" t="n">
        <v>4</v>
      </c>
      <c r="B12" s="5" t="n"/>
      <c r="C12" s="5" t="n"/>
      <c r="D12" s="5" t="n"/>
      <c r="E12" s="5" t="n"/>
    </row>
    <row r="13" ht="36" customHeight="1">
      <c r="A13" s="17" t="n">
        <v>5</v>
      </c>
      <c r="B13" s="5" t="n"/>
      <c r="C13" s="5" t="n"/>
      <c r="D13" s="5" t="n"/>
      <c r="E13" s="5" t="n"/>
    </row>
    <row r="14" ht="36" customHeight="1">
      <c r="A14" s="17" t="n">
        <v>6</v>
      </c>
      <c r="B14" s="5" t="n"/>
      <c r="C14" s="5" t="n"/>
      <c r="D14" s="5" t="n"/>
      <c r="E14" s="5" t="n"/>
    </row>
    <row r="16" ht="24" customHeight="1">
      <c r="A16" s="22" t="inlineStr"/>
      <c r="B16" s="22" t="inlineStr">
        <is>
          <t>어려움 — 막히는 지점, 반복되는 불편</t>
        </is>
      </c>
      <c r="C16" s="26" t="n"/>
      <c r="D16" s="22" t="inlineStr">
        <is>
          <t>바라는 것 — 성공했다고 느끼는 상태</t>
        </is>
      </c>
      <c r="E16" s="26" t="n"/>
    </row>
    <row r="17" ht="30" customHeight="1">
      <c r="A17" s="17" t="n">
        <v>1</v>
      </c>
      <c r="B17" s="5" t="n"/>
      <c r="C17" s="25" t="n"/>
      <c r="D17" s="5" t="n"/>
      <c r="E17" s="25" t="n"/>
    </row>
    <row r="18" ht="30" customHeight="1">
      <c r="A18" s="17" t="n">
        <v>2</v>
      </c>
      <c r="B18" s="5" t="n"/>
      <c r="C18" s="25" t="n"/>
      <c r="D18" s="5" t="n"/>
      <c r="E18" s="25" t="n"/>
    </row>
    <row r="19" ht="30" customHeight="1">
      <c r="A19" s="17" t="n">
        <v>3</v>
      </c>
      <c r="B19" s="5" t="n"/>
      <c r="C19" s="25" t="n"/>
      <c r="D19" s="5" t="n"/>
      <c r="E19" s="25" t="n"/>
    </row>
    <row r="21" ht="22" customHeight="1">
      <c r="A21" s="20" t="inlineStr">
        <is>
          <t>니즈 문장 — [누구]는 [어떤 상황]에서 [무엇]을 원한다. 왜냐하면 [이유] 때문이다.  (팀당 3개 이상)</t>
        </is>
      </c>
      <c r="B21" s="21" t="n"/>
      <c r="C21" s="21" t="n"/>
      <c r="D21" s="21" t="n"/>
      <c r="E21" s="21" t="n"/>
      <c r="F21" s="21" t="n"/>
    </row>
    <row r="22" ht="34" customHeight="1">
      <c r="A22" s="22" t="inlineStr"/>
      <c r="B22" s="22" t="inlineStr">
        <is>
          <t>누구</t>
        </is>
      </c>
      <c r="C22" s="22" t="inlineStr">
        <is>
          <t>어떤 상황</t>
        </is>
      </c>
      <c r="D22" s="22" t="inlineStr">
        <is>
          <t>무엇을 원하나</t>
        </is>
      </c>
      <c r="E22" s="22" t="inlineStr">
        <is>
          <t>이유</t>
        </is>
      </c>
      <c r="F22" s="22" t="inlineStr">
        <is>
          <t>해결책이
들어갔나</t>
        </is>
      </c>
    </row>
    <row r="23">
      <c r="A23" s="16" t="inlineStr">
        <is>
          <t>예시</t>
        </is>
      </c>
      <c r="B23" s="8" t="inlineStr">
        <is>
          <t>CS기술 담당자</t>
        </is>
      </c>
      <c r="C23" s="8" t="inlineStr">
        <is>
          <t>현장에서 알람이 발생했을 때</t>
        </is>
      </c>
      <c r="D23" s="8" t="inlineStr">
        <is>
          <t>과거 조치 방법을 바로 찾기</t>
        </is>
      </c>
      <c r="E23" s="8" t="inlineStr">
        <is>
          <t>이력을 찾는 동안 고객 라인이 멈춰 있기</t>
        </is>
      </c>
      <c r="F23" s="16" t="inlineStr">
        <is>
          <t>X</t>
        </is>
      </c>
    </row>
    <row r="24" ht="30" customHeight="1">
      <c r="A24" s="17" t="n">
        <v>1</v>
      </c>
      <c r="B24" s="5" t="n"/>
      <c r="C24" s="5" t="n"/>
      <c r="D24" s="5" t="n"/>
      <c r="E24" s="5" t="n"/>
      <c r="F24" s="18" t="n"/>
    </row>
    <row r="25" ht="30" customHeight="1">
      <c r="A25" s="17" t="n">
        <v>2</v>
      </c>
      <c r="B25" s="5" t="n"/>
      <c r="C25" s="5" t="n"/>
      <c r="D25" s="5" t="n"/>
      <c r="E25" s="5" t="n"/>
      <c r="F25" s="18" t="n"/>
    </row>
    <row r="26" ht="30" customHeight="1">
      <c r="A26" s="17" t="n">
        <v>3</v>
      </c>
      <c r="B26" s="5" t="n"/>
      <c r="C26" s="5" t="n"/>
      <c r="D26" s="5" t="n"/>
      <c r="E26" s="5" t="n"/>
      <c r="F26" s="18" t="n"/>
    </row>
    <row r="27" ht="30" customHeight="1">
      <c r="A27" s="17" t="n">
        <v>4</v>
      </c>
      <c r="B27" s="5" t="n"/>
      <c r="C27" s="5" t="n"/>
      <c r="D27" s="5" t="n"/>
      <c r="E27" s="5" t="n"/>
      <c r="F27" s="18" t="n"/>
    </row>
    <row r="28" ht="30" customHeight="1">
      <c r="A28" s="17" t="n">
        <v>5</v>
      </c>
      <c r="B28" s="5" t="n"/>
      <c r="C28" s="5" t="n"/>
      <c r="D28" s="5" t="n"/>
      <c r="E28" s="5" t="n"/>
      <c r="F28" s="18" t="n"/>
    </row>
    <row r="30" ht="22" customHeight="1">
      <c r="A30" s="20" t="inlineStr">
        <is>
          <t>완성된 니즈 문장 (자동)</t>
        </is>
      </c>
      <c r="B30" s="21" t="n"/>
      <c r="C30" s="21" t="n"/>
      <c r="D30" s="21" t="n"/>
      <c r="E30" s="21" t="n"/>
      <c r="F30" s="21" t="n"/>
    </row>
    <row r="31" ht="30" customHeight="1">
      <c r="A31" s="23" t="inlineStr">
        <is>
          <t>예시</t>
        </is>
      </c>
      <c r="B31" s="9">
        <f>IF(B23="","",B23&amp;"는 "&amp;C23&amp;"에서 "&amp;D23&amp;"을(를) 원한다. 왜냐하면 "&amp;E23&amp;" 때문이다.")</f>
        <v/>
      </c>
      <c r="C31" s="25" t="n"/>
      <c r="D31" s="25" t="n"/>
      <c r="E31" s="25" t="n"/>
      <c r="F31" s="25" t="n"/>
    </row>
    <row r="32" ht="30" customHeight="1">
      <c r="A32" s="23" t="n">
        <v>1</v>
      </c>
      <c r="B32" s="9">
        <f>IF(B24="","",B24&amp;"는 "&amp;C24&amp;"에서 "&amp;D24&amp;"을(를) 원한다. 왜냐하면 "&amp;E24&amp;" 때문이다.")</f>
        <v/>
      </c>
      <c r="C32" s="25" t="n"/>
      <c r="D32" s="25" t="n"/>
      <c r="E32" s="25" t="n"/>
      <c r="F32" s="25" t="n"/>
    </row>
    <row r="33" ht="30" customHeight="1">
      <c r="A33" s="23" t="n">
        <v>2</v>
      </c>
      <c r="B33" s="9">
        <f>IF(B25="","",B25&amp;"는 "&amp;C25&amp;"에서 "&amp;D25&amp;"을(를) 원한다. 왜냐하면 "&amp;E25&amp;" 때문이다.")</f>
        <v/>
      </c>
      <c r="C33" s="25" t="n"/>
      <c r="D33" s="25" t="n"/>
      <c r="E33" s="25" t="n"/>
      <c r="F33" s="25" t="n"/>
    </row>
    <row r="34" ht="30" customHeight="1">
      <c r="A34" s="23" t="n">
        <v>3</v>
      </c>
      <c r="B34" s="9">
        <f>IF(B26="","",B26&amp;"는 "&amp;C26&amp;"에서 "&amp;D26&amp;"을(를) 원한다. 왜냐하면 "&amp;E26&amp;" 때문이다.")</f>
        <v/>
      </c>
      <c r="C34" s="25" t="n"/>
      <c r="D34" s="25" t="n"/>
      <c r="E34" s="25" t="n"/>
      <c r="F34" s="25" t="n"/>
    </row>
    <row r="35" ht="30" customHeight="1">
      <c r="A35" s="23" t="n">
        <v>4</v>
      </c>
      <c r="B35" s="9">
        <f>IF(B27="","",B27&amp;"는 "&amp;C27&amp;"에서 "&amp;D27&amp;"을(를) 원한다. 왜냐하면 "&amp;E27&amp;" 때문이다.")</f>
        <v/>
      </c>
      <c r="C35" s="25" t="n"/>
      <c r="D35" s="25" t="n"/>
      <c r="E35" s="25" t="n"/>
      <c r="F35" s="25" t="n"/>
    </row>
    <row r="36" ht="30" customHeight="1">
      <c r="A36" s="23" t="n">
        <v>5</v>
      </c>
      <c r="B36" s="9">
        <f>IF(B28="","",B28&amp;"는 "&amp;C28&amp;"에서 "&amp;D28&amp;"을(를) 원한다. 왜냐하면 "&amp;E28&amp;" 때문이다.")</f>
        <v/>
      </c>
      <c r="C36" s="25" t="n"/>
      <c r="D36" s="25" t="n"/>
      <c r="E36" s="25" t="n"/>
      <c r="F36" s="25" t="n"/>
    </row>
    <row r="38">
      <c r="A38" s="24" t="inlineStr">
        <is>
          <t>‘해결책이 들어갔나’가 O인 문장은 다시 씁니다 (예: “시스템이 있으면 좋겠다” → 사용자가 겪는 상황으로)</t>
        </is>
      </c>
    </row>
  </sheetData>
  <mergeCells count="15">
    <mergeCell ref="D18:E18"/>
    <mergeCell ref="D16:E16"/>
    <mergeCell ref="B16:C16"/>
    <mergeCell ref="B32:F32"/>
    <mergeCell ref="B34:F34"/>
    <mergeCell ref="D19:E19"/>
    <mergeCell ref="B19:C19"/>
    <mergeCell ref="B33:F33"/>
    <mergeCell ref="B31:F31"/>
    <mergeCell ref="B5:E5"/>
    <mergeCell ref="B17:C17"/>
    <mergeCell ref="B18:C18"/>
    <mergeCell ref="B36:F36"/>
    <mergeCell ref="D17:E17"/>
    <mergeCell ref="B35:F35"/>
  </mergeCells>
  <dataValidations count="1">
    <dataValidation sqref="F24:F28" showDropDown="0" showInputMessage="0" showErrorMessage="0" allowBlank="1" type="list">
      <formula1>"O,X"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O23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0" customWidth="1" min="5" max="5"/>
    <col width="1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4" customWidth="1" min="13" max="13"/>
    <col width="12" customWidth="1" min="14" max="14"/>
  </cols>
  <sheetData>
    <row r="1">
      <c r="A1" s="13" t="inlineStr">
        <is>
          <t>4. 문제 후보 선정 — 효과×용이성 매트릭스와 Agent 적합성</t>
        </is>
      </c>
    </row>
    <row r="2">
      <c r="A2" s="14" t="inlineStr">
        <is>
          <t>도구 03 · 두 축의 기준을 먼저 한 문장씩 합의 · 각자 위치를 표시한 뒤 차이가 큰 것만 토론</t>
        </is>
      </c>
    </row>
    <row r="3">
      <c r="A3" s="15">
        <f>"작성자: "&amp;'0_안내'!C6&amp;"  ·  "&amp;'0_안내'!C7&amp;"  ·  "&amp;'0_안내'!C8&amp;"  ·  "&amp;'0_안내'!C9</f>
        <v/>
      </c>
    </row>
    <row r="5">
      <c r="A5" s="4" t="inlineStr">
        <is>
          <t>기대 효과 기준</t>
        </is>
      </c>
      <c r="B5" s="25" t="n"/>
      <c r="C5" s="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6" t="inlineStr">
        <is>
          <t>예: 줄어드는 주간 시간과 영향받는 사람 수</t>
        </is>
      </c>
    </row>
    <row r="6">
      <c r="A6" s="4" t="inlineStr">
        <is>
          <t>실행 용이성 기준</t>
        </is>
      </c>
      <c r="B6" s="25" t="n"/>
      <c r="C6" s="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6" t="inlineStr">
        <is>
          <t>예: 참조할 자료가 있고, 입력과 출력이 명확한가</t>
        </is>
      </c>
    </row>
    <row r="7">
      <c r="G7" s="6" t="inlineStr">
        <is>
          <t>Agent 적합성 — 지식: 참조할 문서가 있나 · 입력: 무엇을 넣는지 명확한가 · 출력: 형식을 정할 수 있나 · 검증: 사람이 맞는지 확인 가능한가 · 보안: 올려도 되는 자료만으로 되나</t>
        </is>
      </c>
    </row>
    <row r="8" ht="36" customHeight="1">
      <c r="A8" s="10" t="inlineStr">
        <is>
          <t>No</t>
        </is>
      </c>
      <c r="B8" s="10" t="inlineStr">
        <is>
          <t>문제 후보</t>
        </is>
      </c>
      <c r="C8" s="10" t="inlineStr">
        <is>
          <t>출처</t>
        </is>
      </c>
      <c r="D8" s="10" t="inlineStr">
        <is>
          <t>기대 효과
(1~5)</t>
        </is>
      </c>
      <c r="E8" s="10" t="inlineStr">
        <is>
          <t>실행 용이성
(1~5)</t>
        </is>
      </c>
      <c r="F8" s="10" t="inlineStr">
        <is>
          <t>위치 (자동)</t>
        </is>
      </c>
      <c r="G8" s="10" t="inlineStr">
        <is>
          <t>지식</t>
        </is>
      </c>
      <c r="H8" s="10" t="inlineStr">
        <is>
          <t>입력</t>
        </is>
      </c>
      <c r="I8" s="10" t="inlineStr">
        <is>
          <t>출력</t>
        </is>
      </c>
      <c r="J8" s="10" t="inlineStr">
        <is>
          <t>검증</t>
        </is>
      </c>
      <c r="K8" s="10" t="inlineStr">
        <is>
          <t>보안</t>
        </is>
      </c>
      <c r="L8" s="10" t="inlineStr">
        <is>
          <t>적합성
(5개 중)</t>
        </is>
      </c>
      <c r="M8" s="10" t="inlineStr">
        <is>
          <t>판정 (자동)</t>
        </is>
      </c>
      <c r="N8" s="10" t="inlineStr">
        <is>
          <t>최종</t>
        </is>
      </c>
    </row>
    <row r="9">
      <c r="A9" s="16" t="inlineStr">
        <is>
          <t>예시</t>
        </is>
      </c>
      <c r="B9" s="8" t="inlineStr">
        <is>
          <t>필요한 순간에 과거 조치 이력을 바로 찾을 방법이 없다</t>
        </is>
      </c>
      <c r="C9" s="16" t="inlineStr">
        <is>
          <t>니즈 문장</t>
        </is>
      </c>
      <c r="D9" s="16" t="n">
        <v>5</v>
      </c>
      <c r="E9" s="16" t="n">
        <v>4</v>
      </c>
      <c r="F9" s="16">
        <f>IF(OR(D9="",E9=""),"",IF(AND(D9&gt;=3,E9&gt;=3),"우선 추진",IF(D9&gt;=3,"효과 큼 · 어려움",IF(E9&gt;=3,"쉬움 · 효과 작음","보류"))))</f>
        <v/>
      </c>
      <c r="G9" s="16" t="inlineStr">
        <is>
          <t>O</t>
        </is>
      </c>
      <c r="H9" s="16" t="inlineStr">
        <is>
          <t>O</t>
        </is>
      </c>
      <c r="I9" s="16" t="inlineStr">
        <is>
          <t>O</t>
        </is>
      </c>
      <c r="J9" s="16" t="inlineStr">
        <is>
          <t>O</t>
        </is>
      </c>
      <c r="K9" s="16" t="inlineStr">
        <is>
          <t>O</t>
        </is>
      </c>
      <c r="L9" s="16">
        <f>COUNTIF(G9:K9,"O")</f>
        <v/>
      </c>
      <c r="M9" s="16">
        <f>IF(F9="","",IF(AND(F9="우선 추진",L9=5),"팀 프로젝트 적합",IF(F9="우선 추진","적합성 보완 필요","후순위")))</f>
        <v/>
      </c>
      <c r="N9" s="16" t="inlineStr">
        <is>
          <t>선정</t>
        </is>
      </c>
    </row>
    <row r="10" ht="30" customHeight="1">
      <c r="A10" s="17" t="n">
        <v>1</v>
      </c>
      <c r="B10" s="5" t="n"/>
      <c r="C10" s="18" t="n"/>
      <c r="D10" s="18" t="n"/>
      <c r="E10" s="18" t="n"/>
      <c r="F10" s="19">
        <f>IF(OR(D10="",E10=""),"",IF(AND(D10&gt;=3,E10&gt;=3),"우선 추진",IF(D10&gt;=3,"효과 큼 · 어려움",IF(E10&gt;=3,"쉬움 · 효과 작음","보류"))))</f>
        <v/>
      </c>
      <c r="G10" s="18" t="n"/>
      <c r="H10" s="18" t="n"/>
      <c r="I10" s="18" t="n"/>
      <c r="J10" s="18" t="n"/>
      <c r="K10" s="18" t="n"/>
      <c r="L10" s="19">
        <f>IF(B10="","",COUNTIF(G10:K10,"O"))</f>
        <v/>
      </c>
      <c r="M10" s="19">
        <f>IF(F10="","",IF(AND(F10="우선 추진",L10=5),"팀 프로젝트 적합",IF(F10="우선 추진","적합성 보완 필요","후순위")))</f>
        <v/>
      </c>
      <c r="N10" s="18" t="n"/>
    </row>
    <row r="11" ht="30" customHeight="1">
      <c r="A11" s="17" t="n">
        <v>2</v>
      </c>
      <c r="B11" s="5" t="n"/>
      <c r="C11" s="18" t="n"/>
      <c r="D11" s="18" t="n"/>
      <c r="E11" s="18" t="n"/>
      <c r="F11" s="19">
        <f>IF(OR(D11="",E11=""),"",IF(AND(D11&gt;=3,E11&gt;=3),"우선 추진",IF(D11&gt;=3,"효과 큼 · 어려움",IF(E11&gt;=3,"쉬움 · 효과 작음","보류"))))</f>
        <v/>
      </c>
      <c r="G11" s="18" t="n"/>
      <c r="H11" s="18" t="n"/>
      <c r="I11" s="18" t="n"/>
      <c r="J11" s="18" t="n"/>
      <c r="K11" s="18" t="n"/>
      <c r="L11" s="19">
        <f>IF(B11="","",COUNTIF(G11:K11,"O"))</f>
        <v/>
      </c>
      <c r="M11" s="19">
        <f>IF(F11="","",IF(AND(F11="우선 추진",L11=5),"팀 프로젝트 적합",IF(F11="우선 추진","적합성 보완 필요","후순위")))</f>
        <v/>
      </c>
      <c r="N11" s="18" t="n"/>
    </row>
    <row r="12" ht="30" customHeight="1">
      <c r="A12" s="17" t="n">
        <v>3</v>
      </c>
      <c r="B12" s="5" t="n"/>
      <c r="C12" s="18" t="n"/>
      <c r="D12" s="18" t="n"/>
      <c r="E12" s="18" t="n"/>
      <c r="F12" s="19">
        <f>IF(OR(D12="",E12=""),"",IF(AND(D12&gt;=3,E12&gt;=3),"우선 추진",IF(D12&gt;=3,"효과 큼 · 어려움",IF(E12&gt;=3,"쉬움 · 효과 작음","보류"))))</f>
        <v/>
      </c>
      <c r="G12" s="18" t="n"/>
      <c r="H12" s="18" t="n"/>
      <c r="I12" s="18" t="n"/>
      <c r="J12" s="18" t="n"/>
      <c r="K12" s="18" t="n"/>
      <c r="L12" s="19">
        <f>IF(B12="","",COUNTIF(G12:K12,"O"))</f>
        <v/>
      </c>
      <c r="M12" s="19">
        <f>IF(F12="","",IF(AND(F12="우선 추진",L12=5),"팀 프로젝트 적합",IF(F12="우선 추진","적합성 보완 필요","후순위")))</f>
        <v/>
      </c>
      <c r="N12" s="18" t="n"/>
    </row>
    <row r="13" ht="30" customHeight="1">
      <c r="A13" s="17" t="n">
        <v>4</v>
      </c>
      <c r="B13" s="5" t="n"/>
      <c r="C13" s="18" t="n"/>
      <c r="D13" s="18" t="n"/>
      <c r="E13" s="18" t="n"/>
      <c r="F13" s="19">
        <f>IF(OR(D13="",E13=""),"",IF(AND(D13&gt;=3,E13&gt;=3),"우선 추진",IF(D13&gt;=3,"효과 큼 · 어려움",IF(E13&gt;=3,"쉬움 · 효과 작음","보류"))))</f>
        <v/>
      </c>
      <c r="G13" s="18" t="n"/>
      <c r="H13" s="18" t="n"/>
      <c r="I13" s="18" t="n"/>
      <c r="J13" s="18" t="n"/>
      <c r="K13" s="18" t="n"/>
      <c r="L13" s="19">
        <f>IF(B13="","",COUNTIF(G13:K13,"O"))</f>
        <v/>
      </c>
      <c r="M13" s="19">
        <f>IF(F13="","",IF(AND(F13="우선 추진",L13=5),"팀 프로젝트 적합",IF(F13="우선 추진","적합성 보완 필요","후순위")))</f>
        <v/>
      </c>
      <c r="N13" s="18" t="n"/>
    </row>
    <row r="14" ht="30" customHeight="1">
      <c r="A14" s="17" t="n">
        <v>5</v>
      </c>
      <c r="B14" s="5" t="n"/>
      <c r="C14" s="18" t="n"/>
      <c r="D14" s="18" t="n"/>
      <c r="E14" s="18" t="n"/>
      <c r="F14" s="19">
        <f>IF(OR(D14="",E14=""),"",IF(AND(D14&gt;=3,E14&gt;=3),"우선 추진",IF(D14&gt;=3,"효과 큼 · 어려움",IF(E14&gt;=3,"쉬움 · 효과 작음","보류"))))</f>
        <v/>
      </c>
      <c r="G14" s="18" t="n"/>
      <c r="H14" s="18" t="n"/>
      <c r="I14" s="18" t="n"/>
      <c r="J14" s="18" t="n"/>
      <c r="K14" s="18" t="n"/>
      <c r="L14" s="19">
        <f>IF(B14="","",COUNTIF(G14:K14,"O"))</f>
        <v/>
      </c>
      <c r="M14" s="19">
        <f>IF(F14="","",IF(AND(F14="우선 추진",L14=5),"팀 프로젝트 적합",IF(F14="우선 추진","적합성 보완 필요","후순위")))</f>
        <v/>
      </c>
      <c r="N14" s="18" t="n"/>
    </row>
    <row r="15" ht="30" customHeight="1">
      <c r="A15" s="17" t="n">
        <v>6</v>
      </c>
      <c r="B15" s="5" t="n"/>
      <c r="C15" s="18" t="n"/>
      <c r="D15" s="18" t="n"/>
      <c r="E15" s="18" t="n"/>
      <c r="F15" s="19">
        <f>IF(OR(D15="",E15=""),"",IF(AND(D15&gt;=3,E15&gt;=3),"우선 추진",IF(D15&gt;=3,"효과 큼 · 어려움",IF(E15&gt;=3,"쉬움 · 효과 작음","보류"))))</f>
        <v/>
      </c>
      <c r="G15" s="18" t="n"/>
      <c r="H15" s="18" t="n"/>
      <c r="I15" s="18" t="n"/>
      <c r="J15" s="18" t="n"/>
      <c r="K15" s="18" t="n"/>
      <c r="L15" s="19">
        <f>IF(B15="","",COUNTIF(G15:K15,"O"))</f>
        <v/>
      </c>
      <c r="M15" s="19">
        <f>IF(F15="","",IF(AND(F15="우선 추진",L15=5),"팀 프로젝트 적합",IF(F15="우선 추진","적합성 보완 필요","후순위")))</f>
        <v/>
      </c>
      <c r="N15" s="18" t="n"/>
    </row>
    <row r="16" ht="30" customHeight="1">
      <c r="A16" s="17" t="n">
        <v>7</v>
      </c>
      <c r="B16" s="5" t="n"/>
      <c r="C16" s="18" t="n"/>
      <c r="D16" s="18" t="n"/>
      <c r="E16" s="18" t="n"/>
      <c r="F16" s="19">
        <f>IF(OR(D16="",E16=""),"",IF(AND(D16&gt;=3,E16&gt;=3),"우선 추진",IF(D16&gt;=3,"효과 큼 · 어려움",IF(E16&gt;=3,"쉬움 · 효과 작음","보류"))))</f>
        <v/>
      </c>
      <c r="G16" s="18" t="n"/>
      <c r="H16" s="18" t="n"/>
      <c r="I16" s="18" t="n"/>
      <c r="J16" s="18" t="n"/>
      <c r="K16" s="18" t="n"/>
      <c r="L16" s="19">
        <f>IF(B16="","",COUNTIF(G16:K16,"O"))</f>
        <v/>
      </c>
      <c r="M16" s="19">
        <f>IF(F16="","",IF(AND(F16="우선 추진",L16=5),"팀 프로젝트 적합",IF(F16="우선 추진","적합성 보완 필요","후순위")))</f>
        <v/>
      </c>
      <c r="N16" s="18" t="n"/>
    </row>
    <row r="17" ht="30" customHeight="1">
      <c r="A17" s="17" t="n">
        <v>8</v>
      </c>
      <c r="B17" s="5" t="n"/>
      <c r="C17" s="18" t="n"/>
      <c r="D17" s="18" t="n"/>
      <c r="E17" s="18" t="n"/>
      <c r="F17" s="19">
        <f>IF(OR(D17="",E17=""),"",IF(AND(D17&gt;=3,E17&gt;=3),"우선 추진",IF(D17&gt;=3,"효과 큼 · 어려움",IF(E17&gt;=3,"쉬움 · 효과 작음","보류"))))</f>
        <v/>
      </c>
      <c r="G17" s="18" t="n"/>
      <c r="H17" s="18" t="n"/>
      <c r="I17" s="18" t="n"/>
      <c r="J17" s="18" t="n"/>
      <c r="K17" s="18" t="n"/>
      <c r="L17" s="19">
        <f>IF(B17="","",COUNTIF(G17:K17,"O"))</f>
        <v/>
      </c>
      <c r="M17" s="19">
        <f>IF(F17="","",IF(AND(F17="우선 추진",L17=5),"팀 프로젝트 적합",IF(F17="우선 추진","적합성 보완 필요","후순위")))</f>
        <v/>
      </c>
      <c r="N17" s="18" t="n"/>
    </row>
    <row r="19" ht="22" customHeight="1">
      <c r="A19" s="20" t="inlineStr">
        <is>
          <t>팀이 풀 문제 (자동 — ‘최종’에 선정 표시한 후보)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</row>
    <row r="20" ht="26" customHeight="1">
      <c r="A20" s="9">
        <f>IFERROR(INDEX(B10:B17,MATCH("선정",N10:N17,0)),"‘최종’ 열에서 1개를 선정으로 표시")</f>
        <v/>
      </c>
    </row>
    <row r="21">
      <c r="A21" s="27">
        <f>"선정 "&amp;COUNTIF(N10:N17,"선정")&amp;"개 · 후보 "&amp;COUNTIF(N10:N17,"후보")&amp;"개  (목표: 선정 1개 · 후보 2개)"</f>
        <v/>
      </c>
    </row>
    <row r="23">
      <c r="A23" s="24" t="inlineStr">
        <is>
          <t>위치: 효과·용이성이 모두 3 이상이면 ‘우선 추진’ · 판정: 우선 추진이면서 적합성 5개를 모두 충족하면 ‘팀 프로젝트 적합’</t>
        </is>
      </c>
    </row>
  </sheetData>
  <mergeCells count="5">
    <mergeCell ref="C6:N6"/>
    <mergeCell ref="A20:N20"/>
    <mergeCell ref="C5:N5"/>
    <mergeCell ref="A5:B5"/>
    <mergeCell ref="A6:B6"/>
  </mergeCells>
  <dataValidations count="4">
    <dataValidation sqref="C10:C17" showDropDown="0" showInputMessage="0" showErrorMessage="0" allowBlank="1" type="list">
      <formula1>"업무 점검표,니즈 문장,인터뷰,기타"</formula1>
    </dataValidation>
    <dataValidation sqref="D10:E17" showDropDown="0" showInputMessage="0" showErrorMessage="0" allowBlank="1" type="list">
      <formula1>"1,2,3,4,5"</formula1>
    </dataValidation>
    <dataValidation sqref="G10:K17" showDropDown="0" showInputMessage="0" showErrorMessage="0" allowBlank="1" type="list">
      <formula1>"O,X"</formula1>
    </dataValidation>
    <dataValidation sqref="N10:N17" showDropDown="0" showInputMessage="0" showErrorMessage="0" allowBlank="1" type="list">
      <formula1>"선정,후보,—"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H3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3" t="inlineStr">
        <is>
          <t>5. 업무 흐름도와 사람·AI 역할 분담</t>
        </is>
      </c>
    </row>
    <row r="2">
      <c r="A2" s="14" t="inlineStr">
        <is>
          <t>도구 04 · 규정이 아니라 실제로 하는 순서대로 5~7단계 · 한 단계 = 한 사람이 한 번에 끝내는 일</t>
        </is>
      </c>
    </row>
    <row r="3">
      <c r="A3" s="15">
        <f>"작성자: "&amp;'0_안내'!C6&amp;"  ·  "&amp;'0_안내'!C7&amp;"  ·  "&amp;'0_안내'!C8&amp;"  ·  "&amp;'0_안내'!C9</f>
        <v/>
      </c>
    </row>
    <row r="5">
      <c r="A5" s="4" t="inlineStr">
        <is>
          <t>업무 이름</t>
        </is>
      </c>
      <c r="B5" s="5" t="n"/>
      <c r="C5" s="25" t="n"/>
      <c r="D5" s="25" t="n"/>
      <c r="E5" s="25" t="n"/>
      <c r="F5" s="25" t="n"/>
      <c r="G5" s="25" t="n"/>
      <c r="H5" s="25" t="n"/>
    </row>
    <row r="6">
      <c r="A6" s="4" t="inlineStr">
        <is>
          <t>시작 (무엇이 들어오면)</t>
        </is>
      </c>
      <c r="B6" s="5" t="n"/>
      <c r="C6" s="25" t="n"/>
      <c r="D6" s="25" t="n"/>
      <c r="E6" s="25" t="n"/>
      <c r="F6" s="25" t="n"/>
      <c r="G6" s="25" t="n"/>
      <c r="H6" s="25" t="n"/>
    </row>
    <row r="7">
      <c r="A7" s="4" t="inlineStr">
        <is>
          <t>끝 (무엇이 나오면)</t>
        </is>
      </c>
      <c r="B7" s="5" t="n"/>
      <c r="C7" s="25" t="n"/>
      <c r="D7" s="25" t="n"/>
      <c r="E7" s="25" t="n"/>
      <c r="F7" s="25" t="n"/>
      <c r="G7" s="25" t="n"/>
      <c r="H7" s="25" t="n"/>
    </row>
    <row r="9" ht="22" customHeight="1">
      <c r="A9" s="20" t="inlineStr">
        <is>
          <t>작성 예시 — 현장 이슈 대응 업무 (설명용, 1건당 90분)</t>
        </is>
      </c>
      <c r="B9" s="21" t="n"/>
      <c r="C9" s="21" t="n"/>
      <c r="D9" s="21" t="n"/>
      <c r="E9" s="21" t="n"/>
      <c r="F9" s="21" t="n"/>
      <c r="G9" s="21" t="n"/>
      <c r="H9" s="21" t="n"/>
    </row>
    <row r="10" ht="24" customHeight="1">
      <c r="A10" s="22" t="inlineStr">
        <is>
          <t>STEP</t>
        </is>
      </c>
      <c r="B10" s="22" t="inlineStr">
        <is>
          <t>STEP 1</t>
        </is>
      </c>
      <c r="C10" s="22" t="inlineStr">
        <is>
          <t>STEP 2</t>
        </is>
      </c>
      <c r="D10" s="22" t="inlineStr">
        <is>
          <t>STEP 3</t>
        </is>
      </c>
      <c r="E10" s="22" t="inlineStr">
        <is>
          <t>STEP 4</t>
        </is>
      </c>
      <c r="F10" s="22" t="inlineStr">
        <is>
          <t>STEP 5</t>
        </is>
      </c>
      <c r="G10" s="22" t="inlineStr">
        <is>
          <t>STEP 6</t>
        </is>
      </c>
      <c r="H10" s="22" t="inlineStr">
        <is>
          <t>STEP 7</t>
        </is>
      </c>
    </row>
    <row r="11" ht="34" customHeight="1">
      <c r="A11" s="4" t="inlineStr">
        <is>
          <t>단계 이름</t>
        </is>
      </c>
      <c r="B11" s="8" t="inlineStr">
        <is>
          <t>이슈 접수</t>
        </is>
      </c>
      <c r="C11" s="8" t="inlineStr">
        <is>
          <t>증상 확인</t>
        </is>
      </c>
      <c r="D11" s="8" t="inlineStr">
        <is>
          <t>과거 이력 찾기</t>
        </is>
      </c>
      <c r="E11" s="8" t="inlineStr">
        <is>
          <t>원인 판단</t>
        </is>
      </c>
      <c r="F11" s="8" t="inlineStr">
        <is>
          <t>조치·안내</t>
        </is>
      </c>
      <c r="G11" s="8" t="inlineStr">
        <is>
          <t>결과 기록</t>
        </is>
      </c>
      <c r="H11" s="8" t="n"/>
    </row>
    <row r="12" ht="34" customHeight="1">
      <c r="A12" s="4" t="inlineStr">
        <is>
          <t>쓰는 자료</t>
        </is>
      </c>
      <c r="B12" s="8" t="inlineStr">
        <is>
          <t>전화, 메신저</t>
        </is>
      </c>
      <c r="C12" s="8" t="inlineStr">
        <is>
          <t>알람 코드, 설비 유형</t>
        </is>
      </c>
      <c r="D12" s="8" t="inlineStr">
        <is>
          <t>공유 폴더, 개인 메모, 선배 문의</t>
        </is>
      </c>
      <c r="E12" s="8" t="inlineStr">
        <is>
          <t>찾은 이력, 담당자 경험</t>
        </is>
      </c>
      <c r="F12" s="8" t="inlineStr">
        <is>
          <t>조치 방법</t>
        </is>
      </c>
      <c r="G12" s="8" t="inlineStr">
        <is>
          <t>개인 메모, 메신저</t>
        </is>
      </c>
      <c r="H12" s="8" t="n"/>
    </row>
    <row r="13" ht="34" customHeight="1">
      <c r="A13" s="4" t="inlineStr">
        <is>
          <t>판단</t>
        </is>
      </c>
      <c r="B13" s="8" t="n"/>
      <c r="C13" s="8" t="inlineStr">
        <is>
          <t>어떤 증상인가</t>
        </is>
      </c>
      <c r="D13" s="8" t="inlineStr">
        <is>
          <t>같은 유형이 있었나</t>
        </is>
      </c>
      <c r="E13" s="8" t="inlineStr">
        <is>
          <t>가장 가능성 높은 원인</t>
        </is>
      </c>
      <c r="F13" s="8" t="inlineStr">
        <is>
          <t>안전한가</t>
        </is>
      </c>
      <c r="G13" s="8" t="n"/>
      <c r="H13" s="8" t="n"/>
    </row>
    <row r="14" ht="34" customHeight="1">
      <c r="A14" s="4" t="inlineStr">
        <is>
          <t>출력 (결과)</t>
        </is>
      </c>
      <c r="B14" s="8" t="inlineStr">
        <is>
          <t>접수 내용</t>
        </is>
      </c>
      <c r="C14" s="8" t="inlineStr">
        <is>
          <t>증상 정리</t>
        </is>
      </c>
      <c r="D14" s="8" t="inlineStr">
        <is>
          <t>유사 이력</t>
        </is>
      </c>
      <c r="E14" s="8" t="inlineStr">
        <is>
          <t>원인 후보</t>
        </is>
      </c>
      <c r="F14" s="8" t="inlineStr">
        <is>
          <t>조치 순서</t>
        </is>
      </c>
      <c r="G14" s="8" t="inlineStr">
        <is>
          <t>기록</t>
        </is>
      </c>
      <c r="H14" s="8" t="n"/>
    </row>
    <row r="15" ht="20" customHeight="1">
      <c r="A15" s="4" t="inlineStr">
        <is>
          <t>소요 시간 (분)</t>
        </is>
      </c>
      <c r="B15" s="16" t="n">
        <v>5</v>
      </c>
      <c r="C15" s="16" t="n">
        <v>10</v>
      </c>
      <c r="D15" s="16" t="n">
        <v>30</v>
      </c>
      <c r="E15" s="16" t="n">
        <v>15</v>
      </c>
      <c r="F15" s="16" t="n">
        <v>20</v>
      </c>
      <c r="G15" s="16" t="n">
        <v>10</v>
      </c>
      <c r="H15" s="16" t="n"/>
    </row>
    <row r="16" ht="20" customHeight="1">
      <c r="A16" s="4" t="inlineStr">
        <is>
          <t>일의 성격</t>
        </is>
      </c>
      <c r="B16" s="16" t="inlineStr">
        <is>
          <t>접수</t>
        </is>
      </c>
      <c r="C16" s="16" t="inlineStr">
        <is>
          <t>확인</t>
        </is>
      </c>
      <c r="D16" s="16" t="inlineStr">
        <is>
          <t>탐색</t>
        </is>
      </c>
      <c r="E16" s="16" t="inlineStr">
        <is>
          <t>판단</t>
        </is>
      </c>
      <c r="F16" s="16" t="inlineStr">
        <is>
          <t>실행</t>
        </is>
      </c>
      <c r="G16" s="16" t="inlineStr">
        <is>
          <t>기록</t>
        </is>
      </c>
      <c r="H16" s="16" t="n"/>
    </row>
    <row r="17" ht="20" customHeight="1">
      <c r="A17" s="4" t="inlineStr">
        <is>
          <t>병목 (자동)</t>
        </is>
      </c>
      <c r="B17" s="19">
        <f>IF(B15="","",IF(B15=MAX($B$15:$H$15),"◀ 병목",""))</f>
        <v/>
      </c>
      <c r="C17" s="19">
        <f>IF(C15="","",IF(C15=MAX($B$15:$H$15),"◀ 병목",""))</f>
        <v/>
      </c>
      <c r="D17" s="19">
        <f>IF(D15="","",IF(D15=MAX($B$15:$H$15),"◀ 병목",""))</f>
        <v/>
      </c>
      <c r="E17" s="19">
        <f>IF(E15="","",IF(E15=MAX($B$15:$H$15),"◀ 병목",""))</f>
        <v/>
      </c>
      <c r="F17" s="19">
        <f>IF(F15="","",IF(F15=MAX($B$15:$H$15),"◀ 병목",""))</f>
        <v/>
      </c>
      <c r="G17" s="19">
        <f>IF(G15="","",IF(G15=MAX($B$15:$H$15),"◀ 병목",""))</f>
        <v/>
      </c>
      <c r="H17" s="19">
        <f>IF(H15="","",IF(H15=MAX($B$15:$H$15),"◀ 병목",""))</f>
        <v/>
      </c>
    </row>
    <row r="18" ht="34" customHeight="1">
      <c r="A18" s="4" t="inlineStr">
        <is>
          <t>AI가 하는 일</t>
        </is>
      </c>
      <c r="B18" s="8" t="inlineStr">
        <is>
          <t>—</t>
        </is>
      </c>
      <c r="C18" s="8" t="inlineStr">
        <is>
          <t>빠진 정보를 되묻는다</t>
        </is>
      </c>
      <c r="D18" s="8" t="inlineStr">
        <is>
          <t>유사 이력을 찾아 요약한다</t>
        </is>
      </c>
      <c r="E18" s="8" t="inlineStr">
        <is>
          <t>원인 후보를 제시한다</t>
        </is>
      </c>
      <c r="F18" s="8" t="inlineStr">
        <is>
          <t>조치 순서 초안을 쓴다</t>
        </is>
      </c>
      <c r="G18" s="8" t="inlineStr">
        <is>
          <t>표준 양식으로 정리한다</t>
        </is>
      </c>
      <c r="H18" s="8" t="n"/>
    </row>
    <row r="19" ht="34" customHeight="1">
      <c r="A19" s="4" t="inlineStr">
        <is>
          <t>사람이 하는 일</t>
        </is>
      </c>
      <c r="B19" s="8" t="inlineStr">
        <is>
          <t>접수한다</t>
        </is>
      </c>
      <c r="C19" s="8" t="inlineStr">
        <is>
          <t>증상을 입력한다</t>
        </is>
      </c>
      <c r="D19" s="8" t="inlineStr">
        <is>
          <t>—</t>
        </is>
      </c>
      <c r="E19" s="8" t="inlineStr">
        <is>
          <t>최종 판단한다</t>
        </is>
      </c>
      <c r="F19" s="8" t="inlineStr">
        <is>
          <t>안전을 확인하고 실행한다</t>
        </is>
      </c>
      <c r="G19" s="8" t="inlineStr">
        <is>
          <t>검토 후 저장한다</t>
        </is>
      </c>
      <c r="H19" s="8" t="n"/>
    </row>
    <row r="20">
      <c r="A20" s="4" t="inlineStr">
        <is>
          <t>총 소요 (자동)</t>
        </is>
      </c>
      <c r="B20" s="9">
        <f>IF(SUM(B15:H15)=0,"",SUM(B15:H15)&amp;"분 · 병목 단계: "&amp;IFERROR(INDEX(B11:H11,MATCH(MAX(B15:H15),B15:H15,0)),""))</f>
        <v/>
      </c>
      <c r="C20" s="25" t="n"/>
      <c r="D20" s="25" t="n"/>
      <c r="E20" s="25" t="n"/>
      <c r="F20" s="25" t="n"/>
      <c r="G20" s="25" t="n"/>
      <c r="H20" s="25" t="n"/>
    </row>
    <row r="22" ht="22" customHeight="1">
      <c r="A22" s="20" t="inlineStr">
        <is>
          <t>우리 팀 업무 흐름 — 직접 작성</t>
        </is>
      </c>
      <c r="B22" s="21" t="n"/>
      <c r="C22" s="21" t="n"/>
      <c r="D22" s="21" t="n"/>
      <c r="E22" s="21" t="n"/>
      <c r="F22" s="21" t="n"/>
      <c r="G22" s="21" t="n"/>
      <c r="H22" s="21" t="n"/>
    </row>
    <row r="23" ht="24" customHeight="1">
      <c r="A23" s="10" t="inlineStr">
        <is>
          <t>STEP</t>
        </is>
      </c>
      <c r="B23" s="10" t="inlineStr">
        <is>
          <t>STEP 1</t>
        </is>
      </c>
      <c r="C23" s="10" t="inlineStr">
        <is>
          <t>STEP 2</t>
        </is>
      </c>
      <c r="D23" s="10" t="inlineStr">
        <is>
          <t>STEP 3</t>
        </is>
      </c>
      <c r="E23" s="10" t="inlineStr">
        <is>
          <t>STEP 4</t>
        </is>
      </c>
      <c r="F23" s="10" t="inlineStr">
        <is>
          <t>STEP 5</t>
        </is>
      </c>
      <c r="G23" s="10" t="inlineStr">
        <is>
          <t>STEP 6</t>
        </is>
      </c>
      <c r="H23" s="10" t="inlineStr">
        <is>
          <t>STEP 7</t>
        </is>
      </c>
    </row>
    <row r="24" ht="34" customHeight="1">
      <c r="A24" s="4" t="inlineStr">
        <is>
          <t>단계 이름</t>
        </is>
      </c>
      <c r="B24" s="5" t="n"/>
      <c r="C24" s="5" t="n"/>
      <c r="D24" s="5" t="n"/>
      <c r="E24" s="5" t="n"/>
      <c r="F24" s="5" t="n"/>
      <c r="G24" s="5" t="n"/>
      <c r="H24" s="5" t="n"/>
    </row>
    <row r="25" ht="34" customHeight="1">
      <c r="A25" s="4" t="inlineStr">
        <is>
          <t>쓰는 자료</t>
        </is>
      </c>
      <c r="B25" s="5" t="n"/>
      <c r="C25" s="5" t="n"/>
      <c r="D25" s="5" t="n"/>
      <c r="E25" s="5" t="n"/>
      <c r="F25" s="5" t="n"/>
      <c r="G25" s="5" t="n"/>
      <c r="H25" s="5" t="n"/>
    </row>
    <row r="26" ht="34" customHeight="1">
      <c r="A26" s="4" t="inlineStr">
        <is>
          <t>판단</t>
        </is>
      </c>
      <c r="B26" s="5" t="n"/>
      <c r="C26" s="5" t="n"/>
      <c r="D26" s="5" t="n"/>
      <c r="E26" s="5" t="n"/>
      <c r="F26" s="5" t="n"/>
      <c r="G26" s="5" t="n"/>
      <c r="H26" s="5" t="n"/>
    </row>
    <row r="27" ht="34" customHeight="1">
      <c r="A27" s="4" t="inlineStr">
        <is>
          <t>출력 (결과)</t>
        </is>
      </c>
      <c r="B27" s="5" t="n"/>
      <c r="C27" s="5" t="n"/>
      <c r="D27" s="5" t="n"/>
      <c r="E27" s="5" t="n"/>
      <c r="F27" s="5" t="n"/>
      <c r="G27" s="5" t="n"/>
      <c r="H27" s="5" t="n"/>
    </row>
    <row r="28" ht="20" customHeight="1">
      <c r="A28" s="4" t="inlineStr">
        <is>
          <t>소요 시간 (분)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 ht="20" customHeight="1">
      <c r="A29" s="4" t="inlineStr">
        <is>
          <t>일의 성격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 ht="20" customHeight="1">
      <c r="A30" s="4" t="inlineStr">
        <is>
          <t>병목 (자동)</t>
        </is>
      </c>
      <c r="B30" s="19">
        <f>IF(B28="","",IF(B28=MAX($B$28:$H$28),"◀ 병목",""))</f>
        <v/>
      </c>
      <c r="C30" s="19">
        <f>IF(C28="","",IF(C28=MAX($B$28:$H$28),"◀ 병목",""))</f>
        <v/>
      </c>
      <c r="D30" s="19">
        <f>IF(D28="","",IF(D28=MAX($B$28:$H$28),"◀ 병목",""))</f>
        <v/>
      </c>
      <c r="E30" s="19">
        <f>IF(E28="","",IF(E28=MAX($B$28:$H$28),"◀ 병목",""))</f>
        <v/>
      </c>
      <c r="F30" s="19">
        <f>IF(F28="","",IF(F28=MAX($B$28:$H$28),"◀ 병목",""))</f>
        <v/>
      </c>
      <c r="G30" s="19">
        <f>IF(G28="","",IF(G28=MAX($B$28:$H$28),"◀ 병목",""))</f>
        <v/>
      </c>
      <c r="H30" s="19">
        <f>IF(H28="","",IF(H28=MAX($B$28:$H$28),"◀ 병목",""))</f>
        <v/>
      </c>
    </row>
    <row r="31" ht="34" customHeight="1">
      <c r="A31" s="4" t="inlineStr">
        <is>
          <t>AI가 하는 일</t>
        </is>
      </c>
      <c r="B31" s="5" t="n"/>
      <c r="C31" s="5" t="n"/>
      <c r="D31" s="5" t="n"/>
      <c r="E31" s="5" t="n"/>
      <c r="F31" s="5" t="n"/>
      <c r="G31" s="5" t="n"/>
      <c r="H31" s="5" t="n"/>
    </row>
    <row r="32" ht="34" customHeight="1">
      <c r="A32" s="4" t="inlineStr">
        <is>
          <t>사람이 하는 일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s="4" t="inlineStr">
        <is>
          <t>총 소요 (자동)</t>
        </is>
      </c>
      <c r="B33" s="9">
        <f>IF(SUM(B28:H28)=0,"",SUM(B28:H28)&amp;"분 · 병목 단계: "&amp;IFERROR(INDEX(B24:H24,MATCH(MAX(B28:H28),B28:H28,0)),""))</f>
        <v/>
      </c>
      <c r="C33" s="25" t="n"/>
      <c r="D33" s="25" t="n"/>
      <c r="E33" s="25" t="n"/>
      <c r="F33" s="25" t="n"/>
      <c r="G33" s="25" t="n"/>
      <c r="H33" s="25" t="n"/>
    </row>
    <row r="35">
      <c r="A35" s="24" t="inlineStr">
        <is>
          <t>병목 기준: 시간이 가장 길거나, 사람마다 방법이 다르거나, 다른 사람에게 물어야 하는 단계 · 찾기·요약·초안은 AI, 판단·책임·안전은 사람, 규칙이 명확한 계산·조회는 기존 시스템</t>
        </is>
      </c>
    </row>
  </sheetData>
  <mergeCells count="5">
    <mergeCell ref="B6:H6"/>
    <mergeCell ref="B7:H7"/>
    <mergeCell ref="B33:H33"/>
    <mergeCell ref="B5:H5"/>
    <mergeCell ref="B20:H20"/>
  </mergeCells>
  <dataValidations count="1">
    <dataValidation sqref="B29:H29" showDropDown="0" showInputMessage="0" showErrorMessage="0" allowBlank="1" type="list">
      <formula1>"접수,확인,탐색,정리,판단,실행,기록"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M3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0" customWidth="1" min="4" max="4"/>
    <col width="22" customWidth="1" min="5" max="5"/>
    <col width="40" customWidth="1" min="6" max="6"/>
    <col width="20" customWidth="1" min="7" max="7"/>
    <col width="18" customWidth="1" min="8" max="8"/>
    <col width="10" customWidth="1" min="9" max="9"/>
    <col width="24" customWidth="1" min="10" max="10"/>
    <col width="8" customWidth="1" min="11" max="11"/>
    <col width="8" customWidth="1" min="12" max="12"/>
    <col width="8" customWidth="1" min="13" max="13"/>
  </cols>
  <sheetData>
    <row r="1">
      <c r="A1" s="13" t="inlineStr">
        <is>
          <t>6. 가설 수립과 데이터 검증</t>
        </is>
      </c>
    </row>
    <row r="2">
      <c r="A2" s="14" t="inlineStr">
        <is>
          <t>만약 [원인]이 맞다면, [데이터]에서 [패턴]이 보일 것이다 · 가설이 기각되어도 성과</t>
        </is>
      </c>
    </row>
    <row r="3">
      <c r="A3" s="15">
        <f>"작성자: "&amp;'0_안내'!C6&amp;"  ·  "&amp;'0_안내'!C7&amp;"  ·  "&amp;'0_안내'!C8&amp;"  ·  "&amp;'0_안내'!C9</f>
        <v/>
      </c>
    </row>
    <row r="5" ht="36" customHeight="1">
      <c r="A5" s="10" t="inlineStr">
        <is>
          <t>No</t>
        </is>
      </c>
      <c r="B5" s="10" t="inlineStr">
        <is>
          <t>니즈 문장 · 병목</t>
        </is>
      </c>
      <c r="C5" s="10" t="inlineStr">
        <is>
          <t>원인</t>
        </is>
      </c>
      <c r="D5" s="10" t="inlineStr">
        <is>
          <t>확인할 데이터</t>
        </is>
      </c>
      <c r="E5" s="10" t="inlineStr">
        <is>
          <t>예상 패턴</t>
        </is>
      </c>
      <c r="F5" s="10" t="inlineStr">
        <is>
          <t>가설 문장 (자동)</t>
        </is>
      </c>
      <c r="G5" s="10" t="inlineStr">
        <is>
          <t>맞다고 볼 기준 (수치)</t>
        </is>
      </c>
      <c r="H5" s="10" t="inlineStr">
        <is>
          <t>검증 결과</t>
        </is>
      </c>
      <c r="I5" s="10" t="inlineStr">
        <is>
          <t>판정</t>
        </is>
      </c>
      <c r="J5" s="10" t="inlineStr">
        <is>
          <t>근거</t>
        </is>
      </c>
      <c r="K5" s="10" t="inlineStr">
        <is>
          <t>검증
가능</t>
        </is>
      </c>
      <c r="L5" s="10" t="inlineStr">
        <is>
          <t>구체적</t>
        </is>
      </c>
      <c r="M5" s="10" t="inlineStr">
        <is>
          <t>반증
가능</t>
        </is>
      </c>
    </row>
    <row r="6" ht="48" customHeight="1">
      <c r="A6" s="16" t="inlineStr">
        <is>
          <t>예시</t>
        </is>
      </c>
      <c r="B6" s="8" t="inlineStr">
        <is>
          <t>CS기술 담당자는 과거 조치 방법을 바로 찾기를 원한다</t>
        </is>
      </c>
      <c r="C6" s="8" t="inlineStr">
        <is>
          <t>과거 조치 이력을 찾기 어려운 것</t>
        </is>
      </c>
      <c r="D6" s="8" t="inlineStr">
        <is>
          <t>셋업 이슈 대장</t>
        </is>
      </c>
      <c r="E6" s="8" t="inlineStr">
        <is>
          <t>같은 유형의 이슈가 여러 프로젝트에 반복</t>
        </is>
      </c>
      <c r="F6" s="8">
        <f>IF(C6="","","만약 "&amp;C6&amp;"이(가) 원인이라면, "&amp;D6&amp;"에서 "&amp;E6&amp;"이(가) 보일 것이다.")</f>
        <v/>
      </c>
      <c r="G6" s="8" t="inlineStr">
        <is>
          <t>상위 3개 유형이 전체의 60% 이상</t>
        </is>
      </c>
      <c r="H6" s="8" t="inlineStr">
        <is>
          <t>상위 3개 72%</t>
        </is>
      </c>
      <c r="I6" s="16" t="inlineStr">
        <is>
          <t>지지</t>
        </is>
      </c>
      <c r="J6" s="8" t="inlineStr">
        <is>
          <t>유형별 건수 표 (아래)</t>
        </is>
      </c>
      <c r="K6" s="16" t="inlineStr">
        <is>
          <t>O</t>
        </is>
      </c>
      <c r="L6" s="16" t="inlineStr">
        <is>
          <t>O</t>
        </is>
      </c>
      <c r="M6" s="16" t="inlineStr">
        <is>
          <t>O</t>
        </is>
      </c>
    </row>
    <row r="7" ht="48" customHeight="1">
      <c r="A7" s="17" t="n">
        <v>1</v>
      </c>
      <c r="B7" s="5" t="n"/>
      <c r="C7" s="5" t="n"/>
      <c r="D7" s="5" t="n"/>
      <c r="E7" s="5" t="n"/>
      <c r="F7" s="9">
        <f>IF(C7="","","만약 "&amp;C7&amp;"이(가) 원인이라면, "&amp;D7&amp;"에서 "&amp;E7&amp;"이(가) 보일 것이다.")</f>
        <v/>
      </c>
      <c r="G7" s="5" t="n"/>
      <c r="H7" s="5" t="n"/>
      <c r="I7" s="18" t="n"/>
      <c r="J7" s="5" t="n"/>
      <c r="K7" s="18" t="n"/>
      <c r="L7" s="18" t="n"/>
      <c r="M7" s="18" t="n"/>
    </row>
    <row r="8" ht="48" customHeight="1">
      <c r="A8" s="17" t="n">
        <v>2</v>
      </c>
      <c r="B8" s="5" t="n"/>
      <c r="C8" s="5" t="n"/>
      <c r="D8" s="5" t="n"/>
      <c r="E8" s="5" t="n"/>
      <c r="F8" s="9">
        <f>IF(C8="","","만약 "&amp;C8&amp;"이(가) 원인이라면, "&amp;D8&amp;"에서 "&amp;E8&amp;"이(가) 보일 것이다.")</f>
        <v/>
      </c>
      <c r="G8" s="5" t="n"/>
      <c r="H8" s="5" t="n"/>
      <c r="I8" s="18" t="n"/>
      <c r="J8" s="5" t="n"/>
      <c r="K8" s="18" t="n"/>
      <c r="L8" s="18" t="n"/>
      <c r="M8" s="18" t="n"/>
    </row>
    <row r="9" ht="48" customHeight="1">
      <c r="A9" s="17" t="n">
        <v>3</v>
      </c>
      <c r="B9" s="5" t="n"/>
      <c r="C9" s="5" t="n"/>
      <c r="D9" s="5" t="n"/>
      <c r="E9" s="5" t="n"/>
      <c r="F9" s="9">
        <f>IF(C9="","","만약 "&amp;C9&amp;"이(가) 원인이라면, "&amp;D9&amp;"에서 "&amp;E9&amp;"이(가) 보일 것이다.")</f>
        <v/>
      </c>
      <c r="G9" s="5" t="n"/>
      <c r="H9" s="5" t="n"/>
      <c r="I9" s="18" t="n"/>
      <c r="J9" s="5" t="n"/>
      <c r="K9" s="18" t="n"/>
      <c r="L9" s="18" t="n"/>
      <c r="M9" s="18" t="n"/>
    </row>
    <row r="11" ht="22" customHeight="1">
      <c r="A11" s="20" t="inlineStr">
        <is>
          <t>유형별 건수와 누적 비중 — 상위 몇 가지가 대부분을 차지하는지 확인</t>
        </is>
      </c>
      <c r="B11" s="21" t="n"/>
      <c r="C11" s="21" t="n"/>
      <c r="D11" s="21" t="n"/>
      <c r="E11" s="21" t="n"/>
      <c r="F11" s="21" t="n"/>
    </row>
    <row r="12" ht="24" customHeight="1">
      <c r="A12" s="22" t="inlineStr">
        <is>
          <t>순서</t>
        </is>
      </c>
      <c r="B12" s="22" t="inlineStr">
        <is>
          <t>유형 (건수 많은 순으로)</t>
        </is>
      </c>
      <c r="C12" s="22" t="inlineStr">
        <is>
          <t>건수</t>
        </is>
      </c>
      <c r="D12" s="22" t="inlineStr">
        <is>
          <t>비중 (자동)</t>
        </is>
      </c>
      <c r="E12" s="22" t="inlineStr">
        <is>
          <t>누적 비중 (자동)</t>
        </is>
      </c>
      <c r="F12" s="22" t="inlineStr">
        <is>
          <t>집중 구간 (자동)</t>
        </is>
      </c>
    </row>
    <row r="13">
      <c r="A13" s="17" t="n">
        <v>1</v>
      </c>
      <c r="B13" s="5" t="n"/>
      <c r="C13" s="18" t="n"/>
      <c r="D13" s="28">
        <f>IF(C13="","",C13/SUM($C$13:$C$20))</f>
        <v/>
      </c>
      <c r="E13" s="28">
        <f>IF(C13="","",SUM($C$13:C13)/SUM($C$13:$C$20))</f>
        <v/>
      </c>
      <c r="F13" s="19">
        <f>IF(E13="","",IF(SUM($C$13:C13)-C13&lt;SUM($C$13:$C$20)*0.8,"상위 집중",""))</f>
        <v/>
      </c>
    </row>
    <row r="14">
      <c r="A14" s="17" t="n">
        <v>2</v>
      </c>
      <c r="B14" s="5" t="n"/>
      <c r="C14" s="18" t="n"/>
      <c r="D14" s="28">
        <f>IF(C14="","",C14/SUM($C$13:$C$20))</f>
        <v/>
      </c>
      <c r="E14" s="28">
        <f>IF(C14="","",SUM($C$13:C14)/SUM($C$13:$C$20))</f>
        <v/>
      </c>
      <c r="F14" s="19">
        <f>IF(E14="","",IF(SUM($C$13:C14)-C14&lt;SUM($C$13:$C$20)*0.8,"상위 집중",""))</f>
        <v/>
      </c>
    </row>
    <row r="15">
      <c r="A15" s="17" t="n">
        <v>3</v>
      </c>
      <c r="B15" s="5" t="n"/>
      <c r="C15" s="18" t="n"/>
      <c r="D15" s="28">
        <f>IF(C15="","",C15/SUM($C$13:$C$20))</f>
        <v/>
      </c>
      <c r="E15" s="28">
        <f>IF(C15="","",SUM($C$13:C15)/SUM($C$13:$C$20))</f>
        <v/>
      </c>
      <c r="F15" s="19">
        <f>IF(E15="","",IF(SUM($C$13:C15)-C15&lt;SUM($C$13:$C$20)*0.8,"상위 집중",""))</f>
        <v/>
      </c>
    </row>
    <row r="16">
      <c r="A16" s="17" t="n">
        <v>4</v>
      </c>
      <c r="B16" s="5" t="n"/>
      <c r="C16" s="18" t="n"/>
      <c r="D16" s="28">
        <f>IF(C16="","",C16/SUM($C$13:$C$20))</f>
        <v/>
      </c>
      <c r="E16" s="28">
        <f>IF(C16="","",SUM($C$13:C16)/SUM($C$13:$C$20))</f>
        <v/>
      </c>
      <c r="F16" s="19">
        <f>IF(E16="","",IF(SUM($C$13:C16)-C16&lt;SUM($C$13:$C$20)*0.8,"상위 집중",""))</f>
        <v/>
      </c>
    </row>
    <row r="17">
      <c r="A17" s="17" t="n">
        <v>5</v>
      </c>
      <c r="B17" s="5" t="n"/>
      <c r="C17" s="18" t="n"/>
      <c r="D17" s="28">
        <f>IF(C17="","",C17/SUM($C$13:$C$20))</f>
        <v/>
      </c>
      <c r="E17" s="28">
        <f>IF(C17="","",SUM($C$13:C17)/SUM($C$13:$C$20))</f>
        <v/>
      </c>
      <c r="F17" s="19">
        <f>IF(E17="","",IF(SUM($C$13:C17)-C17&lt;SUM($C$13:$C$20)*0.8,"상위 집중",""))</f>
        <v/>
      </c>
    </row>
    <row r="18">
      <c r="A18" s="17" t="n">
        <v>6</v>
      </c>
      <c r="B18" s="5" t="n"/>
      <c r="C18" s="18" t="n"/>
      <c r="D18" s="28">
        <f>IF(C18="","",C18/SUM($C$13:$C$20))</f>
        <v/>
      </c>
      <c r="E18" s="28">
        <f>IF(C18="","",SUM($C$13:C18)/SUM($C$13:$C$20))</f>
        <v/>
      </c>
      <c r="F18" s="19">
        <f>IF(E18="","",IF(SUM($C$13:C18)-C18&lt;SUM($C$13:$C$20)*0.8,"상위 집중",""))</f>
        <v/>
      </c>
    </row>
    <row r="19">
      <c r="A19" s="17" t="n">
        <v>7</v>
      </c>
      <c r="B19" s="5" t="n"/>
      <c r="C19" s="18" t="n"/>
      <c r="D19" s="28">
        <f>IF(C19="","",C19/SUM($C$13:$C$20))</f>
        <v/>
      </c>
      <c r="E19" s="28">
        <f>IF(C19="","",SUM($C$13:C19)/SUM($C$13:$C$20))</f>
        <v/>
      </c>
      <c r="F19" s="19">
        <f>IF(E19="","",IF(SUM($C$13:C19)-C19&lt;SUM($C$13:$C$20)*0.8,"상위 집중",""))</f>
        <v/>
      </c>
    </row>
    <row r="20">
      <c r="A20" s="17" t="n">
        <v>8</v>
      </c>
      <c r="B20" s="5" t="n"/>
      <c r="C20" s="18" t="n"/>
      <c r="D20" s="28">
        <f>IF(C20="","",C20/SUM($C$13:$C$20))</f>
        <v/>
      </c>
      <c r="E20" s="28">
        <f>IF(C20="","",SUM($C$13:C20)/SUM($C$13:$C$20))</f>
        <v/>
      </c>
      <c r="F20" s="19">
        <f>IF(E20="","",IF(SUM($C$13:C20)-C20&lt;SUM($C$13:$C$20)*0.8,"상위 집중",""))</f>
        <v/>
      </c>
    </row>
    <row r="21">
      <c r="B21" s="4" t="inlineStr">
        <is>
          <t>합계</t>
        </is>
      </c>
      <c r="C21" s="19">
        <f>SUM(C13:C20)</f>
        <v/>
      </c>
    </row>
    <row r="22">
      <c r="A22" s="24" t="inlineStr">
        <is>
          <t>‘상위 집중’ = 누적 80%에 도달하기까지의 유형 · 유형 분류 기준을 먼저 정한 뒤 셉니다 · 수치는 강사가 제공하는 가상 데이터로</t>
        </is>
      </c>
    </row>
    <row r="24" ht="22" customHeight="1">
      <c r="A24" s="20" t="inlineStr">
        <is>
          <t>생성형 AI로 데이터 분석 — 네 단계 질문 (ChatGPT 프로젝트에 가상 데이터 파일을 올려 진행)</t>
        </is>
      </c>
      <c r="B24" s="21" t="n"/>
      <c r="C24" s="21" t="n"/>
      <c r="D24" s="21" t="n"/>
      <c r="E24" s="21" t="n"/>
      <c r="F24" s="21" t="n"/>
    </row>
    <row r="25" ht="24" customHeight="1">
      <c r="A25" s="22" t="inlineStr">
        <is>
          <t>단계</t>
        </is>
      </c>
      <c r="B25" s="22" t="inlineStr">
        <is>
          <t>목적</t>
        </is>
      </c>
      <c r="C25" s="22" t="inlineStr">
        <is>
          <t>프롬프트 예시</t>
        </is>
      </c>
      <c r="D25" s="26" t="n"/>
      <c r="E25" s="22" t="inlineStr">
        <is>
          <t>내가 쓴 프롬프트</t>
        </is>
      </c>
      <c r="F25" s="22" t="inlineStr">
        <is>
          <t>결과 메모</t>
        </is>
      </c>
    </row>
    <row r="26" ht="46" customHeight="1">
      <c r="A26" s="23" t="inlineStr">
        <is>
          <t>1 이해</t>
        </is>
      </c>
      <c r="B26" s="7" t="inlineStr">
        <is>
          <t>데이터 구조 파악</t>
        </is>
      </c>
      <c r="C26" s="8" t="inlineStr">
        <is>
          <t>이 파일의 열 구성과 각 열의 의미, 누락되거나 이상한 값을 정리해 줘</t>
        </is>
      </c>
      <c r="D26" s="25" t="n"/>
      <c r="E26" s="5" t="n"/>
      <c r="F26" s="5" t="n"/>
    </row>
    <row r="27" ht="46" customHeight="1">
      <c r="A27" s="23" t="inlineStr">
        <is>
          <t>2 정제</t>
        </is>
      </c>
      <c r="B27" s="7" t="inlineStr">
        <is>
          <t>분류 기준 통일</t>
        </is>
      </c>
      <c r="C27" s="8" t="inlineStr">
        <is>
          <t>이슈 내용 열을 읽고 유형을 6개 이내로 분류해 새 열로 추가해 줘. 분류 기준도 함께 알려 줘</t>
        </is>
      </c>
      <c r="D27" s="25" t="n"/>
      <c r="E27" s="5" t="n"/>
      <c r="F27" s="5" t="n"/>
    </row>
    <row r="28" ht="46" customHeight="1">
      <c r="A28" s="23" t="inlineStr">
        <is>
          <t>3 분석</t>
        </is>
      </c>
      <c r="B28" s="7" t="inlineStr">
        <is>
          <t>빈도·비중·추이 계산</t>
        </is>
      </c>
      <c r="C28" s="8" t="inlineStr">
        <is>
          <t>유형별 건수와 비중을 표로 만들고, 누적 비중 그래프를 그려 줘</t>
        </is>
      </c>
      <c r="D28" s="25" t="n"/>
      <c r="E28" s="5" t="n"/>
      <c r="F28" s="5" t="n"/>
    </row>
    <row r="29" ht="46" customHeight="1">
      <c r="A29" s="23" t="inlineStr">
        <is>
          <t>4 해석</t>
        </is>
      </c>
      <c r="B29" s="7" t="inlineStr">
        <is>
          <t>가설 판정</t>
        </is>
      </c>
      <c r="C29" s="8" t="inlineStr">
        <is>
          <t>가설은 “같은 유형이 반복된다”야. 이 결과가 가설을 지지하는지 근거 수치와 함께 판단해 줘</t>
        </is>
      </c>
      <c r="D29" s="25" t="n"/>
      <c r="E29" s="5" t="n"/>
      <c r="F29" s="5" t="n"/>
    </row>
    <row r="31">
      <c r="A31" s="24" t="inlineStr">
        <is>
          <t>보안: 고객사명·프로젝트명·도면·사양 수치는 올리지 않음 · 이름·연락처·사번은 삭제하거나 기호로</t>
        </is>
      </c>
    </row>
  </sheetData>
  <mergeCells count="5">
    <mergeCell ref="C29:D29"/>
    <mergeCell ref="C25:D25"/>
    <mergeCell ref="C27:D27"/>
    <mergeCell ref="C28:D28"/>
    <mergeCell ref="C26:D26"/>
  </mergeCells>
  <dataValidations count="2">
    <dataValidation sqref="I7:I9" showDropDown="0" showInputMessage="0" showErrorMessage="0" allowBlank="1" type="list">
      <formula1>"지지,기각,보류"</formula1>
    </dataValidation>
    <dataValidation sqref="K7:M9" showDropDown="0" showInputMessage="0" showErrorMessage="0" allowBlank="1" type="list">
      <formula1>"O,X"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34" customWidth="1" min="4" max="4"/>
    <col width="14" customWidth="1" min="5" max="5"/>
  </cols>
  <sheetData>
    <row r="1">
      <c r="A1" s="13" t="inlineStr">
        <is>
          <t>7. 5 Whys — 현상에서 진짜 문제까지</t>
        </is>
      </c>
    </row>
    <row r="2">
      <c r="A2" s="14" t="inlineStr">
        <is>
          <t>도구 05 · 사람 탓에서 멈추지 말고 절차와 구조를 묻기 · 팀이 바꿀 수 있는 원인이 나오면 멈춤</t>
        </is>
      </c>
    </row>
    <row r="3">
      <c r="A3" s="15">
        <f>"작성자: "&amp;'0_안내'!C6&amp;"  ·  "&amp;'0_안내'!C7&amp;"  ·  "&amp;'0_안내'!C8&amp;"  ·  "&amp;'0_안내'!C9</f>
        <v/>
      </c>
    </row>
    <row r="5" ht="22" customHeight="1">
      <c r="A5" s="20" t="inlineStr">
        <is>
          <t>작성 예시 (설명용)</t>
        </is>
      </c>
      <c r="B5" s="21" t="n"/>
      <c r="C5" s="21" t="n"/>
      <c r="D5" s="21" t="n"/>
      <c r="E5" s="21" t="n"/>
    </row>
    <row r="6">
      <c r="A6" s="4" t="inlineStr">
        <is>
          <t>현상 (사실·수치)</t>
        </is>
      </c>
      <c r="B6" s="8" t="inlineStr">
        <is>
          <t>셋업 기간이 계획보다 길어진다</t>
        </is>
      </c>
      <c r="C6" s="25" t="n"/>
      <c r="D6" s="25" t="n"/>
      <c r="E6" s="25" t="n"/>
    </row>
    <row r="7" ht="32" customHeight="1">
      <c r="A7" s="22" t="inlineStr"/>
      <c r="B7" s="22" t="inlineStr">
        <is>
          <t>왜? (앞 답을 주어로)</t>
        </is>
      </c>
      <c r="C7" s="22" t="inlineStr">
        <is>
          <t>답 (확인된 내용 한 문장)</t>
        </is>
      </c>
      <c r="D7" s="22" t="inlineStr">
        <is>
          <t>근거 (인터뷰·데이터)</t>
        </is>
      </c>
      <c r="E7" s="22" t="inlineStr">
        <is>
          <t>바꿀 수
있는 원인</t>
        </is>
      </c>
    </row>
    <row r="8" ht="34" customHeight="1">
      <c r="A8" s="23" t="inlineStr">
        <is>
          <t>왜 1</t>
        </is>
      </c>
      <c r="B8" s="8" t="inlineStr">
        <is>
          <t>왜 셋업 기간이 길어지나?</t>
        </is>
      </c>
      <c r="C8" s="8" t="inlineStr">
        <is>
          <t>같은 유형의 이슈가 현장에서 다시 발생한다</t>
        </is>
      </c>
      <c r="D8" s="8" t="inlineStr">
        <is>
          <t>이슈 대장: 상위 3개 유형 72%</t>
        </is>
      </c>
      <c r="E8" s="16" t="inlineStr">
        <is>
          <t>X</t>
        </is>
      </c>
    </row>
    <row r="9" ht="34" customHeight="1">
      <c r="A9" s="23" t="inlineStr">
        <is>
          <t>왜 2</t>
        </is>
      </c>
      <c r="B9" s="8" t="inlineStr">
        <is>
          <t>왜 같은 이슈가 다시 발생하나?</t>
        </is>
      </c>
      <c r="C9" s="8" t="inlineStr">
        <is>
          <t>과거 조치 방법을 담당자가 알지 못한다</t>
        </is>
      </c>
      <c r="D9" s="8" t="inlineStr">
        <is>
          <t>인터뷰 2명: “선배에게 물어본다”</t>
        </is>
      </c>
      <c r="E9" s="16" t="inlineStr">
        <is>
          <t>X</t>
        </is>
      </c>
    </row>
    <row r="10" ht="34" customHeight="1">
      <c r="A10" s="23" t="inlineStr">
        <is>
          <t>왜 3</t>
        </is>
      </c>
      <c r="B10" s="8" t="inlineStr">
        <is>
          <t>왜 담당자가 알지 못하나?</t>
        </is>
      </c>
      <c r="C10" s="8" t="inlineStr">
        <is>
          <t>조치 이력이 여러 곳에 흩어져 있어 찾기 어렵다</t>
        </is>
      </c>
      <c r="D10" s="8" t="inlineStr">
        <is>
          <t>인터뷰: 공유 폴더·개인 메모·메신저</t>
        </is>
      </c>
      <c r="E10" s="16" t="inlineStr">
        <is>
          <t>O</t>
        </is>
      </c>
    </row>
    <row r="11">
      <c r="A11" s="4" t="inlineStr">
        <is>
          <t>진짜 문제</t>
        </is>
      </c>
      <c r="B11" s="8" t="inlineStr">
        <is>
          <t>필요한 순간에 과거 조치 이력을 바로 찾을 방법이 없다</t>
        </is>
      </c>
      <c r="C11" s="25" t="n"/>
      <c r="D11" s="25" t="n"/>
      <c r="E11" s="25" t="n"/>
    </row>
    <row r="13" ht="22" customHeight="1">
      <c r="A13" s="20" t="inlineStr">
        <is>
          <t>우리 팀 — 직접 작성 (꼭 다섯 번일 필요 없음 · 원인이 여러 개면 갈래를 나눠 각각)</t>
        </is>
      </c>
      <c r="B13" s="21" t="n"/>
      <c r="C13" s="21" t="n"/>
      <c r="D13" s="21" t="n"/>
      <c r="E13" s="21" t="n"/>
    </row>
    <row r="14">
      <c r="A14" s="4" t="inlineStr">
        <is>
          <t>현상 (사실·수치)</t>
        </is>
      </c>
      <c r="B14" s="5" t="n"/>
      <c r="C14" s="25" t="n"/>
      <c r="D14" s="25" t="n"/>
      <c r="E14" s="25" t="n"/>
    </row>
    <row r="15" ht="32" customHeight="1">
      <c r="A15" s="22" t="inlineStr"/>
      <c r="B15" s="22" t="inlineStr">
        <is>
          <t>왜? (앞 답을 주어로)</t>
        </is>
      </c>
      <c r="C15" s="22" t="inlineStr">
        <is>
          <t>답 (확인된 내용 한 문장)</t>
        </is>
      </c>
      <c r="D15" s="22" t="inlineStr">
        <is>
          <t>근거 (인터뷰·데이터)</t>
        </is>
      </c>
      <c r="E15" s="22" t="inlineStr">
        <is>
          <t>바꿀 수
있는 원인</t>
        </is>
      </c>
    </row>
    <row r="16" ht="34" customHeight="1">
      <c r="A16" s="23" t="inlineStr">
        <is>
          <t>왜 1</t>
        </is>
      </c>
      <c r="B16" s="5" t="n"/>
      <c r="C16" s="5" t="n"/>
      <c r="D16" s="5" t="n"/>
      <c r="E16" s="18" t="n"/>
    </row>
    <row r="17" ht="34" customHeight="1">
      <c r="A17" s="23" t="inlineStr">
        <is>
          <t>왜 2</t>
        </is>
      </c>
      <c r="B17" s="5" t="n"/>
      <c r="C17" s="5" t="n"/>
      <c r="D17" s="5" t="n"/>
      <c r="E17" s="18" t="n"/>
    </row>
    <row r="18" ht="34" customHeight="1">
      <c r="A18" s="23" t="inlineStr">
        <is>
          <t>왜 3</t>
        </is>
      </c>
      <c r="B18" s="5" t="n"/>
      <c r="C18" s="5" t="n"/>
      <c r="D18" s="5" t="n"/>
      <c r="E18" s="18" t="n"/>
    </row>
    <row r="19" ht="34" customHeight="1">
      <c r="A19" s="23" t="inlineStr">
        <is>
          <t>왜 4</t>
        </is>
      </c>
      <c r="B19" s="5" t="n"/>
      <c r="C19" s="5" t="n"/>
      <c r="D19" s="5" t="n"/>
      <c r="E19" s="18" t="n"/>
    </row>
    <row r="20" ht="34" customHeight="1">
      <c r="A20" s="23" t="inlineStr">
        <is>
          <t>왜 5</t>
        </is>
      </c>
      <c r="B20" s="5" t="n"/>
      <c r="C20" s="5" t="n"/>
      <c r="D20" s="5" t="n"/>
      <c r="E20" s="18" t="n"/>
    </row>
    <row r="21" ht="34" customHeight="1">
      <c r="A21" s="23" t="inlineStr">
        <is>
          <t>왜 6</t>
        </is>
      </c>
      <c r="B21" s="5" t="n"/>
      <c r="C21" s="5" t="n"/>
      <c r="D21" s="5" t="n"/>
      <c r="E21" s="18" t="n"/>
    </row>
    <row r="22" ht="34" customHeight="1">
      <c r="A22" s="23" t="inlineStr">
        <is>
          <t>왜 7</t>
        </is>
      </c>
      <c r="B22" s="5" t="n"/>
      <c r="C22" s="5" t="n"/>
      <c r="D22" s="5" t="n"/>
      <c r="E22" s="18" t="n"/>
    </row>
    <row r="23">
      <c r="A23" s="4" t="inlineStr">
        <is>
          <t>진짜 문제</t>
        </is>
      </c>
      <c r="B23" s="5" t="n"/>
      <c r="C23" s="25" t="n"/>
      <c r="D23" s="25" t="n"/>
      <c r="E23" s="25" t="n"/>
    </row>
    <row r="25" ht="22" customHeight="1">
      <c r="A25" s="20" t="inlineStr">
        <is>
          <t>해결 방향을 여는 질문으로 바꾸기 — 어떻게 하면 [사용자]가 [상황]에서 [원하는 결과]를 얻게 할 수 있을까?</t>
        </is>
      </c>
      <c r="B25" s="21" t="n"/>
      <c r="C25" s="21" t="n"/>
      <c r="D25" s="21" t="n"/>
      <c r="E25" s="21" t="n"/>
    </row>
    <row r="26" ht="22" customHeight="1">
      <c r="A26" s="22" t="inlineStr"/>
      <c r="B26" s="22" t="inlineStr">
        <is>
          <t>사용자</t>
        </is>
      </c>
      <c r="C26" s="22" t="inlineStr">
        <is>
          <t>상황</t>
        </is>
      </c>
      <c r="D26" s="22" t="inlineStr">
        <is>
          <t>원하는 결과</t>
        </is>
      </c>
      <c r="E26" s="22" t="inlineStr"/>
    </row>
    <row r="27">
      <c r="A27" s="16" t="inlineStr">
        <is>
          <t>예시</t>
        </is>
      </c>
      <c r="B27" s="8" t="inlineStr">
        <is>
          <t>CS기술 담당자</t>
        </is>
      </c>
      <c r="C27" s="8" t="inlineStr">
        <is>
          <t>현장</t>
        </is>
      </c>
      <c r="D27" s="8" t="inlineStr">
        <is>
          <t>과거 조치 이력을 1분 안에 찾게</t>
        </is>
      </c>
    </row>
    <row r="28">
      <c r="A28" s="23" t="inlineStr">
        <is>
          <t>우리 팀</t>
        </is>
      </c>
      <c r="B28" s="5" t="n"/>
      <c r="C28" s="5" t="n"/>
      <c r="D28" s="5" t="n"/>
    </row>
    <row r="29">
      <c r="A29" s="4" t="inlineStr">
        <is>
          <t>질문 (자동)</t>
        </is>
      </c>
      <c r="B29" s="9">
        <f>IF(B27="","","어떻게 하면 "&amp;B27&amp;"이(가) "&amp;C27&amp;"에서 "&amp;D27&amp;" 할 수 있을까?")</f>
        <v/>
      </c>
      <c r="C29" s="25" t="n"/>
      <c r="D29" s="25" t="n"/>
      <c r="E29" s="25" t="n"/>
    </row>
    <row r="30">
      <c r="A30" s="4" t="inlineStr">
        <is>
          <t>질문 (자동)</t>
        </is>
      </c>
      <c r="B30" s="9">
        <f>IF(B28="","","어떻게 하면 "&amp;B28&amp;"이(가) "&amp;C28&amp;"에서 "&amp;D28&amp;" 할 수 있을까?")</f>
        <v/>
      </c>
      <c r="C30" s="25" t="n"/>
      <c r="D30" s="25" t="n"/>
      <c r="E30" s="25" t="n"/>
    </row>
    <row r="32">
      <c r="A32" s="24" t="inlineStr">
        <is>
          <t>너무 넓으면 아이디어가 흩어지고, 너무 좁으면 해결책이 이미 정해져 있음 · 진짜 문제는 해결책이 아니라 사용자의 상황으로</t>
        </is>
      </c>
    </row>
  </sheetData>
  <mergeCells count="6">
    <mergeCell ref="B23:E23"/>
    <mergeCell ref="B6:E6"/>
    <mergeCell ref="B30:E30"/>
    <mergeCell ref="B29:E29"/>
    <mergeCell ref="B11:E11"/>
    <mergeCell ref="B14:E14"/>
  </mergeCells>
  <dataValidations count="1">
    <dataValidation sqref="E16:E22" showDropDown="0" showInputMessage="0" showErrorMessage="0" allowBlank="1" type="list">
      <formula1>"O,X"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2" customWidth="1" min="3" max="3"/>
    <col width="44" customWidth="1" min="4" max="4"/>
  </cols>
  <sheetData>
    <row r="1">
      <c r="A1" s="13" t="inlineStr">
        <is>
          <t>8. 문제정의서</t>
        </is>
      </c>
    </row>
    <row r="2">
      <c r="A2" s="14" t="inlineStr">
        <is>
          <t>도구 06 · 누구의 어떤 문제를 왜 푸는지 근거와 함께 한 장에 · 다섯 칸을 채우면 Agent를 만들 준비가 끝난다</t>
        </is>
      </c>
    </row>
    <row r="3">
      <c r="A3" s="15">
        <f>"작성자: "&amp;'0_안내'!C6&amp;"  ·  "&amp;'0_안내'!C7&amp;"  ·  "&amp;'0_안내'!C8&amp;"  ·  "&amp;'0_안내'!C9</f>
        <v/>
      </c>
    </row>
    <row r="5" ht="24" customHeight="1">
      <c r="A5" s="10" t="inlineStr">
        <is>
          <t>항목</t>
        </is>
      </c>
      <c r="B5" s="10" t="inlineStr">
        <is>
          <t>작성 가이드</t>
        </is>
      </c>
      <c r="C5" s="10" t="inlineStr">
        <is>
          <t>우리 팀 작성</t>
        </is>
      </c>
      <c r="D5" s="10" t="inlineStr">
        <is>
          <t>작성 예시</t>
        </is>
      </c>
    </row>
    <row r="6" ht="40" customHeight="1">
      <c r="A6" s="4" t="inlineStr">
        <is>
          <t>사용자</t>
        </is>
      </c>
      <c r="B6" s="7" t="inlineStr">
        <is>
          <t>누가 겪는 문제인가 (직무, 상황)</t>
        </is>
      </c>
      <c r="C6" s="5" t="n"/>
      <c r="D6" s="8" t="inlineStr">
        <is>
          <t>설계·CS기술 담당자 · 현장 셋업 중 이슈 대응</t>
        </is>
      </c>
    </row>
    <row r="7" ht="40" customHeight="1">
      <c r="A7" s="4" t="inlineStr">
        <is>
          <t>문제 상황</t>
        </is>
      </c>
      <c r="B7" s="7" t="inlineStr">
        <is>
          <t>언제, 어디서, 무엇이 어려운가</t>
        </is>
      </c>
      <c r="C7" s="5" t="n"/>
      <c r="D7" s="8" t="inlineStr">
        <is>
          <t>알람이 발생했을 때 과거 조치 이력을 찾는 데 30분 이상 걸린다</t>
        </is>
      </c>
    </row>
    <row r="8" ht="40" customHeight="1">
      <c r="A8" s="4" t="inlineStr">
        <is>
          <t>근거 — 인터뷰</t>
        </is>
      </c>
      <c r="B8" s="7" t="inlineStr">
        <is>
          <t>들은 말 그대로</t>
        </is>
      </c>
      <c r="C8" s="5" t="n"/>
      <c r="D8" s="8" t="inlineStr">
        <is>
          <t>“조치 이력을 찾으려면 세 군데를 뒤져야 해요”</t>
        </is>
      </c>
    </row>
    <row r="9" ht="40" customHeight="1">
      <c r="A9" s="4" t="inlineStr">
        <is>
          <t>근거 — 데이터</t>
        </is>
      </c>
      <c r="B9" s="7" t="inlineStr">
        <is>
          <t>수치 (시트 6 결과)</t>
        </is>
      </c>
      <c r="C9" s="5" t="n"/>
      <c r="D9" s="8" t="inlineStr">
        <is>
          <t>셋업 이슈 상위 3개 유형이 전체의 72% (가상 데이터 100건)</t>
        </is>
      </c>
    </row>
    <row r="10" ht="40" customHeight="1">
      <c r="A10" s="4" t="inlineStr">
        <is>
          <t>진짜 문제</t>
        </is>
      </c>
      <c r="B10" s="7" t="inlineStr">
        <is>
          <t>원인을 반영한 한 문장 (시트 7)</t>
        </is>
      </c>
      <c r="C10" s="5" t="n"/>
      <c r="D10" s="8" t="inlineStr">
        <is>
          <t>필요한 순간에 과거 조치 이력을 바로 찾을 방법이 없다</t>
        </is>
      </c>
    </row>
    <row r="11" ht="40" customHeight="1">
      <c r="A11" s="4" t="inlineStr">
        <is>
          <t>성공 기준 — 지표</t>
        </is>
      </c>
      <c r="B11" s="7" t="inlineStr">
        <is>
          <t>무엇으로 잴 것인가</t>
        </is>
      </c>
      <c r="C11" s="5" t="n"/>
      <c r="D11" s="8" t="inlineStr">
        <is>
          <t>이력 찾는 시간 (건당)</t>
        </is>
      </c>
    </row>
    <row r="12" ht="40" customHeight="1">
      <c r="A12" s="4" t="inlineStr">
        <is>
          <t>성공 기준 — 현재</t>
        </is>
      </c>
      <c r="B12" s="7" t="inlineStr">
        <is>
          <t>지금 값</t>
        </is>
      </c>
      <c r="C12" s="5" t="n"/>
      <c r="D12" s="8" t="inlineStr">
        <is>
          <t>30분</t>
        </is>
      </c>
    </row>
    <row r="13" ht="40" customHeight="1">
      <c r="A13" s="4" t="inlineStr">
        <is>
          <t>성공 기준 — 목표</t>
        </is>
      </c>
      <c r="B13" s="7" t="inlineStr">
        <is>
          <t>해결되면 값</t>
        </is>
      </c>
      <c r="C13" s="5" t="n"/>
      <c r="D13" s="8" t="inlineStr">
        <is>
          <t>5분</t>
        </is>
      </c>
    </row>
    <row r="15" ht="22" customHeight="1">
      <c r="A15" s="20" t="inlineStr">
        <is>
          <t>문제 정의 점검 — 모두 O가 되면 다음 단계로</t>
        </is>
      </c>
      <c r="B15" s="21" t="n"/>
      <c r="C15" s="21" t="n"/>
      <c r="D15" s="21" t="n"/>
    </row>
    <row r="16">
      <c r="A16" s="7" t="inlineStr">
        <is>
          <t>해결책이 문제 문장에 들어 있지 않다</t>
        </is>
      </c>
      <c r="B16" s="25" t="n"/>
      <c r="C16" s="18" t="n"/>
      <c r="D16" s="8" t="inlineStr">
        <is>
          <t>“이력 관리 시스템이 없다”는 해결책 → 상황으로 다시 쓰기</t>
        </is>
      </c>
    </row>
    <row r="17">
      <c r="A17" s="7" t="inlineStr">
        <is>
          <t>확인할 수 있을 만큼 구체적이다</t>
        </is>
      </c>
      <c r="B17" s="25" t="n"/>
      <c r="C17" s="18" t="n"/>
      <c r="D17" s="8" t="inlineStr">
        <is>
          <t>“업무 효율이 낮다”는 너무 넓음</t>
        </is>
      </c>
    </row>
    <row r="18">
      <c r="A18" s="7" t="inlineStr">
        <is>
          <t>근거(인터뷰 또는 수치)가 붙어 있다</t>
        </is>
      </c>
      <c r="B18" s="25" t="n"/>
      <c r="C18" s="18" t="n"/>
      <c r="D18" s="8" t="inlineStr">
        <is>
          <t>근거 없는 문장은 가설로 표시</t>
        </is>
      </c>
    </row>
    <row r="19">
      <c r="A19" s="7" t="inlineStr">
        <is>
          <t>반복되는 일이다</t>
        </is>
      </c>
      <c r="B19" s="25" t="n"/>
      <c r="C19" s="18" t="n"/>
      <c r="D19" s="8" t="inlineStr">
        <is>
          <t>Agent 적합성</t>
        </is>
      </c>
    </row>
    <row r="20">
      <c r="A20" s="7" t="inlineStr">
        <is>
          <t>판단 기준이 문서로 있다</t>
        </is>
      </c>
      <c r="B20" s="25" t="n"/>
      <c r="C20" s="18" t="n"/>
      <c r="D20" s="8" t="inlineStr">
        <is>
          <t>Agent 적합성</t>
        </is>
      </c>
    </row>
    <row r="21">
      <c r="A21" s="7" t="inlineStr">
        <is>
          <t>사람이 결과를 검토할 수 있다</t>
        </is>
      </c>
      <c r="B21" s="25" t="n"/>
      <c r="C21" s="18" t="n"/>
      <c r="D21" s="8" t="inlineStr">
        <is>
          <t>Agent 적합성</t>
        </is>
      </c>
    </row>
    <row r="23">
      <c r="A23" s="9">
        <f>IF(COUNTIF(C16:C21,"O")=6,"점검 통과 — Agent 설계서(시트 9)로","점검 "&amp;COUNTIF(C16:C21,"O")&amp;" / 6 · X 항목을 고친 뒤 다시 확인")</f>
        <v/>
      </c>
    </row>
  </sheetData>
  <mergeCells count="7">
    <mergeCell ref="A20:B20"/>
    <mergeCell ref="A21:B21"/>
    <mergeCell ref="A16:B16"/>
    <mergeCell ref="A23:D23"/>
    <mergeCell ref="A19:B19"/>
    <mergeCell ref="A17:B17"/>
    <mergeCell ref="A18:B18"/>
  </mergeCells>
  <dataValidations count="1">
    <dataValidation sqref="C16:C21" showDropDown="0" showInputMessage="0" showErrorMessage="0" allowBlank="1" type="list">
      <formula1>"O,X"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E4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16" customWidth="1" min="4" max="4"/>
    <col width="16" customWidth="1" min="5" max="5"/>
  </cols>
  <sheetData>
    <row r="1">
      <c r="A1" s="13" t="inlineStr">
        <is>
          <t>9. Agent 설계서와 GPT 지침 초안</t>
        </is>
      </c>
    </row>
    <row r="2">
      <c r="A2" s="14" t="inlineStr">
        <is>
          <t>도구 07 · 하나의 Agent는 하나의 일만 · 출력 형식은 표와 항목 순서까지 · 설계서를 먼저 쓰면 수정 횟수가 줄어든다</t>
        </is>
      </c>
    </row>
    <row r="3">
      <c r="A3" s="15">
        <f>"작성자: "&amp;'0_안내'!C6&amp;"  ·  "&amp;'0_안내'!C7&amp;"  ·  "&amp;'0_안내'!C8&amp;"  ·  "&amp;'0_안내'!C9</f>
        <v/>
      </c>
    </row>
    <row r="5" ht="24" customHeight="1">
      <c r="A5" s="10" t="inlineStr">
        <is>
          <t>칸</t>
        </is>
      </c>
      <c r="B5" s="10" t="inlineStr">
        <is>
          <t>우리 팀 작성</t>
        </is>
      </c>
      <c r="C5" s="10" t="inlineStr">
        <is>
          <t>작성 예시 (트러블슈팅 도우미)</t>
        </is>
      </c>
      <c r="D5" s="10" t="inlineStr">
        <is>
          <t>가져오는 곳</t>
        </is>
      </c>
      <c r="E5" s="10" t="inlineStr"/>
    </row>
    <row r="6" ht="34" customHeight="1">
      <c r="A6" s="4" t="inlineStr">
        <is>
          <t>1 사용자</t>
        </is>
      </c>
      <c r="B6" s="5" t="n"/>
      <c r="C6" s="8" t="inlineStr">
        <is>
          <t>현장 이슈에 대응하는 설계·CS기술 담당자</t>
        </is>
      </c>
      <c r="D6" s="7" t="inlineStr">
        <is>
          <t>문제정의서</t>
        </is>
      </c>
    </row>
    <row r="7" ht="34" customHeight="1">
      <c r="A7" s="4" t="inlineStr">
        <is>
          <t>2 역할과 목표</t>
        </is>
      </c>
      <c r="B7" s="5" t="n"/>
      <c r="C7" s="8" t="inlineStr">
        <is>
          <t>과거 조치 이력을 찾아 원인 후보와 조치 순서를 제시한다</t>
        </is>
      </c>
      <c r="D7" s="7" t="inlineStr">
        <is>
          <t>문제정의서</t>
        </is>
      </c>
    </row>
    <row r="8" ht="34" customHeight="1">
      <c r="A8" s="4" t="inlineStr">
        <is>
          <t>2 하지 않는 일</t>
        </is>
      </c>
      <c r="B8" s="5" t="n"/>
      <c r="C8" s="8" t="inlineStr">
        <is>
          <t>설계 변경 판단, 안전 작업 승인</t>
        </is>
      </c>
      <c r="D8" s="7" t="n"/>
    </row>
    <row r="9" ht="34" customHeight="1">
      <c r="A9" s="4" t="inlineStr">
        <is>
          <t>3 입력</t>
        </is>
      </c>
      <c r="B9" s="5" t="n"/>
      <c r="C9" s="8" t="inlineStr">
        <is>
          <t>증상, 설비 유형, 알람 코드</t>
        </is>
      </c>
      <c r="D9" s="7" t="inlineStr">
        <is>
          <t>업무 흐름도</t>
        </is>
      </c>
    </row>
    <row r="10" ht="34" customHeight="1">
      <c r="A10" s="4" t="inlineStr">
        <is>
          <t>4 출력 형식</t>
        </is>
      </c>
      <c r="B10" s="5" t="n"/>
      <c r="C10" s="8" t="inlineStr">
        <is>
          <t>원인 후보 / 조치 순서 / 근거 문서명 순서의 표</t>
        </is>
      </c>
      <c r="D10" s="7" t="inlineStr">
        <is>
          <t>업무 흐름도</t>
        </is>
      </c>
    </row>
    <row r="11" ht="34" customHeight="1">
      <c r="A11" s="4" t="inlineStr">
        <is>
          <t>5 절차 1</t>
        </is>
      </c>
      <c r="B11" s="5" t="n"/>
      <c r="C11" s="8" t="inlineStr">
        <is>
          <t>증상, 설비 유형, 알람 코드를 확인한다. 빠진 것은 되묻는다</t>
        </is>
      </c>
      <c r="D11" s="7" t="inlineStr">
        <is>
          <t>업무 흐름도</t>
        </is>
      </c>
    </row>
    <row r="12" ht="34" customHeight="1">
      <c r="A12" s="4" t="inlineStr">
        <is>
          <t>5 절차 2</t>
        </is>
      </c>
      <c r="B12" s="5" t="n"/>
      <c r="C12" s="8" t="inlineStr">
        <is>
          <t>지식 문서에서 같은 유형의 조치 이력을 찾는다</t>
        </is>
      </c>
      <c r="D12" s="7" t="n"/>
    </row>
    <row r="13" ht="34" customHeight="1">
      <c r="A13" s="4" t="inlineStr">
        <is>
          <t>5 절차 3</t>
        </is>
      </c>
      <c r="B13" s="5" t="n"/>
      <c r="C13" s="8" t="inlineStr">
        <is>
          <t>가능성이 높은 순서로 조치 방법을 제시한다</t>
        </is>
      </c>
      <c r="D13" s="7" t="n"/>
    </row>
    <row r="14" ht="34" customHeight="1">
      <c r="A14" s="4" t="inlineStr">
        <is>
          <t>5 절차 4</t>
        </is>
      </c>
      <c r="B14" s="5" t="n"/>
      <c r="C14" s="8" t="n"/>
      <c r="D14" s="7" t="n"/>
    </row>
    <row r="15" ht="34" customHeight="1">
      <c r="A15" s="4" t="inlineStr">
        <is>
          <t>5 절차 5</t>
        </is>
      </c>
      <c r="B15" s="5" t="n"/>
      <c r="C15" s="8" t="n"/>
      <c r="D15" s="7" t="n"/>
    </row>
    <row r="16" ht="34" customHeight="1">
      <c r="A16" s="4" t="inlineStr">
        <is>
          <t>6 지식 문서 1</t>
        </is>
      </c>
      <c r="B16" s="5" t="n"/>
      <c r="C16" s="8" t="inlineStr">
        <is>
          <t>조치 이력 정리표 (가상 · 비식별)</t>
        </is>
      </c>
      <c r="D16" s="7" t="inlineStr">
        <is>
          <t>비식별 O/X →</t>
        </is>
      </c>
      <c r="E16" s="18" t="n"/>
    </row>
    <row r="17" ht="34" customHeight="1">
      <c r="A17" s="4" t="inlineStr">
        <is>
          <t>6 지식 문서 2</t>
        </is>
      </c>
      <c r="B17" s="5" t="n"/>
      <c r="C17" s="8" t="inlineStr">
        <is>
          <t>설비 매뉴얼 요약 (가상)</t>
        </is>
      </c>
      <c r="D17" s="7" t="inlineStr">
        <is>
          <t>비식별 O/X →</t>
        </is>
      </c>
      <c r="E17" s="18" t="n"/>
    </row>
    <row r="18" ht="34" customHeight="1">
      <c r="A18" s="4" t="inlineStr">
        <is>
          <t>6 지식 문서 3</t>
        </is>
      </c>
      <c r="B18" s="5" t="n"/>
      <c r="C18" s="8" t="n"/>
      <c r="D18" s="7" t="inlineStr">
        <is>
          <t>비식별 O/X →</t>
        </is>
      </c>
      <c r="E18" s="18" t="n"/>
    </row>
    <row r="19" ht="34" customHeight="1">
      <c r="A19" s="4" t="inlineStr">
        <is>
          <t>7 제약</t>
        </is>
      </c>
      <c r="B19" s="5" t="n"/>
      <c r="C19" s="8" t="inlineStr">
        <is>
          <t>지식 문서에 없는 내용은 추측하지 말고 “이력 없음”이라고 답한다. 안전 관련 작업은 담당자 확인을 안내한다</t>
        </is>
      </c>
      <c r="D19" s="7" t="n"/>
    </row>
    <row r="21" ht="22" customHeight="1">
      <c r="A21" s="20" t="inlineStr">
        <is>
          <t>테스트 질문 5개 — 제작 직후(v1) 확인 · 통과 기준을 먼저 적고 실행</t>
        </is>
      </c>
      <c r="B21" s="21" t="n"/>
      <c r="C21" s="21" t="n"/>
      <c r="D21" s="21" t="n"/>
      <c r="E21" s="21" t="n"/>
    </row>
    <row r="22" ht="24" customHeight="1">
      <c r="A22" s="22" t="inlineStr">
        <is>
          <t>No</t>
        </is>
      </c>
      <c r="B22" s="22" t="inlineStr">
        <is>
          <t>테스트 질문</t>
        </is>
      </c>
      <c r="C22" s="22" t="inlineStr">
        <is>
          <t>좋은 답의 조건 (통과 기준)</t>
        </is>
      </c>
      <c r="D22" s="22" t="inlineStr">
        <is>
          <t>종류</t>
        </is>
      </c>
      <c r="E22" s="22" t="inlineStr">
        <is>
          <t>v1 결과</t>
        </is>
      </c>
    </row>
    <row r="23">
      <c r="A23" s="16" t="inlineStr">
        <is>
          <t>예시</t>
        </is>
      </c>
      <c r="B23" s="8" t="inlineStr">
        <is>
          <t>알람 E-201, 증상: 이송 멈춤. 설비 유형은 말하지 않음</t>
        </is>
      </c>
      <c r="C23" s="8" t="inlineStr">
        <is>
          <t>설비 유형을 되묻는다</t>
        </is>
      </c>
      <c r="D23" s="16" t="inlineStr">
        <is>
          <t>경계</t>
        </is>
      </c>
      <c r="E23" s="16" t="inlineStr">
        <is>
          <t>통과</t>
        </is>
      </c>
    </row>
    <row r="24" ht="34" customHeight="1">
      <c r="A24" s="17" t="n">
        <v>1</v>
      </c>
      <c r="B24" s="5" t="n"/>
      <c r="C24" s="5" t="n"/>
      <c r="D24" s="18" t="n"/>
      <c r="E24" s="18" t="n"/>
    </row>
    <row r="25" ht="34" customHeight="1">
      <c r="A25" s="17" t="n">
        <v>2</v>
      </c>
      <c r="B25" s="5" t="n"/>
      <c r="C25" s="5" t="n"/>
      <c r="D25" s="18" t="n"/>
      <c r="E25" s="18" t="n"/>
    </row>
    <row r="26" ht="34" customHeight="1">
      <c r="A26" s="17" t="n">
        <v>3</v>
      </c>
      <c r="B26" s="5" t="n"/>
      <c r="C26" s="5" t="n"/>
      <c r="D26" s="18" t="n"/>
      <c r="E26" s="18" t="n"/>
    </row>
    <row r="27" ht="34" customHeight="1">
      <c r="A27" s="17" t="n">
        <v>4</v>
      </c>
      <c r="B27" s="5" t="n"/>
      <c r="C27" s="5" t="n"/>
      <c r="D27" s="18" t="n"/>
      <c r="E27" s="18" t="n"/>
    </row>
    <row r="28" ht="34" customHeight="1">
      <c r="A28" s="17" t="n">
        <v>5</v>
      </c>
      <c r="B28" s="5" t="n"/>
      <c r="C28" s="5" t="n"/>
      <c r="D28" s="18" t="n"/>
      <c r="E28" s="18" t="n"/>
    </row>
    <row r="29">
      <c r="A29" s="4" t="inlineStr">
        <is>
          <t>통과율 (자동)</t>
        </is>
      </c>
      <c r="B29" s="9">
        <f>IF(COUNTA(E24:E28)=0,"",COUNTIF(E24:E28,"통과")&amp;" / "&amp;COUNTA(E24:E28)&amp;" 통과")</f>
        <v/>
      </c>
    </row>
    <row r="31" ht="22" customHeight="1">
      <c r="A31" s="20" t="inlineStr">
        <is>
          <t>GPT 구성 탭 입력값</t>
        </is>
      </c>
      <c r="B31" s="21" t="n"/>
      <c r="C31" s="21" t="n"/>
      <c r="D31" s="21" t="n"/>
      <c r="E31" s="21" t="n"/>
    </row>
    <row r="32" ht="24" customHeight="1">
      <c r="A32" s="4" t="inlineStr">
        <is>
          <t>이름</t>
        </is>
      </c>
      <c r="B32" s="5" t="n"/>
      <c r="C32" s="8" t="inlineStr">
        <is>
          <t>트러블슈팅 도우미</t>
        </is>
      </c>
    </row>
    <row r="33" ht="24" customHeight="1">
      <c r="A33" s="4" t="inlineStr">
        <is>
          <t>설명</t>
        </is>
      </c>
      <c r="B33" s="5" t="n"/>
      <c r="C33" s="8" t="inlineStr">
        <is>
          <t>알람과 증상을 넣으면 과거 조치 이력으로 원인 후보와 조치 순서를 제시합니다</t>
        </is>
      </c>
    </row>
    <row r="34" ht="24" customHeight="1">
      <c r="A34" s="4" t="inlineStr">
        <is>
          <t>대화 스타터 1</t>
        </is>
      </c>
      <c r="B34" s="5" t="n"/>
      <c r="C34" s="8" t="inlineStr">
        <is>
          <t>알람 E-201이 떴어요. 증상은 이송 멈춤입니다</t>
        </is>
      </c>
    </row>
    <row r="35" ht="24" customHeight="1">
      <c r="A35" s="4" t="inlineStr">
        <is>
          <t>대화 스타터 2</t>
        </is>
      </c>
      <c r="B35" s="5" t="n"/>
      <c r="C35" s="8" t="inlineStr">
        <is>
          <t>이 증상의 과거 조치 이력을 찾아 주세요</t>
        </is>
      </c>
    </row>
    <row r="36" ht="24" customHeight="1">
      <c r="A36" s="4" t="inlineStr">
        <is>
          <t>기능 — 웹 검색</t>
        </is>
      </c>
      <c r="B36" s="5" t="n"/>
      <c r="C36" s="8" t="inlineStr">
        <is>
          <t>끔 (사내 지식만 참조)</t>
        </is>
      </c>
    </row>
    <row r="37" ht="24" customHeight="1">
      <c r="A37" s="4" t="inlineStr">
        <is>
          <t>기능 — 코드 실행·데이터 분석</t>
        </is>
      </c>
      <c r="B37" s="5" t="n"/>
      <c r="C37" s="8" t="inlineStr">
        <is>
          <t>필요 시 켬 (표 데이터 분석)</t>
        </is>
      </c>
    </row>
    <row r="38" ht="24" customHeight="1">
      <c r="A38" s="4" t="inlineStr">
        <is>
          <t>기능 — 이미지 생성</t>
        </is>
      </c>
      <c r="B38" s="5" t="n"/>
      <c r="C38" s="8" t="inlineStr">
        <is>
          <t>끔</t>
        </is>
      </c>
    </row>
    <row r="39" ht="24" customHeight="1">
      <c r="A39" s="4" t="inlineStr">
        <is>
          <t>공유 범위</t>
        </is>
      </c>
      <c r="B39" s="5" t="n"/>
      <c r="C39" s="8" t="inlineStr">
        <is>
          <t>링크가 있는 팀원</t>
        </is>
      </c>
    </row>
    <row r="41" ht="22" customHeight="1">
      <c r="A41" s="20" t="inlineStr">
        <is>
          <t>GPT 지침 초안 (자동 — 위 칸을 채우면 만들어짐 · 구성 탭 ‘지침’에 붙여 넣고 고친다)</t>
        </is>
      </c>
      <c r="B41" s="21" t="n"/>
      <c r="C41" s="21" t="n"/>
      <c r="D41" s="21" t="n"/>
      <c r="E41" s="21" t="n"/>
    </row>
    <row r="42" ht="330" customHeight="1">
      <c r="A42" s="29">
        <f>IF(B6="","1~7칸을 채우면 여기에 지침 초안이 만들어집니다","# 역할"&amp;CHAR(10)&amp;"너는 "&amp;B6&amp;"을(를) 돕는 Agent다. "&amp;B7&amp;CHAR(10)&amp;"하지 않는 일: "&amp;B8&amp;CHAR(10)&amp;CHAR(10)&amp;"# 입력"&amp;CHAR(10)&amp;B9&amp;CHAR(10)&amp;CHAR(10)&amp;"# 절차"&amp;CHAR(10)&amp;IF(B11="","","1. "&amp;B11&amp;CHAR(10))&amp;IF(B12="","","2. "&amp;B12&amp;CHAR(10))&amp;IF(B13="","","3. "&amp;B13&amp;CHAR(10))&amp;IF(B14="","","4. "&amp;B14&amp;CHAR(10))&amp;IF(B15="","","5. "&amp;B15&amp;CHAR(10))&amp;CHAR(10)&amp;"# 출력 형식"&amp;CHAR(10)&amp;B10&amp;CHAR(10)&amp;CHAR(10)&amp;"# 지식"&amp;CHAR(10)&amp;B16&amp;IF(B17="","",", "&amp;B17)&amp;IF(B18="","",", "&amp;B18)&amp;CHAR(10)&amp;CHAR(10)&amp;"# 제약"&amp;CHAR(10)&amp;B19)</f>
        <v/>
      </c>
    </row>
    <row r="44">
      <c r="A44" s="24" t="inlineStr">
        <is>
          <t>지침의 여섯 요소: 역할 · 맥락 · 절차(되묻는 조건) · 출력 형식 · 제약(모를 때의 답) · 예시 — 빌더가 만든 지침을 이 요소로 점검</t>
        </is>
      </c>
    </row>
  </sheetData>
  <mergeCells count="1">
    <mergeCell ref="A42:E42"/>
  </mergeCells>
  <dataValidations count="5">
    <dataValidation sqref="E16:E18" showDropDown="0" showInputMessage="0" showErrorMessage="0" allowBlank="1" type="list">
      <formula1>"O,X"</formula1>
    </dataValidation>
    <dataValidation sqref="D24:D28" showDropDown="0" showInputMessage="0" showErrorMessage="0" allowBlank="1" type="list">
      <formula1>"정상,경계,범위 밖,형식"</formula1>
    </dataValidation>
    <dataValidation sqref="E24:E28" showDropDown="0" showInputMessage="0" showErrorMessage="0" allowBlank="1" type="list">
      <formula1>"통과,실패"</formula1>
    </dataValidation>
    <dataValidation sqref="B36:B38" showDropDown="0" showInputMessage="0" showErrorMessage="0" allowBlank="1" type="list">
      <formula1>"켬,끔"</formula1>
    </dataValidation>
    <dataValidation sqref="B39" showDropDown="0" showInputMessage="0" showErrorMessage="0" allowBlank="1" type="list">
      <formula1>"나만 보기,링크가 있는 팀원"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B3BD6"/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4" customWidth="1" min="4" max="4"/>
    <col width="40" customWidth="1" min="5" max="5"/>
  </cols>
  <sheetData>
    <row r="1">
      <c r="A1" s="13" t="inlineStr">
        <is>
          <t>10. Day 1 정리 — 산출물 확인</t>
        </is>
      </c>
    </row>
    <row r="2">
      <c r="A2" s="14" t="inlineStr">
        <is>
          <t>팀별로 네 가지를 갖췄는지 점검 · Day 1과 Day 2 사이에 별도 과제는 없음</t>
        </is>
      </c>
    </row>
    <row r="3">
      <c r="A3" s="15">
        <f>"작성자: "&amp;'0_안내'!C6&amp;"  ·  "&amp;'0_안내'!C7&amp;"  ·  "&amp;'0_안내'!C8&amp;"  ·  "&amp;'0_안내'!C9</f>
        <v/>
      </c>
    </row>
    <row r="5" ht="24" customHeight="1">
      <c r="A5" s="10" t="inlineStr">
        <is>
          <t>No</t>
        </is>
      </c>
      <c r="B5" s="10" t="inlineStr">
        <is>
          <t>산출물</t>
        </is>
      </c>
      <c r="C5" s="10" t="inlineStr">
        <is>
          <t>시트</t>
        </is>
      </c>
      <c r="D5" s="10" t="inlineStr">
        <is>
          <t>상태</t>
        </is>
      </c>
      <c r="E5" s="10" t="inlineStr">
        <is>
          <t>자동 확인</t>
        </is>
      </c>
    </row>
    <row r="6" ht="26" customHeight="1">
      <c r="A6" s="17" t="n">
        <v>1</v>
      </c>
      <c r="B6" s="30" t="inlineStr">
        <is>
          <t>업무 흐름도와 역할 분담표</t>
        </is>
      </c>
      <c r="C6" s="11" t="inlineStr">
        <is>
          <t>5_업무흐름도</t>
        </is>
      </c>
      <c r="D6" s="18" t="n"/>
      <c r="E6" s="9">
        <f>IF(COUNTA('5_업무흐름도'!B24:H24)&gt;=5,"단계 "&amp;COUNTA('5_업무흐름도'!B24:H24)&amp;"개 작성","단계 5개 이상 작성 필요")</f>
        <v/>
      </c>
    </row>
    <row r="7" ht="26" customHeight="1">
      <c r="A7" s="17" t="n">
        <v>2</v>
      </c>
      <c r="B7" s="30" t="inlineStr">
        <is>
          <t>팀 문제정의서 (성공 기준 포함)</t>
        </is>
      </c>
      <c r="C7" s="11" t="inlineStr">
        <is>
          <t>8_문제정의서</t>
        </is>
      </c>
      <c r="D7" s="18" t="n"/>
      <c r="E7" s="9">
        <f>IF(COUNTA('8_문제정의서'!C6:C13)=8,"8칸 모두 작성","작성 "&amp;COUNTA('8_문제정의서'!C6:C13)&amp;" / 8칸")</f>
        <v/>
      </c>
    </row>
    <row r="8" ht="26" customHeight="1">
      <c r="A8" s="17" t="n">
        <v>3</v>
      </c>
      <c r="B8" s="30" t="inlineStr">
        <is>
          <t>Agent 설계서</t>
        </is>
      </c>
      <c r="C8" s="11" t="inlineStr">
        <is>
          <t>9_Agent설계서</t>
        </is>
      </c>
      <c r="D8" s="18" t="n"/>
      <c r="E8" s="9">
        <f>IF(COUNTA('9_Agent설계서'!B6:B19)&gt;=10,"작성 "&amp;COUNTA('9_Agent설계서'!B6:B19)&amp;"칸","작성 "&amp;COUNTA('9_Agent설계서'!B6:B19)&amp;" / 14칸")</f>
        <v/>
      </c>
    </row>
    <row r="9" ht="26" customHeight="1">
      <c r="A9" s="17" t="n">
        <v>4</v>
      </c>
      <c r="B9" s="30" t="inlineStr">
        <is>
          <t>동작하는 Agent v1 (GPT)</t>
        </is>
      </c>
      <c r="C9" s="11" t="inlineStr">
        <is>
          <t>9_Agent설계서</t>
        </is>
      </c>
      <c r="D9" s="18" t="n"/>
      <c r="E9" s="9">
        <f>IF('9_Agent설계서'!B29="","테스트 질문 결과 입력 필요",'9_Agent설계서'!B29)</f>
        <v/>
      </c>
    </row>
    <row r="11" ht="30" customHeight="1">
      <c r="B11" s="4" t="inlineStr">
        <is>
          <t>GPT 링크 (공유 링크)</t>
        </is>
      </c>
      <c r="C11" s="5" t="n"/>
      <c r="D11" s="25" t="n"/>
      <c r="E11" s="25" t="n"/>
    </row>
    <row r="12" ht="30" customHeight="1">
      <c r="B12" s="4" t="inlineStr">
        <is>
          <t>Day 2에 가져올 것</t>
        </is>
      </c>
      <c r="C12" s="5" t="n"/>
      <c r="D12" s="25" t="n"/>
      <c r="E12" s="25" t="n"/>
      <c r="F12" s="6" t="inlineStr">
        <is>
          <t>예: 테스트 질문에서 실패한 질문, 지식에 없던 내용</t>
        </is>
      </c>
    </row>
  </sheetData>
  <mergeCells count="2">
    <mergeCell ref="C12:E12"/>
    <mergeCell ref="C11:E11"/>
  </mergeCells>
  <dataValidations count="1">
    <dataValidation sqref="D6:D9" showDropDown="0" showInputMessage="0" showErrorMessage="0" allowBlank="1" type="list">
      <formula1>"완료,진행 중,미완"</formula1>
    </dataValidation>
  </dataValidation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2026-10-06T14:08:35Z</dcterms:created>
  <dcterms:modified xmlns:dcterms="http://purl.org/dc/terms/" xmlns:xsi="http://www.w3.org/2001/XMLSchema-instance" xsi:type="dcterms:W3CDTF">2026-10-06T14:08:35Z</dcterms:modified>
</cp:coreProperties>
</file>